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onas/git/github.com/Arxcis/API-for-vannkraft--og-vindkraftdatabase/"/>
    </mc:Choice>
  </mc:AlternateContent>
  <xr:revisionPtr revIDLastSave="0" documentId="13_ncr:1_{3FB095EB-ED32-7E4E-9BAE-BF26332F644D}" xr6:coauthVersionLast="47" xr6:coauthVersionMax="47" xr10:uidLastSave="{00000000-0000-0000-0000-000000000000}"/>
  <bookViews>
    <workbookView xWindow="0" yWindow="500" windowWidth="44800" windowHeight="24700" activeTab="1" xr2:uid="{00000000-000D-0000-FFFF-FFFF00000000}"/>
  </bookViews>
  <sheets>
    <sheet name="data" sheetId="1" r:id="rId1"/>
    <sheet name="Ark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 a="1"/>
  <c r="H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<sst xmlns="http://schemas.openxmlformats.org/spreadsheetml/2006/main" count="34203" uniqueCount="9945">
  <si>
    <t>VannKraftverkID</t>
  </si>
  <si>
    <t>Navn</t>
  </si>
  <si>
    <t>VannKVType</t>
  </si>
  <si>
    <t>VannKVTypeID</t>
  </si>
  <si>
    <t>HovedEier</t>
  </si>
  <si>
    <t>HovedEier_OrgNr</t>
  </si>
  <si>
    <t>Fylke</t>
  </si>
  <si>
    <t>FylkesNr</t>
  </si>
  <si>
    <t>Kommune</t>
  </si>
  <si>
    <t>KommuneNr</t>
  </si>
  <si>
    <t>ForsteUtnyttelseAvFalletDato</t>
  </si>
  <si>
    <t>DatoForEldsteKraftproduserendeDel</t>
  </si>
  <si>
    <t>MaksYtelse</t>
  </si>
  <si>
    <t>MidProd_91_20</t>
  </si>
  <si>
    <t>BruttoFallhoyde_M</t>
  </si>
  <si>
    <t>Slukeevne</t>
  </si>
  <si>
    <t>EnEkv</t>
  </si>
  <si>
    <t>ElspotomraadeNummer</t>
  </si>
  <si>
    <t>RegineNr</t>
  </si>
  <si>
    <t>ErIDrift</t>
  </si>
  <si>
    <t>IDriftDato</t>
  </si>
  <si>
    <t>Eiere</t>
  </si>
  <si>
    <t>Konsesjoner</t>
  </si>
  <si>
    <t>Kraftverkstatus</t>
  </si>
  <si>
    <t>NVEOmraadeID</t>
  </si>
  <si>
    <t>NVEOmraadeNavn</t>
  </si>
  <si>
    <t>Nedborsfeltnavn</t>
  </si>
  <si>
    <t>SPPunkt</t>
  </si>
  <si>
    <t>SPSone</t>
  </si>
  <si>
    <t>UnderBygging</t>
  </si>
  <si>
    <t>UteAvDrift</t>
  </si>
  <si>
    <t>VassdragsOmraadeID</t>
  </si>
  <si>
    <t>VassdragsOmraadeNavn</t>
  </si>
  <si>
    <t>Adamselv</t>
  </si>
  <si>
    <t>Kraftverk</t>
  </si>
  <si>
    <t>K</t>
  </si>
  <si>
    <t>STATKRAFT ENERGI AS</t>
  </si>
  <si>
    <t>987059729</t>
  </si>
  <si>
    <t>Finnmark</t>
  </si>
  <si>
    <t>56</t>
  </si>
  <si>
    <t>Lebesby</t>
  </si>
  <si>
    <t>24</t>
  </si>
  <si>
    <t>4</t>
  </si>
  <si>
    <t>229.3Z</t>
  </si>
  <si>
    <t>1973-01-01T00:00:00</t>
  </si>
  <si>
    <t>[{'AdressatID': 41005, 'Driftselskap': True, 'Hovedeier': True, 'Navn': 'STATKRAFT ENERGI AS', 'OrgNr': 987059729, 'ProsentAndel': 100.0, 'ProsentAndelDrift': 100.0}]</t>
  </si>
  <si>
    <t>[{'KdbID': 482, 'Tittel': 'Overføringer og reg. m.v. i Adamselv og Frierfjordelv i Finnmark'}, {'KdbID': 975, 'Tittel': 'Erverv av bruksrett til vannfall i Frierfjordelv og Adamselv'}, {'KdbID': 5794, 'Tittel': 'Reg. Lille Måsevatn, Lille Måsevatn pumpe, overf. bekkeinntak til Adamselv krv'}]</t>
  </si>
  <si>
    <t>Idrift</t>
  </si>
  <si>
    <t>Friarfjordelva</t>
  </si>
  <si>
    <t>01</t>
  </si>
  <si>
    <t>893</t>
  </si>
  <si>
    <t>NVE - område: 12</t>
  </si>
  <si>
    <t>Aga</t>
  </si>
  <si>
    <t>Vestland</t>
  </si>
  <si>
    <t>46</t>
  </si>
  <si>
    <t>Voss</t>
  </si>
  <si>
    <t>21</t>
  </si>
  <si>
    <t>5</t>
  </si>
  <si>
    <t>052.1B</t>
  </si>
  <si>
    <t>2007-01-01T00:00:00</t>
  </si>
  <si>
    <t>[{'AdressatID': 42738, 'Driftselskap': False, 'Hovedeier': True, 'Navn': 'UKJENT', 'OrgNr': None, 'ProsentAndel': 100.0, 'ProsentAndelDrift': 100.0}]</t>
  </si>
  <si>
    <t>[{'KdbID': 3307, 'Tittel': 'Aga mikrokraftverk'}]</t>
  </si>
  <si>
    <t>Granvinvassdraget</t>
  </si>
  <si>
    <t>999</t>
  </si>
  <si>
    <t>NVE - område: 6</t>
  </si>
  <si>
    <t>Aklestad</t>
  </si>
  <si>
    <t>HÅVARD AKLESTAD</t>
  </si>
  <si>
    <t>988117722</t>
  </si>
  <si>
    <t>Møre og Romsdal</t>
  </si>
  <si>
    <t>15</t>
  </si>
  <si>
    <t>Ørsta</t>
  </si>
  <si>
    <t>20</t>
  </si>
  <si>
    <t>3</t>
  </si>
  <si>
    <t>097.1Z</t>
  </si>
  <si>
    <t>2008-01-01T00:00:00</t>
  </si>
  <si>
    <t>[{'AdressatID': 60945, 'Driftselskap': True, 'Hovedeier': True, 'Navn': 'HÅVARD AKLESTAD', 'OrgNr': 988117722, 'ProsentAndel': 100.0, 'ProsentAndelDrift': 100.0}]</t>
  </si>
  <si>
    <t>[{'KdbID': 4981, 'Tittel': 'Aklestad mikrokraftverk'}]</t>
  </si>
  <si>
    <t>Bondalselva</t>
  </si>
  <si>
    <t>NVE - område: 8</t>
  </si>
  <si>
    <t>Akslandselva</t>
  </si>
  <si>
    <t>AKSLANDSELVA KRAFTVERK AS</t>
  </si>
  <si>
    <t>991005625</t>
  </si>
  <si>
    <t>Etne</t>
  </si>
  <si>
    <t>11</t>
  </si>
  <si>
    <t>2</t>
  </si>
  <si>
    <t>042.11Z</t>
  </si>
  <si>
    <t>2013-07-15T00:00:00</t>
  </si>
  <si>
    <t>[{'AdressatID': 42526, 'Driftselskap': True, 'Hovedeier': True, 'Navn': 'AKSLANDSELVA KRAFTVERK AS', 'OrgNr': 991005625, 'ProsentAndel': 100.0, 'ProsentAndelDrift': 100.0}]</t>
  </si>
  <si>
    <t>[{'KdbID': 5215, 'Tittel': 'Akslandselva kraftverk'}]</t>
  </si>
  <si>
    <t>NVE - område: 5</t>
  </si>
  <si>
    <t>Ala</t>
  </si>
  <si>
    <t>SKAGERAK KRAFT AS</t>
  </si>
  <si>
    <t>979563531</t>
  </si>
  <si>
    <t>Innlandet</t>
  </si>
  <si>
    <t>34</t>
  </si>
  <si>
    <t>Vang</t>
  </si>
  <si>
    <t>54</t>
  </si>
  <si>
    <t>1</t>
  </si>
  <si>
    <t>012.N2A</t>
  </si>
  <si>
    <t>2022-09-27T00:00:00</t>
  </si>
  <si>
    <t>[{'AdressatID': 40113, 'Driftselskap': True, 'Hovedeier': True, 'Navn': 'SKAGERAK KRAFT AS', 'OrgNr': 979563531, 'ProsentAndel': 100.0, 'ProsentAndelDrift': 100.0}]</t>
  </si>
  <si>
    <t>[{'KdbID': 6617, 'Tittel': 'Ala kraftverk'}]</t>
  </si>
  <si>
    <t>Drammensvassdraget</t>
  </si>
  <si>
    <t>043</t>
  </si>
  <si>
    <t>NVE - område: 1</t>
  </si>
  <si>
    <t>Alnes Vannbehandlingsanlegg</t>
  </si>
  <si>
    <t>GISKE KOMMUNE</t>
  </si>
  <si>
    <t>964980721</t>
  </si>
  <si>
    <t>Giske</t>
  </si>
  <si>
    <t>32</t>
  </si>
  <si>
    <t>101.72</t>
  </si>
  <si>
    <t>1997-01-01T00:00:00</t>
  </si>
  <si>
    <t>[{'AdressatID': 1532, 'Driftselskap': True, 'Hovedeier': True, 'Navn': 'GISKE KOMMUNE', 'OrgNr': 964980721, 'ProsentAndel': 100.0, 'ProsentAndelDrift': 100.0}]</t>
  </si>
  <si>
    <t>[]</t>
  </si>
  <si>
    <t>KYSTFELT</t>
  </si>
  <si>
    <t>Alsaker</t>
  </si>
  <si>
    <t>ALSAKER KRAFT AS</t>
  </si>
  <si>
    <t>990843805</t>
  </si>
  <si>
    <t>Kvinnherad</t>
  </si>
  <si>
    <t>17</t>
  </si>
  <si>
    <t>042.62Z</t>
  </si>
  <si>
    <t>2009-03-17T00:00:00</t>
  </si>
  <si>
    <t>[{'AdressatID': 43609, 'Driftselskap': True, 'Hovedeier': True, 'Navn': 'ALSAKER KRAFT AS', 'OrgNr': 990843805, 'ProsentAndel': 100.0, 'ProsentAndelDrift': 100.0}]</t>
  </si>
  <si>
    <t>[{'KdbID': 4644, 'Tittel': 'Alsaker minikraftverk'}]</t>
  </si>
  <si>
    <t>Fatlandselva</t>
  </si>
  <si>
    <t>Alta</t>
  </si>
  <si>
    <t>212.B6</t>
  </si>
  <si>
    <t>1987-05-21T00:00:00</t>
  </si>
  <si>
    <t>[{'KdbID': 766, 'Tittel': 'Alta utbyggingen - Statsregulering og utbygging av Savsto Kraftverk'}, {'KdbID': 1887, 'Tittel': 'Alta utbyggingen - Savtso kraftv. - Fastsettelse man.regl.'}, {'KdbID': 3202, 'Tittel': 'Forlengelse av prøvereglementet for Alta kraftverk'}, {'KdbID': 3771, 'Tittel': 'Alta kraftverk - endring i manøvreringsreglement'}, {'KdbID': 4479, 'Tittel': 'Varig manøvreringsreglement for Alta kraftverk'}]</t>
  </si>
  <si>
    <t>Altavassdraget</t>
  </si>
  <si>
    <t>853</t>
  </si>
  <si>
    <t>Andåsfossen</t>
  </si>
  <si>
    <t>HELGELAND KRAFT VANNKRAFT AS</t>
  </si>
  <si>
    <t>917424896</t>
  </si>
  <si>
    <t>Nordland</t>
  </si>
  <si>
    <t>18</t>
  </si>
  <si>
    <t>Vefsn</t>
  </si>
  <si>
    <t>151.A21A1</t>
  </si>
  <si>
    <t>2001-02-14T00:00:00</t>
  </si>
  <si>
    <t>[{'AdressatID': 51392, 'Driftselskap': True, 'Hovedeier': True, 'Navn': 'HELGELAND KRAFT VANNKRAFT AS', 'OrgNr': 917424896, 'ProsentAndel': 100.0, 'ProsentAndelDrift': 100.0}]</t>
  </si>
  <si>
    <t>[{'KdbID': 2678, 'Tittel': 'Andåsfossen kraftverk - ombygging'}]</t>
  </si>
  <si>
    <t>Vefsna</t>
  </si>
  <si>
    <t>635</t>
  </si>
  <si>
    <t>NVE - område: 10</t>
  </si>
  <si>
    <t>Anga</t>
  </si>
  <si>
    <t>ANGA KRAFT AS</t>
  </si>
  <si>
    <t>911605384</t>
  </si>
  <si>
    <t>Sunnfjord</t>
  </si>
  <si>
    <t>47</t>
  </si>
  <si>
    <t>084.AA0</t>
  </si>
  <si>
    <t>2019-07-01T00:00:00</t>
  </si>
  <si>
    <t>[{'AdressatID': 50803, 'Driftselskap': True, 'Hovedeier': True, 'Navn': 'ANGA KRAFT AS', 'OrgNr': 911605384, 'ProsentAndel': 100.0, 'ProsentAndelDrift': 100.0}]</t>
  </si>
  <si>
    <t>[{'KdbID': 5873, 'Tittel': 'Anga kraftverk'}, {'KdbID': 7926, 'Tittel': 'Anga kraftverk - søknad om økt slukeevne'}]</t>
  </si>
  <si>
    <t>Jølstra</t>
  </si>
  <si>
    <t>346</t>
  </si>
  <si>
    <t>NVE - område: 13</t>
  </si>
  <si>
    <t>Angvik</t>
  </si>
  <si>
    <t>ISTAD KRAFT AS</t>
  </si>
  <si>
    <t>923253920</t>
  </si>
  <si>
    <t>Gjemnes</t>
  </si>
  <si>
    <t>57</t>
  </si>
  <si>
    <t>109.1Z</t>
  </si>
  <si>
    <t>1990-01-01T00:00:00</t>
  </si>
  <si>
    <t>[{'AdressatID': 10477, 'Driftselskap': True, 'Hovedeier': True, 'Navn': 'ISTAD KRAFT AS', 'OrgNr': 923253920, 'ProsentAndel': 100.0, 'ProsentAndelDrift': 100.0}]</t>
  </si>
  <si>
    <t>[{'KdbID': 648, 'Tittel': 'Ombygging av Angvik kraftstasjon'}, {'KdbID': 959, 'Tittel': 'Ombygging av Angvik kraftstasjon - Ekspropr. av kr.st.tomt og fall'}]</t>
  </si>
  <si>
    <t>Angvikelva</t>
  </si>
  <si>
    <t>447</t>
  </si>
  <si>
    <t>Ardalen</t>
  </si>
  <si>
    <t>SMÅKRAFT AS</t>
  </si>
  <si>
    <t>984616155</t>
  </si>
  <si>
    <t>Vaksdal</t>
  </si>
  <si>
    <t>28</t>
  </si>
  <si>
    <t>061.4B0</t>
  </si>
  <si>
    <t>1954-01-01T00:00:00</t>
  </si>
  <si>
    <t>[{'AdressatID': 40394, 'Driftselskap': True, 'Hovedeier': True, 'Navn': 'SMÅKRAFT AS', 'OrgNr': 984616155, 'ProsentAndel': 100.0, 'ProsentAndelDrift': 100.0}]</t>
  </si>
  <si>
    <t>[{'KdbID': 1996, 'Tittel': 'Ardalen kraftverk, nytt aggregat'}]</t>
  </si>
  <si>
    <t>Vaksdalsvassdraget</t>
  </si>
  <si>
    <t>02</t>
  </si>
  <si>
    <t>251</t>
  </si>
  <si>
    <t>Arna</t>
  </si>
  <si>
    <t>CADRE ELVEKRAFT AS</t>
  </si>
  <si>
    <t>929375769</t>
  </si>
  <si>
    <t>Bergen</t>
  </si>
  <si>
    <t>061.1A</t>
  </si>
  <si>
    <t>2018-08-27T00:00:00</t>
  </si>
  <si>
    <t>[{'AdressatID': 50288, 'Driftselskap': True, 'Hovedeier': False, 'Navn': 'NORDKRAFT ENERGIDRIFT AS', 'OrgNr': 916116993, 'ProsentAndel': None, 'ProsentAndelDrift': None}, {'AdressatID': 67944, 'Driftselskap': False, 'Hovedeier': True, 'Navn': 'CADRE ELVEKRAFT AS', 'OrgNr': 929375769, 'ProsentAndel': 100.0, 'ProsentAndelDrift': 100.0}]</t>
  </si>
  <si>
    <t>Ytre arnaelva</t>
  </si>
  <si>
    <t>248</t>
  </si>
  <si>
    <t>Arneselv</t>
  </si>
  <si>
    <t>BALLANGEN UTVIKLING AS</t>
  </si>
  <si>
    <t>923093508</t>
  </si>
  <si>
    <t>Narvik</t>
  </si>
  <si>
    <t>06</t>
  </si>
  <si>
    <t>173.2Z</t>
  </si>
  <si>
    <t>2004-09-08T00:00:00</t>
  </si>
  <si>
    <t>[{'AdressatID': 50288, 'Driftselskap': True, 'Hovedeier': False, 'Navn': 'NORDKRAFT ENERGIDRIFT AS', 'OrgNr': 916116993, 'ProsentAndel': None, 'ProsentAndelDrift': None}, {'AdressatID': 53402, 'Driftselskap': False, 'Hovedeier': True, 'Navn': 'BALLANGEN UTVIKLING AS', 'OrgNr': 923093508, 'ProsentAndel': 100.0, 'ProsentAndelDrift': 100.0}]</t>
  </si>
  <si>
    <t>[{'KdbID': 3759, 'Tittel': 'Kraftverk i Arneselva'}]</t>
  </si>
  <si>
    <t>Åga</t>
  </si>
  <si>
    <t>NVE - område: 11</t>
  </si>
  <si>
    <t>Arstadfossen</t>
  </si>
  <si>
    <t>ARSTADFOSSEN KRAFTVERK AS</t>
  </si>
  <si>
    <t>984735545</t>
  </si>
  <si>
    <t>Beiarn</t>
  </si>
  <si>
    <t>39</t>
  </si>
  <si>
    <t>161.AA32</t>
  </si>
  <si>
    <t>2003-12-01T00:00:00</t>
  </si>
  <si>
    <t>[{'AdressatID': 43230, 'Driftselskap': True, 'Hovedeier': True, 'Navn': 'ARSTADFOSSEN KRAFTVERK AS', 'OrgNr': 984735545, 'ProsentAndel': 100.0, 'ProsentAndelDrift': 100.0}]</t>
  </si>
  <si>
    <t>[{'KdbID': 2930, 'Tittel': 'Minikraftverk i Arstadfossen'}]</t>
  </si>
  <si>
    <t>Beiarelva</t>
  </si>
  <si>
    <t>634</t>
  </si>
  <si>
    <t>Ask Kraft</t>
  </si>
  <si>
    <t>ASK Opstvedt</t>
  </si>
  <si>
    <t>866927472</t>
  </si>
  <si>
    <t>Rogaland</t>
  </si>
  <si>
    <t>Vindafjord</t>
  </si>
  <si>
    <t>60</t>
  </si>
  <si>
    <t>041.33A</t>
  </si>
  <si>
    <t>2007-08-10T00:00:00</t>
  </si>
  <si>
    <t>[{'AdressatID': 41395, 'Driftselskap': True, 'Hovedeier': True, 'Navn': 'ASK Opstvedt', 'OrgNr': 866927472, 'ProsentAndel': 100.0, 'ProsentAndelDrift': 100.0}]</t>
  </si>
  <si>
    <t>[{'KdbID': 4699, 'Tittel': 'ASK Kraft minikraftverk'}]</t>
  </si>
  <si>
    <t>Gjerdesvikbekken</t>
  </si>
  <si>
    <t>Askerudfoss</t>
  </si>
  <si>
    <t>VIUL KRAFT AS</t>
  </si>
  <si>
    <t>961113539</t>
  </si>
  <si>
    <t>Buskerud</t>
  </si>
  <si>
    <t>33</t>
  </si>
  <si>
    <t>Ringerike</t>
  </si>
  <si>
    <t>05</t>
  </si>
  <si>
    <t>012.EA6</t>
  </si>
  <si>
    <t>[{'AdressatID': 12295, 'Driftselskap': False, 'Hovedeier': True, 'Navn': 'VIUL KRAFT AS', 'OrgNr': 961113539, 'ProsentAndel': 100.0, 'ProsentAndelDrift': 100.0}, {'AdressatID': 25361, 'Driftselskap': True, 'Hovedeier': False, 'Navn': 'RINGERIKSKRAFT PRODUKSJON AS', 'OrgNr': 987293586, 'ProsentAndel': None, 'ProsentAndelDrift': None}]</t>
  </si>
  <si>
    <t>[{'KdbID': 14, 'Tittel': 'Erverv av ytterligere fall i Randselva'}, {'KdbID': 75, 'Tittel': 'Erverv av deler av Askerudfoss i Randselv.'}, {'KdbID': 246, 'Tittel': 'Innløsn. og ytt. erverv av fallrettigheter i Randselva'}, {'KdbID': 1113, 'Tittel': 'Erverv av ytt. fall i Randselva  - Endring av vilkår'}, {'KdbID': 1789, 'Tittel': 'Erverv av fallrettigheter i Viulfoss, Kistefoss, Askerudfoss, Bergerfoss'}]</t>
  </si>
  <si>
    <t>08</t>
  </si>
  <si>
    <t>Aspenes</t>
  </si>
  <si>
    <t>ASPENES MIKROKRAFT J.M. Aspenes</t>
  </si>
  <si>
    <t>988625035</t>
  </si>
  <si>
    <t>Bjørnafjorden</t>
  </si>
  <si>
    <t>055.60</t>
  </si>
  <si>
    <t>2005-01-01T00:00:00</t>
  </si>
  <si>
    <t>[{'AdressatID': 43207, 'Driftselskap': True, 'Hovedeier': True, 'Navn': 'ASPENES MIKROKRAFT J.M. Aspenes', 'OrgNr': 988625035, 'ProsentAndel': 100.0, 'ProsentAndelDrift': 100.0}]</t>
  </si>
  <si>
    <t>Aunbekken</t>
  </si>
  <si>
    <t>INGE KVAAL</t>
  </si>
  <si>
    <t>988709220</t>
  </si>
  <si>
    <t>Trøndelag</t>
  </si>
  <si>
    <t>50</t>
  </si>
  <si>
    <t>Stjørdal</t>
  </si>
  <si>
    <t>35</t>
  </si>
  <si>
    <t>124.C4</t>
  </si>
  <si>
    <t>2002-01-01T00:00:00</t>
  </si>
  <si>
    <t>[{'AdressatID': 43461, 'Driftselskap': True, 'Hovedeier': True, 'Navn': 'INGE KVAAL', 'OrgNr': 988709220, 'ProsentAndel': 100.0, 'ProsentAndelDrift': 100.0}]</t>
  </si>
  <si>
    <t>[{'KdbID': 2517, 'Tittel': 'Mikrokraftverk i Aunbekken'}]</t>
  </si>
  <si>
    <t>Stjørdalsvassdraget</t>
  </si>
  <si>
    <t>NVE - område: 9</t>
  </si>
  <si>
    <t>Aunfoss</t>
  </si>
  <si>
    <t>NTE ENERGI AS</t>
  </si>
  <si>
    <t>988340715</t>
  </si>
  <si>
    <t>Grong</t>
  </si>
  <si>
    <t>45</t>
  </si>
  <si>
    <t>139.D2</t>
  </si>
  <si>
    <t>1959-06-05T00:00:00</t>
  </si>
  <si>
    <t>[{'AdressatID': 42662, 'Driftselskap': True, 'Hovedeier': True, 'Navn': 'NTE ENERGI AS', 'OrgNr': 988340715, 'ProsentAndel': 100.0, 'ProsentAndelDrift': 100.0}]</t>
  </si>
  <si>
    <t>[{'KdbID': 1939, 'Tittel': 'Ekspropriasjon av Aunefossene m.v. i Namsen.'}, {'KdbID': 3652, 'Tittel': 'Aunfoss kraftverk, stabili.og erosj.sikr'}]</t>
  </si>
  <si>
    <t>Namsen</t>
  </si>
  <si>
    <t>26</t>
  </si>
  <si>
    <t>579</t>
  </si>
  <si>
    <t>Aura</t>
  </si>
  <si>
    <t>Sunndal</t>
  </si>
  <si>
    <t>63</t>
  </si>
  <si>
    <t>109.5A1</t>
  </si>
  <si>
    <t>1955-06-24T00:00:00</t>
  </si>
  <si>
    <t>[{'KdbID': 831, 'Tittel': 'Statsregulering av Aura og Lilledalsvassdraget m.v.'}, {'KdbID': 1645, 'Tittel': 'Erv. og reg. av Aura, Mardøla, Lilledalsvassdraget.'}, {'KdbID': 1927, 'Tittel': 'Manøvreringsreglement for statsreg. av Aura - Lilledalsvassdraget.'}, {'KdbID': 9756, 'Tittel': 'Søknad - Midlertidig fravik fra manøvreringsreglementet - Aura\xa0kraftverk\xa0-\xa0STATKRAFT ENERGI AS - Tapping under LRV ;  - 22.09.2025 til 26.09.2025- Referansenr:ERFFKO'}]</t>
  </si>
  <si>
    <t>Litledalselva</t>
  </si>
  <si>
    <t>448</t>
  </si>
  <si>
    <t>Aurdal</t>
  </si>
  <si>
    <t>038.5C</t>
  </si>
  <si>
    <t>[{'AdressatID': 42738, 'Driftselskap': False, 'Hovedeier': True, 'Navn': 'UKJENT', 'OrgNr': None, 'ProsentAndel': 100.0, 'ProsentAndelDrift': None}]</t>
  </si>
  <si>
    <t>Åmselva</t>
  </si>
  <si>
    <t>Aurland 1</t>
  </si>
  <si>
    <t>HAFSLUND KRAFT AS</t>
  </si>
  <si>
    <t>976894677</t>
  </si>
  <si>
    <t>Aurland</t>
  </si>
  <si>
    <t>41</t>
  </si>
  <si>
    <t>072.B1A</t>
  </si>
  <si>
    <t>1973-01-11T00:00:00</t>
  </si>
  <si>
    <t>[{'AdressatID': 10242, 'Driftselskap': True, 'Hovedeier': True, 'Navn': 'HAFSLUND KRAFT AS', 'OrgNr': 976894677, 'ProsentAndel': 93.0, 'ProsentAndelDrift': 93.0}, {'AdressatID': 41005, 'Driftselskap': False, 'Hovedeier': False, 'Navn': 'STATKRAFT ENERGI AS', 'OrgNr': 987059729, 'ProsentAndel': 7.0, 'ProsentAndelDrift': 7.0}]</t>
  </si>
  <si>
    <t>[{'KdbID': 251, 'Tittel': 'Reguleringer og overføringer i Aurlandsvassdraget'}, {'KdbID': 3757, 'Tittel': 'Oppgradering av Aurland I kraftstasjon'}]</t>
  </si>
  <si>
    <t>Aurlandsvassdraget</t>
  </si>
  <si>
    <t>293</t>
  </si>
  <si>
    <t>NVE - område: 2</t>
  </si>
  <si>
    <t>Aurland 2 H</t>
  </si>
  <si>
    <t>072.CB2</t>
  </si>
  <si>
    <t>1983-01-19T00:00:00</t>
  </si>
  <si>
    <t>[{'KdbID': 251, 'Tittel': 'Reguleringer og overføringer i Aurlandsvassdraget'}, {'KdbID': 9838, 'Tittel': 'Søknad - Midlertidig fravik fra manøvreringsreglementet - Aurland 2 H\xa0kraftverk\xa0-\xa0HAFSLUND KRAFT AS - Tapping under LRV ;  - 15.04.2026 til 29.05.2026- Referansenr:IKRPZS'}]</t>
  </si>
  <si>
    <t>Aurland 2 L</t>
  </si>
  <si>
    <t>1982-10-05T00:00:00</t>
  </si>
  <si>
    <t>[{'KdbID': 251, 'Tittel': 'Reguleringer og overføringer i Aurlandsvassdraget'}]</t>
  </si>
  <si>
    <t>Aurland 3</t>
  </si>
  <si>
    <t>Pumpekraftverk</t>
  </si>
  <si>
    <t>PK</t>
  </si>
  <si>
    <t>072.G</t>
  </si>
  <si>
    <t>1979-07-30T00:00:00</t>
  </si>
  <si>
    <t>Aurland 4 (Vangen)</t>
  </si>
  <si>
    <t>072.A1</t>
  </si>
  <si>
    <t>1980-09-25T00:00:00</t>
  </si>
  <si>
    <t>[{'KdbID': 251, 'Tittel': 'Reguleringer og overføringer i Aurlandsvassdraget'}, {'KdbID': 464, 'Tittel': 'Utbygging av Aurlandsvassdraget - Planendringer m.v.'}, {'KdbID': 3150, 'Tittel': 'Oppgradering av turbin i Vangen kr.st. i Aurlandsvassdraget'}]</t>
  </si>
  <si>
    <t>Aurland 5 (Reppa)</t>
  </si>
  <si>
    <t>072.CAA</t>
  </si>
  <si>
    <t>1984-02-14T00:00:00</t>
  </si>
  <si>
    <t>[{'KdbID': 251, 'Tittel': 'Reguleringer og overføringer i Aurlandsvassdraget'}, {'KdbID': 9046, 'Tittel': 'Midlertidig fravik fra manøvreringsreglementet - Aurland V (Reppa)\xa0kraftverk\xa0-\xa0HAFSLUND ECO VANNKRAFT AS - Tapping under LRV ;  - 15.07.2023 til 17.09.2023- Referansenr:GQTNRH'}]</t>
  </si>
  <si>
    <t>03</t>
  </si>
  <si>
    <t>Austad</t>
  </si>
  <si>
    <t>AUSTAD KRAFTVERK AS</t>
  </si>
  <si>
    <t>923672443</t>
  </si>
  <si>
    <t>Agder</t>
  </si>
  <si>
    <t>42</t>
  </si>
  <si>
    <t>Bygland</t>
  </si>
  <si>
    <t>021.E11A3</t>
  </si>
  <si>
    <t>2021-10-15T00:00:00</t>
  </si>
  <si>
    <t>[{'AdressatID': 59124, 'Driftselskap': True, 'Hovedeier': True, 'Navn': 'AUSTAD KRAFTVERK AS', 'OrgNr': 923672443, 'ProsentAndel': 100.0, 'ProsentAndelDrift': 100.0}]</t>
  </si>
  <si>
    <t>[{'KdbID': 8006, 'Tittel': 'Austad kraftverk'}]</t>
  </si>
  <si>
    <t>Otra</t>
  </si>
  <si>
    <t>115</t>
  </si>
  <si>
    <t>NVE - område: 4</t>
  </si>
  <si>
    <t>Austdøla</t>
  </si>
  <si>
    <t>AUSTDØLA KRAFT AS</t>
  </si>
  <si>
    <t>985369534</t>
  </si>
  <si>
    <t>Ullensvang</t>
  </si>
  <si>
    <t>048.DA</t>
  </si>
  <si>
    <t>2004-01-09T00:00:00</t>
  </si>
  <si>
    <t>[{'AdressatID': 40374, 'Driftselskap': True, 'Hovedeier': True, 'Navn': 'AUSTDØLA KRAFT AS', 'OrgNr': 985369534, 'ProsentAndel': 100.0, 'ProsentAndelDrift': 100.0}]</t>
  </si>
  <si>
    <t>[{'KdbID': 1899, 'Tittel': 'Erverv av vannfallrettigheter i Odda og Låtefossvassdraget.'}, {'KdbID': 3294, 'Tittel': 'Austdøla kraftverk'}]</t>
  </si>
  <si>
    <t>Opo</t>
  </si>
  <si>
    <t>213</t>
  </si>
  <si>
    <t>NVE - område: 3</t>
  </si>
  <si>
    <t>Austvass</t>
  </si>
  <si>
    <t>AUSTVASSKRAFT AS</t>
  </si>
  <si>
    <t>983640001</t>
  </si>
  <si>
    <t>Nord-Odal</t>
  </si>
  <si>
    <t>14</t>
  </si>
  <si>
    <t>002.EB1A</t>
  </si>
  <si>
    <t>[{'AdressatID': 40350, 'Driftselskap': True, 'Hovedeier': True, 'Navn': 'AUSTVASSKRAFT AS', 'OrgNr': 983640001, 'ProsentAndel': 100.0, 'ProsentAndelDrift': 100.0}]</t>
  </si>
  <si>
    <t>Glommavassdraget</t>
  </si>
  <si>
    <t>004</t>
  </si>
  <si>
    <t>Baggfossen</t>
  </si>
  <si>
    <t>BENCHMARK GENETICS NORWAY AS</t>
  </si>
  <si>
    <t>983506925</t>
  </si>
  <si>
    <t>Sørfold</t>
  </si>
  <si>
    <t>167.2A</t>
  </si>
  <si>
    <t>2015-12-17T00:00:00</t>
  </si>
  <si>
    <t>[{'AdressatID': 50128, 'Driftselskap': True, 'Hovedeier': True, 'Navn': 'BENCHMARK GENETICS NORWAY AS', 'OrgNr': 983506925, 'ProsentAndel': 100.0, 'ProsentAndelDrift': 100.0}]</t>
  </si>
  <si>
    <t>[{'KdbID': 5642, 'Tittel': 'Baggfossen minikraftverk'}]</t>
  </si>
  <si>
    <t>Sørfjordelva</t>
  </si>
  <si>
    <t>661</t>
  </si>
  <si>
    <t>Bagn</t>
  </si>
  <si>
    <t>Sør-Aurdal</t>
  </si>
  <si>
    <t>49</t>
  </si>
  <si>
    <t>012.J1</t>
  </si>
  <si>
    <t>1963-01-12T00:00:00</t>
  </si>
  <si>
    <t>[{'AdressatID': 10307, 'Driftselskap': False, 'Hovedeier': False, 'Navn': 'STORBROFOSS KRAFTANLEGG DA', 'OrgNr': 981300866, 'ProsentAndel': 20.0, 'ProsentAndelDrift': 20.0}, {'AdressatID': 40088, 'Driftselskap': False, 'Hovedeier': False, 'Navn': 'BAGN KRAFTVERK DA', 'OrgNr': 971034696, 'ProsentAndel': None, 'ProsentAndelDrift': None}, {'AdressatID': 40113, 'Driftselskap': True, 'Hovedeier': True, 'Navn': 'SKAGERAK KRAFT AS', 'OrgNr': 979563531, 'ProsentAndel': 80.0, 'ProsentAndelDrift': 80.0}]</t>
  </si>
  <si>
    <t>[{'KdbID': 170, 'Tittel': 'Reg. av Aurdalsfjord i Begna'}, {'KdbID': 6275, 'Tittel': 'Bagn kraftverk utvidelse av slukeevne'}, {'KdbID': 6304, 'Tittel': 'Revisjon av konsesjonsvilkår for reguleringen av Aurdalsfjord'}]</t>
  </si>
  <si>
    <t>Bakkeelva</t>
  </si>
  <si>
    <t>TROLLEKRAFT AS</t>
  </si>
  <si>
    <t>920387896</t>
  </si>
  <si>
    <t>Askvoll</t>
  </si>
  <si>
    <t>083.42A</t>
  </si>
  <si>
    <t>2019-11-29T00:00:00</t>
  </si>
  <si>
    <t>[{'AdressatID': 43794, 'Driftselskap': True, 'Hovedeier': False, 'Navn': 'CLEMENS KRAFT AS', 'OrgNr': 912511480, 'ProsentAndel': None, 'ProsentAndelDrift': None}, {'AdressatID': 51409, 'Driftselskap': False, 'Hovedeier': True, 'Navn': 'TROLLEKRAFT AS', 'OrgNr': 920387896, 'ProsentAndel': 100.0, 'ProsentAndelDrift': 100.0}]</t>
  </si>
  <si>
    <t>[{'KdbID': 6198, 'Tittel': 'Bakkeelva kraftverk'}]</t>
  </si>
  <si>
    <t>Bakkelva</t>
  </si>
  <si>
    <t>Bakkefossen</t>
  </si>
  <si>
    <t>NILS ANDERS GJERLAND</t>
  </si>
  <si>
    <t>891308272</t>
  </si>
  <si>
    <t>083.EA0</t>
  </si>
  <si>
    <t>1994-01-01T00:00:00</t>
  </si>
  <si>
    <t>[{'AdressatID': 63367, 'Driftselskap': True, 'Hovedeier': True, 'Navn': 'NILS ANDERS GJERLAND', 'OrgNr': 891308272, 'ProsentAndel': 100.0, 'ProsentAndelDrift': 100.0}]</t>
  </si>
  <si>
    <t>Gaularvassdraget</t>
  </si>
  <si>
    <t>337</t>
  </si>
  <si>
    <t>Bardufoss</t>
  </si>
  <si>
    <t>Troms</t>
  </si>
  <si>
    <t>55</t>
  </si>
  <si>
    <t>Målselv</t>
  </si>
  <si>
    <t>196.AA3</t>
  </si>
  <si>
    <t>1953-10-01T00:00:00</t>
  </si>
  <si>
    <t>[{'KdbID': 871, 'Tittel': 'Statsreg. av Altevatn og overf. av Salvasskarelv til Altevatn'}, {'KdbID': 872, 'Tittel': 'Overf. av Mouldajokka og Irggasjaurie til Altevatn'}, {'KdbID': 873, 'Tittel': 'Innføring av Straumsli-Tverrelv på dr.tunnel for Straumsmo kr.v.'}, {'KdbID': 8013, 'Tittel': 'Bardufoss kraftverk'}]</t>
  </si>
  <si>
    <t>Målselvvassdraget</t>
  </si>
  <si>
    <t>791</t>
  </si>
  <si>
    <t>Bedafors</t>
  </si>
  <si>
    <t>Kongsvinger</t>
  </si>
  <si>
    <t>313.A1F2</t>
  </si>
  <si>
    <t>1985-12-01T00:00:00</t>
  </si>
  <si>
    <t>[{'AdressatID': 10242, 'Driftselskap': True, 'Hovedeier': True, 'Navn': 'HAFSLUND KRAFT AS', 'OrgNr': 976894677, 'ProsentAndel': None, 'ProsentAndelDrift': 100.0}, {'AdressatID': 41020, 'Driftselskap': False, 'Hovedeier': False, 'Navn': 'HAFSLUND KRAFT INNLANDET AS', 'OrgNr': 887396752, 'ProsentAndel': 100.0, 'ProsentAndelDrift': None}]</t>
  </si>
  <si>
    <t>[{'KdbID': 705, 'Tittel': 'Varalden og Bedafors kraftverker'}]</t>
  </si>
  <si>
    <t>Byälven-mangenvassdraget</t>
  </si>
  <si>
    <t>985</t>
  </si>
  <si>
    <t>Befring</t>
  </si>
  <si>
    <t>BEFRING KRAFT AS</t>
  </si>
  <si>
    <t>984512481</t>
  </si>
  <si>
    <t>087.E</t>
  </si>
  <si>
    <t>2003-04-07T00:00:00</t>
  </si>
  <si>
    <t>[{'AdressatID': 40998, 'Driftselskap': True, 'Hovedeier': True, 'Navn': 'BEFRING KRAFT AS', 'OrgNr': 984512481, 'ProsentAndel': 100.0, 'ProsentAndelDrift': 100.0}]</t>
  </si>
  <si>
    <t>[{'KdbID': 2999, 'Tittel': 'Befring kraftverk'}, {'KdbID': 3667, 'Tittel': 'Planendring Befring kraftverk'}]</t>
  </si>
  <si>
    <t>Breimsvassdraget</t>
  </si>
  <si>
    <t>04</t>
  </si>
  <si>
    <t>369</t>
  </si>
  <si>
    <t>Begna</t>
  </si>
  <si>
    <t>Å ENERGI VANNKRAFT AS</t>
  </si>
  <si>
    <t>882973972</t>
  </si>
  <si>
    <t>012.F23</t>
  </si>
  <si>
    <t>1954-08-01T00:00:00</t>
  </si>
  <si>
    <t>[{'AdressatID': 40121, 'Driftselskap': True, 'Hovedeier': True, 'Navn': 'Å ENERGI VANNKRAFT AS', 'OrgNr': 882973972, 'ProsentAndel': 100.0, 'ProsentAndelDrift': 100.0}]</t>
  </si>
  <si>
    <t>27</t>
  </si>
  <si>
    <t>Bele</t>
  </si>
  <si>
    <t>BELE KRAFT AS</t>
  </si>
  <si>
    <t>995357895</t>
  </si>
  <si>
    <t>Surnadal</t>
  </si>
  <si>
    <t>66</t>
  </si>
  <si>
    <t>112.4Z</t>
  </si>
  <si>
    <t>2013-01-19T00:00:00</t>
  </si>
  <si>
    <t>[{'AdressatID': 43711, 'Driftselskap': True, 'Hovedeier': True, 'Navn': 'BELE KRAFT AS', 'OrgNr': 995357895, 'ProsentAndel': 100.0, 'ProsentAndelDrift': 100.0}]</t>
  </si>
  <si>
    <t>[{'KdbID': 4854, 'Tittel': 'Bele Kraftverk'}]</t>
  </si>
  <si>
    <t>Beleelva</t>
  </si>
  <si>
    <t>Bele mikrokraftverk</t>
  </si>
  <si>
    <t>BELE KRAFTVERK DA</t>
  </si>
  <si>
    <t>989814702</t>
  </si>
  <si>
    <t>[{'AdressatID': 43403, 'Driftselskap': True, 'Hovedeier': True, 'Navn': 'BELE KRAFTVERK DA', 'OrgNr': 989814702, 'ProsentAndel': 100.0, 'ProsentAndelDrift': 100.0}]</t>
  </si>
  <si>
    <t>Bentsjord</t>
  </si>
  <si>
    <t>Storfjord</t>
  </si>
  <si>
    <t>38</t>
  </si>
  <si>
    <t>204.92B</t>
  </si>
  <si>
    <t>2012-06-22T00:00:00</t>
  </si>
  <si>
    <t>[{'AdressatID': 67944, 'Driftselskap': True, 'Hovedeier': True, 'Navn': 'CADRE ELVEKRAFT AS', 'OrgNr': 929375769, 'ProsentAndel': 100.0, 'ProsentAndelDrift': 100.0}]</t>
  </si>
  <si>
    <t>[{'KdbID': 5295, 'Tittel': 'Bentsjord kraftverk'}]</t>
  </si>
  <si>
    <t>Bentsjordelva</t>
  </si>
  <si>
    <t>829</t>
  </si>
  <si>
    <t>Berdal</t>
  </si>
  <si>
    <t>BERDAL OG MØLLSLETT KRAFTLAG AS</t>
  </si>
  <si>
    <t>976013875</t>
  </si>
  <si>
    <t>Åfjord</t>
  </si>
  <si>
    <t>58</t>
  </si>
  <si>
    <t>135.AAA</t>
  </si>
  <si>
    <t>1996-01-01T00:00:00</t>
  </si>
  <si>
    <t>[{'AdressatID': 42823, 'Driftselskap': True, 'Hovedeier': True, 'Navn': 'BERDAL OG MØLLSLETT KRAFTLAG AS', 'OrgNr': 976013875, 'ProsentAndel': 100.0, 'ProsentAndelDrift': 100.0}]</t>
  </si>
  <si>
    <t>Stordalselva</t>
  </si>
  <si>
    <t>Berdalselva</t>
  </si>
  <si>
    <t>BERDALSKRAFT AS</t>
  </si>
  <si>
    <t>990991251</t>
  </si>
  <si>
    <t>Rauma</t>
  </si>
  <si>
    <t>103.2A</t>
  </si>
  <si>
    <t>2011-03-07T00:00:00</t>
  </si>
  <si>
    <t>[{'AdressatID': 41244, 'Driftselskap': True, 'Hovedeier': True, 'Navn': 'BERDALSKRAFT AS', 'OrgNr': 990991251, 'ProsentAndel': 100.0, 'ProsentAndelDrift': 100.0}]</t>
  </si>
  <si>
    <t>[{'KdbID': 4474, 'Tittel': 'Berdalselva kraftverk'}]</t>
  </si>
  <si>
    <t>Innfjordselva</t>
  </si>
  <si>
    <t>431</t>
  </si>
  <si>
    <t>Bergbekken</t>
  </si>
  <si>
    <t>Molde</t>
  </si>
  <si>
    <t>105.4B</t>
  </si>
  <si>
    <t>1998-01-01T00:00:00</t>
  </si>
  <si>
    <t>[{'KdbID': 2724, 'Tittel': 'Bergbekken mikrokraftverk'}]</t>
  </si>
  <si>
    <t>Oppdølselva</t>
  </si>
  <si>
    <t>Berge</t>
  </si>
  <si>
    <t>FJÆRLAND KRAFT AS</t>
  </si>
  <si>
    <t>916498721</t>
  </si>
  <si>
    <t>Sogndal</t>
  </si>
  <si>
    <t>40</t>
  </si>
  <si>
    <t>078.21Z</t>
  </si>
  <si>
    <t>2018-03-06T00:00:00</t>
  </si>
  <si>
    <t>[{'AdressatID': 10455, 'Driftselskap': True, 'Hovedeier': False, 'Navn': 'SOGNEKRAFT PRODUKSJON AS', 'OrgNr': 916069634, 'ProsentAndel': None, 'ProsentAndelDrift': None}, {'AdressatID': 50422, 'Driftselskap': False, 'Hovedeier': True, 'Navn': 'FJÆRLAND KRAFT AS', 'OrgNr': 916498721, 'ProsentAndel': 100.0, 'ProsentAndelDrift': 100.0}]</t>
  </si>
  <si>
    <t>[{'KdbID': 5898, 'Tittel': 'Berge kraftverk'}, {'KdbID': 7646, 'Tittel': 'Berge kraftverk - Planendring'}]</t>
  </si>
  <si>
    <t>Bjåstadelvi</t>
  </si>
  <si>
    <t>316</t>
  </si>
  <si>
    <t>NVE - område: 7</t>
  </si>
  <si>
    <t>Bergelva</t>
  </si>
  <si>
    <t>BERGELVA KRAFT AS</t>
  </si>
  <si>
    <t>989930583</t>
  </si>
  <si>
    <t>Haram</t>
  </si>
  <si>
    <t>80</t>
  </si>
  <si>
    <t>102.2Z</t>
  </si>
  <si>
    <t>2008-05-09T00:00:00</t>
  </si>
  <si>
    <t>[{'AdressatID': 42962, 'Driftselskap': True, 'Hovedeier': True, 'Navn': 'BERGELVA KRAFT AS', 'OrgNr': 989930583, 'ProsentAndel': 100.0, 'ProsentAndelDrift': 100.0}]</t>
  </si>
  <si>
    <t>[{'KdbID': 4062, 'Tittel': 'Bergelva minikraftverk'}]</t>
  </si>
  <si>
    <t>Storelva</t>
  </si>
  <si>
    <t>Bergerfoss</t>
  </si>
  <si>
    <t>AS RANDSFJORD TREMASSE- &amp; PAPIRFABRIKK</t>
  </si>
  <si>
    <t>915297331</t>
  </si>
  <si>
    <t>Akershus</t>
  </si>
  <si>
    <t>Jevnaker</t>
  </si>
  <si>
    <t>36</t>
  </si>
  <si>
    <t>012.EA72</t>
  </si>
  <si>
    <t>1938-01-01T00:00:00</t>
  </si>
  <si>
    <t>[{'AdressatID': 11909, 'Driftselskap': False, 'Hovedeier': True, 'Navn': 'AS RANDSFJORD TREMASSE- &amp; PAPIRFABRIKK', 'OrgNr': 915297331, 'ProsentAndel': None, 'ProsentAndelDrift': 50.0}, {'AdressatID': 25361, 'Driftselskap': False, 'Hovedeier': False, 'Navn': 'RINGERIKSKRAFT PRODUKSJON AS', 'OrgNr': 987293586, 'ProsentAndel': 25.0, 'ProsentAndelDrift': None}, {'AdressatID': 25551, 'Driftselskap': True, 'Hovedeier': False, 'Navn': 'HADELAND KRAFTPRODUKSJON AS', 'OrgNr': 976465792, 'ProsentAndel': 25.0, 'ProsentAndelDrift': None}, {'AdressatID': 50431, 'Driftselskap': True, 'Hovedeier': False, 'Navn': 'MOE - BERGERFOSS 1 Einar Mikael Borch', 'OrgNr': 984582099, 'ProsentAndel': 50.0, 'ProsentAndelDrift': 50.0}]</t>
  </si>
  <si>
    <t>[{'KdbID': 807, 'Tittel': 'Regulering av Randsfjord'}, {'KdbID': 1623, 'Tittel': 'Fornyelse av konsesjon på reg. av Randsfjorden.'}, {'KdbID': 1789, 'Tittel': 'Erverv av fallrettigheter i Viulfoss, Kistefoss, Askerudfoss, Bergerfoss'}, {'KdbID': 4058, 'Tittel': 'Endelig fastsettelse av manøvreringsreglement for Randsfjorden'}]</t>
  </si>
  <si>
    <t>Bergesli</t>
  </si>
  <si>
    <t>BERGESLI KRAFTVERK AS</t>
  </si>
  <si>
    <t>990917779</t>
  </si>
  <si>
    <t>Kvinesdal</t>
  </si>
  <si>
    <t>025.B3Z</t>
  </si>
  <si>
    <t>2008-07-02T00:00:00</t>
  </si>
  <si>
    <t>[{'AdressatID': 43639, 'Driftselskap': True, 'Hovedeier': True, 'Navn': 'BERGESLI KRAFTVERK AS', 'OrgNr': 990917779, 'ProsentAndel': 100.0, 'ProsentAndelDrift': 100.0}]</t>
  </si>
  <si>
    <t>[{'KdbID': 3969, 'Tittel': 'Bergesli kraftverk'}]</t>
  </si>
  <si>
    <t>Kvina</t>
  </si>
  <si>
    <t>127</t>
  </si>
  <si>
    <t>Bergesåi</t>
  </si>
  <si>
    <t>CHR SALVESEN &amp; CHR THAMS'S COMMUNICATIONS AKTIESELSKAB</t>
  </si>
  <si>
    <t>915640850</t>
  </si>
  <si>
    <t xml:space="preserve">Telemark </t>
  </si>
  <si>
    <t>Fyresdal</t>
  </si>
  <si>
    <t>019.H2B</t>
  </si>
  <si>
    <t>2022-10-18T00:00:00</t>
  </si>
  <si>
    <t>[{'AdressatID': 10499, 'Driftselskap': False, 'Hovedeier': True, 'Navn': "CHR SALVESEN &amp; CHR THAMS'S COMMUNICATIONS AKTIESELSKAB", 'OrgNr': 915640850, 'ProsentAndel': 100.0, 'ProsentAndelDrift': 100.0}, {'AdressatID': 40394, 'Driftselskap': True, 'Hovedeier': False, 'Navn': 'SMÅKRAFT AS', 'OrgNr': 984616155, 'ProsentAndel': None, 'ProsentAndelDrift': None}]</t>
  </si>
  <si>
    <t>[{'KdbID': 7318, 'Tittel': 'Bergesåi kraftverk'}]</t>
  </si>
  <si>
    <t>Arendalsvassdraget</t>
  </si>
  <si>
    <t>105</t>
  </si>
  <si>
    <t>Bergsbotn</t>
  </si>
  <si>
    <t>TROMS KRAFT PRODUKSJON AS</t>
  </si>
  <si>
    <t>979152116</t>
  </si>
  <si>
    <t>Senja</t>
  </si>
  <si>
    <t>30</t>
  </si>
  <si>
    <t>195.6A0</t>
  </si>
  <si>
    <t>1985-01-01T00:00:00</t>
  </si>
  <si>
    <t>[{'AdressatID': 26351, 'Driftselskap': True, 'Hovedeier': True, 'Navn': 'TROMS KRAFT PRODUKSJON AS', 'OrgNr': 979152116, 'ProsentAndel': 100.0, 'ProsentAndelDrift': 100.0}]</t>
  </si>
  <si>
    <t>[{'KdbID': 125, 'Tittel': 'Reg., erverv m.v. for bygging av Bergsbotn kr.v. i Fosselvvassdr.'}]</t>
  </si>
  <si>
    <t>Forselva</t>
  </si>
  <si>
    <t>767</t>
  </si>
  <si>
    <t>Bergselva</t>
  </si>
  <si>
    <t>NORDIC POWER AS</t>
  </si>
  <si>
    <t>914341183</t>
  </si>
  <si>
    <t>204.82</t>
  </si>
  <si>
    <t>2013-09-18T00:00:00</t>
  </si>
  <si>
    <t>[{'AdressatID': 50060, 'Driftselskap': True, 'Hovedeier': True, 'Navn': 'NORDIC POWER AS', 'OrgNr': 914341183, 'ProsentAndel': 100.0, 'ProsentAndelDrift': 100.0}]</t>
  </si>
  <si>
    <t>[{'KdbID': 5025, 'Tittel': 'Bergselva kraftverk'}]</t>
  </si>
  <si>
    <t>Bergselvi</t>
  </si>
  <si>
    <t>BERGSELVI KRAFTVERK AS</t>
  </si>
  <si>
    <t>991936491</t>
  </si>
  <si>
    <t>Luster</t>
  </si>
  <si>
    <t>44</t>
  </si>
  <si>
    <t>075.BA0</t>
  </si>
  <si>
    <t>2021-10-26T00:00:00</t>
  </si>
  <si>
    <t>[{'AdressatID': 50134, 'Driftselskap': True, 'Hovedeier': True, 'Navn': 'BERGSELVI KRAFTVERK AS', 'OrgNr': 991936491, 'ProsentAndel': 100.0, 'ProsentAndelDrift': 100.0}]</t>
  </si>
  <si>
    <t>[{'KdbID': 7515, 'Tittel': 'Bergselvi kraftverk'}]</t>
  </si>
  <si>
    <t>Fortunvassdraget</t>
  </si>
  <si>
    <t>10</t>
  </si>
  <si>
    <t>307</t>
  </si>
  <si>
    <t>Bergsfjord</t>
  </si>
  <si>
    <t>YMBER PRODUKSJON AS</t>
  </si>
  <si>
    <t>913680294</t>
  </si>
  <si>
    <t>Loppa</t>
  </si>
  <si>
    <t>211.34A</t>
  </si>
  <si>
    <t>2006-12-14T00:00:00</t>
  </si>
  <si>
    <t>[{'AdressatID': 10551, 'Driftselskap': True, 'Hovedeier': True, 'Navn': 'YMBER PRODUKSJON AS', 'OrgNr': 913680294, 'ProsentAndel': 100.0, 'ProsentAndelDrift': 100.0}]</t>
  </si>
  <si>
    <t>[{'KdbID': 6091, 'Tittel': 'Bergsfjord kraftverk'}]</t>
  </si>
  <si>
    <t>Bergsfjordelva</t>
  </si>
  <si>
    <t>Bergstø</t>
  </si>
  <si>
    <t>042.3Z</t>
  </si>
  <si>
    <t>2009-12-04T00:00:00</t>
  </si>
  <si>
    <t>[{'KdbID': 4390, 'Tittel': 'Bergstø kraftverk'}]</t>
  </si>
  <si>
    <t>Dalelva</t>
  </si>
  <si>
    <t>188</t>
  </si>
  <si>
    <t>Berild</t>
  </si>
  <si>
    <t>RAUMA ENERGI PRODUKSJON AS</t>
  </si>
  <si>
    <t>970974253</t>
  </si>
  <si>
    <t>103.2Z</t>
  </si>
  <si>
    <t>1999-09-27T00:00:00</t>
  </si>
  <si>
    <t>[{'AdressatID': 23825, 'Driftselskap': True, 'Hovedeier': True, 'Navn': 'RAUMA ENERGI PRODUKSJON AS', 'OrgNr': 970974253, 'ProsentAndel': 100.0, 'ProsentAndelDrift': 100.0}]</t>
  </si>
  <si>
    <t>[{'KdbID': 40, 'Tittel': 'Regulering av Berildvatn i Innfjordelv m.v.'}, {'KdbID': 2282, 'Tittel': 'Nytt Berild kraftverk'}, {'KdbID': 6181, 'Tittel': 'Utvidelse av Berild Kraftverk'}]</t>
  </si>
  <si>
    <t>Berlifoss</t>
  </si>
  <si>
    <t>Nissedal</t>
  </si>
  <si>
    <t>019.DA1</t>
  </si>
  <si>
    <t>1958-01-01T00:00:00</t>
  </si>
  <si>
    <t>31</t>
  </si>
  <si>
    <t>Bessa Minikraftverk</t>
  </si>
  <si>
    <t>Vågå</t>
  </si>
  <si>
    <t>002.DGF51</t>
  </si>
  <si>
    <t>1999-01-01T00:00:00</t>
  </si>
  <si>
    <t>[{'KdbID': 4208, 'Tittel': 'Utvidelse av Bessa minikraftverk'}]</t>
  </si>
  <si>
    <t>Bestul</t>
  </si>
  <si>
    <t>Pumpe</t>
  </si>
  <si>
    <t>P</t>
  </si>
  <si>
    <t>LØVENSKIOLD-FOSSUM KRAFT AS</t>
  </si>
  <si>
    <t>994200682</t>
  </si>
  <si>
    <t>Skien</t>
  </si>
  <si>
    <t>016.ADAC</t>
  </si>
  <si>
    <t>2015-02-02T00:00:00</t>
  </si>
  <si>
    <t>[{'AdressatID': 43184, 'Driftselskap': True, 'Hovedeier': True, 'Navn': 'LØVENSKIOLD-FOSSUM KRAFT AS', 'OrgNr': 994200682, 'ProsentAndel': 100.0, 'ProsentAndelDrift': 100.0}]</t>
  </si>
  <si>
    <t>[{'KdbID': 4288, 'Tittel': 'Tillatelse til bygging av Fjellet kraftverk og Godal kraftverk samt reguleringer og overføring'}]</t>
  </si>
  <si>
    <t>Skiensvassdraget</t>
  </si>
  <si>
    <t>09</t>
  </si>
  <si>
    <t>078</t>
  </si>
  <si>
    <t>Bingsfoss</t>
  </si>
  <si>
    <t>GLOMMA KRAFTPRODUKSJON AS</t>
  </si>
  <si>
    <t>987287608</t>
  </si>
  <si>
    <t>Lillestrøm</t>
  </si>
  <si>
    <t>002.D4</t>
  </si>
  <si>
    <t>1977-06-15T00:00:00</t>
  </si>
  <si>
    <t>[{'AdressatID': 41008, 'Driftselskap': True, 'Hovedeier': True, 'Navn': 'GLOMMA KRAFTPRODUKSJON AS', 'OrgNr': 987287608, 'ProsentAndel': 100.0, 'ProsentAndelDrift': 100.0}]</t>
  </si>
  <si>
    <t>[{'KdbID': 331, 'Tittel': 'Ekspropr. m.v. for utbygging av Bingsfoss i Glomma'}, {'KdbID': 8788, 'Tittel': 'Midlertidig senking av overvann ved Bingsfoss under LRV - 2.-5. april 2022 - Referansenr:RJFCGR'}]</t>
  </si>
  <si>
    <t>Birkedal</t>
  </si>
  <si>
    <t>BØSTRAND AUTOMASKIN</t>
  </si>
  <si>
    <t>892540322</t>
  </si>
  <si>
    <t>Vanylven</t>
  </si>
  <si>
    <t>092.A</t>
  </si>
  <si>
    <t>2017-12-20T00:00:00</t>
  </si>
  <si>
    <t>[{'AdressatID': 51357, 'Driftselskap': True, 'Hovedeier': True, 'Navn': 'BØSTRAND AUTOMASKIN', 'OrgNr': 892540322, 'ProsentAndel': 100.0, 'ProsentAndelDrift': 100.0}]</t>
  </si>
  <si>
    <t>[{'KdbID': 6740, 'Tittel': 'Birkedal kraftverk'}]</t>
  </si>
  <si>
    <t>Gusdalelva</t>
  </si>
  <si>
    <t>Birkås</t>
  </si>
  <si>
    <t>Høyanger</t>
  </si>
  <si>
    <t>080.22D</t>
  </si>
  <si>
    <t>2006-08-24T00:00:00</t>
  </si>
  <si>
    <t>[{'KdbID': 3076, 'Tittel': 'Sagelva minikraftverk'}]</t>
  </si>
  <si>
    <t>Dyrneslielva</t>
  </si>
  <si>
    <t>330</t>
  </si>
  <si>
    <t>Biskopstien</t>
  </si>
  <si>
    <t>Lund</t>
  </si>
  <si>
    <t>12</t>
  </si>
  <si>
    <t>026.BBA1</t>
  </si>
  <si>
    <t>[{'KdbID': 2562, 'Tittel': 'Biskopstien kraftverk'}]</t>
  </si>
  <si>
    <t>Sira</t>
  </si>
  <si>
    <t>132</t>
  </si>
  <si>
    <t>Bjelland</t>
  </si>
  <si>
    <t>Lindesnes</t>
  </si>
  <si>
    <t>022.C4</t>
  </si>
  <si>
    <t>1974-01-01T00:00:00</t>
  </si>
  <si>
    <t>[{'KdbID': 112, 'Tittel': 'Utbygging av Bjelland kraftverk - Endring av vilkår, fløtningsvann'}, {'KdbID': 416, 'Tittel': 'Ekspropr. m.v. for bygging av Bjelland Kraftverk'}, {'KdbID': 6245, 'Tittel': 'Opprusting aggregat 2 Bjelland'}]</t>
  </si>
  <si>
    <t>Mandalselva</t>
  </si>
  <si>
    <t>119</t>
  </si>
  <si>
    <t>Bjelland II</t>
  </si>
  <si>
    <t>BJELLAND &amp; MUSLAND KRAFT AS</t>
  </si>
  <si>
    <t>892065152</t>
  </si>
  <si>
    <t>Tysvær</t>
  </si>
  <si>
    <t>039.12</t>
  </si>
  <si>
    <t>2011-11-02T00:00:00</t>
  </si>
  <si>
    <t>[{'AdressatID': 43419, 'Driftselskap': True, 'Hovedeier': True, 'Navn': 'BJELLAND &amp; MUSLAND KRAFT AS', 'OrgNr': 892065152, 'ProsentAndel': 100.0, 'ProsentAndelDrift': 100.0}]</t>
  </si>
  <si>
    <t>[{'KdbID': 4974, 'Tittel': 'Minikraftverk i Bjellandselva'}]</t>
  </si>
  <si>
    <t>Bjergaelva</t>
  </si>
  <si>
    <t>BJERGAELVA KRAFT AS</t>
  </si>
  <si>
    <t>880419552</t>
  </si>
  <si>
    <t>Suldal</t>
  </si>
  <si>
    <t>036.32</t>
  </si>
  <si>
    <t>2004-01-01T00:00:00</t>
  </si>
  <si>
    <t>[{'AdressatID': 42888, 'Driftselskap': True, 'Hovedeier': True, 'Navn': 'BJERGAELVA KRAFT AS', 'OrgNr': 880419552, 'ProsentAndel': 100.0, 'ProsentAndelDrift': 100.0}]</t>
  </si>
  <si>
    <t>[{'KdbID': 3164, 'Tittel': 'Mikrokraftverk - Bjergelva'}]</t>
  </si>
  <si>
    <t>Bjerka</t>
  </si>
  <si>
    <t>Hemnes</t>
  </si>
  <si>
    <t>155.AC0</t>
  </si>
  <si>
    <t>1972-01-01T00:00:00</t>
  </si>
  <si>
    <t>[{'KdbID': 51, 'Tittel': 'Ytterligere regulering av Bjerka-Plura m.v. (Bjerka kraftverk)'}, {'KdbID': 1948, 'Tittel': 'Ekspropriasjon av grunn og rettigh. for utb. av Bjerka krv.'}, {'KdbID': 1949, 'Tittel': 'Endr. av manøvreringsreglement for Bjerka - Plura utb.'}]</t>
  </si>
  <si>
    <t>Røssåga</t>
  </si>
  <si>
    <t>649</t>
  </si>
  <si>
    <t>Bjordal</t>
  </si>
  <si>
    <t>JENS DOMINICUS NAGELL BJORDAL</t>
  </si>
  <si>
    <t>985035652</t>
  </si>
  <si>
    <t>041.21Z</t>
  </si>
  <si>
    <t>2004-11-18T00:00:00</t>
  </si>
  <si>
    <t>[{'AdressatID': 43709, 'Driftselskap': True, 'Hovedeier': True, 'Navn': 'JENS DOMINICUS NAGELL BJORDAL', 'OrgNr': 985035652, 'ProsentAndel': 100.0, 'ProsentAndelDrift': 100.0}]</t>
  </si>
  <si>
    <t>[{'KdbID': 3899, 'Tittel': 'Bjordalselva mikrokraftverk'}]</t>
  </si>
  <si>
    <t>Svensbøelva</t>
  </si>
  <si>
    <t>Bjordal II</t>
  </si>
  <si>
    <t>2009-06-15T00:00:00</t>
  </si>
  <si>
    <t>[{'KdbID': 4972, 'Tittel': 'Bjordal Kraft II, mikrokraftverk'}]</t>
  </si>
  <si>
    <t>Bjordalen</t>
  </si>
  <si>
    <t>Hjartdal</t>
  </si>
  <si>
    <t>016.EDZ</t>
  </si>
  <si>
    <t>1960-09-02T00:00:00</t>
  </si>
  <si>
    <t>[{'KdbID': 906, 'Tittel': 'Overføring av Heiåi til Skjesvatn'}, {'KdbID': 1203, 'Tittel': 'Till. til å rå over alt vannet i Hjartdal-Tuddalsvassdr.'}, {'KdbID': 1819, 'Tittel': 'Ekspropriasjon av fallrettigh. Hjartdal- Tuddalvassdret.'}, {'KdbID': 6431, 'Tittel': 'Revisjon av konsesjonsvilkår - Hjartdøla'}]</t>
  </si>
  <si>
    <t>53</t>
  </si>
  <si>
    <t>Bjordøla</t>
  </si>
  <si>
    <t>NORDBØ OLAV S</t>
  </si>
  <si>
    <t>970260196</t>
  </si>
  <si>
    <t>016.EDC</t>
  </si>
  <si>
    <t>2005-04-11T00:00:00</t>
  </si>
  <si>
    <t>[{'AdressatID': 41461, 'Driftselskap': True, 'Hovedeier': True, 'Navn': 'NORDBØ OLAV S', 'OrgNr': 970260196, 'ProsentAndel': 100.0, 'ProsentAndelDrift': 100.0}]</t>
  </si>
  <si>
    <t>[{'KdbID': 3768, 'Tittel': 'Bjordøla mikrokraftverk'}, {'KdbID': 6431, 'Tittel': 'Revisjon av konsesjonsvilkår - Hjartdøla'}]</t>
  </si>
  <si>
    <t>Bjoråi</t>
  </si>
  <si>
    <t>019.DCC</t>
  </si>
  <si>
    <t>[{'KdbID': 3563, 'Tittel': 'Bjoråi mikrokraftverk'}]</t>
  </si>
  <si>
    <t>Bjølvo</t>
  </si>
  <si>
    <t>Kvam</t>
  </si>
  <si>
    <t>22</t>
  </si>
  <si>
    <t>052.4B</t>
  </si>
  <si>
    <t>2003-10-29T00:00:00</t>
  </si>
  <si>
    <t>[{'KdbID': 79, 'Tittel': 'Erverv og regulering av Bjølvovassdraget i Hardanger'}, {'KdbID': 415, 'Tittel': 'Erverv og regulering av Bjølvovassdraget - Endring av vilkår'}, {'KdbID': 2244, 'Tittel': 'Bjølvo kraftverk, rehabilitering og utvidelse'}, {'KdbID': 3727, 'Tittel': 'Justert manøvreringsreglement for Bjølvo kraftverk'}]</t>
  </si>
  <si>
    <t>233</t>
  </si>
  <si>
    <t>Bjørdal</t>
  </si>
  <si>
    <t>TUSSA ENERGI AS</t>
  </si>
  <si>
    <t>876795442</t>
  </si>
  <si>
    <t>095.E</t>
  </si>
  <si>
    <t>1931-01-01T00:00:00</t>
  </si>
  <si>
    <t>[{'AdressatID': 25567, 'Driftselskap': True, 'Hovedeier': True, 'Navn': 'TUSSA ENERGI AS', 'OrgNr': 876795442, 'ProsentAndel': 100.0, 'ProsentAndelDrift': 100.0}]</t>
  </si>
  <si>
    <t>[{'KdbID': 202, 'Tittel': 'Regulering av Øvrevatn og overføring av Geitvikelva til Kvanndalsv.'}, {'KdbID': 2648, 'Tittel': 'Erverv fallrettigheter Bjordal og Vartdal kr.v., overf. reg.kons.'}]</t>
  </si>
  <si>
    <t>Ørstavassdraget</t>
  </si>
  <si>
    <t>395</t>
  </si>
  <si>
    <t>Bjørgelva</t>
  </si>
  <si>
    <t>Sørreisa</t>
  </si>
  <si>
    <t>193.4B</t>
  </si>
  <si>
    <t>2020-12-17T00:00:00</t>
  </si>
  <si>
    <t>[{'KdbID': 6737, 'Tittel': 'Bjørgelva kraftverk'}]</t>
  </si>
  <si>
    <t>Bjørgjo</t>
  </si>
  <si>
    <t>KAMBO ENERGI AS</t>
  </si>
  <si>
    <t>992529970</t>
  </si>
  <si>
    <t>041.41A0</t>
  </si>
  <si>
    <t>2009-06-11T00:00:00</t>
  </si>
  <si>
    <t>[{'AdressatID': 43017, 'Driftselskap': True, 'Hovedeier': True, 'Navn': 'KAMBO ENERGI AS', 'OrgNr': 992529970, 'ProsentAndel': 100.0, 'ProsentAndelDrift': 100.0}]</t>
  </si>
  <si>
    <t>[{'KdbID': 4962, 'Tittel': 'Bjørgjo kraftverk'}]</t>
  </si>
  <si>
    <t>elv fra Langavatnet</t>
  </si>
  <si>
    <t>Bjørgum</t>
  </si>
  <si>
    <t>Valle</t>
  </si>
  <si>
    <t>021.E5A</t>
  </si>
  <si>
    <t>2004-09-01T00:00:00</t>
  </si>
  <si>
    <t>[{'KdbID': 2579, 'Tittel': 'Bjørgum småkraftverk'}]</t>
  </si>
  <si>
    <t>Bjørheimsbygd</t>
  </si>
  <si>
    <t>BJØRHEIMSBYGD KRAFTVERK AS</t>
  </si>
  <si>
    <t>963235291</t>
  </si>
  <si>
    <t>Strand</t>
  </si>
  <si>
    <t>032.4A5</t>
  </si>
  <si>
    <t>2006-02-17T00:00:00</t>
  </si>
  <si>
    <t>[{'AdressatID': 68267, 'Driftselskap': True, 'Hovedeier': True, 'Navn': 'BJØRHEIMSBYGD KRAFTVERK AS', 'OrgNr': 963235291, 'ProsentAndel': 100.0, 'ProsentAndelDrift': 100.0}]</t>
  </si>
  <si>
    <t>[{'KdbID': 3781, 'Tittel': 'Bjørheimsbygd kraftstasjon'}]</t>
  </si>
  <si>
    <t>Tauelva</t>
  </si>
  <si>
    <t>159</t>
  </si>
  <si>
    <t>Bjørkåsen</t>
  </si>
  <si>
    <t>BALLANGEN ENERGI AS</t>
  </si>
  <si>
    <t>971592117</t>
  </si>
  <si>
    <t>173.3Z</t>
  </si>
  <si>
    <t>1987-09-20T00:00:00</t>
  </si>
  <si>
    <t>[{'AdressatID': 24162, 'Driftselskap': False, 'Hovedeier': True, 'Navn': 'BALLANGEN ENERGI AS', 'OrgNr': 971592117, 'ProsentAndel': 100.0, 'ProsentAndelDrift': 100.0}, {'AdressatID': 50288, 'Driftselskap': True, 'Hovedeier': False, 'Navn': 'NORDKRAFT ENERGIDRIFT AS', 'OrgNr': 916116993, 'ProsentAndel': None, 'ProsentAndelDrift': None}]</t>
  </si>
  <si>
    <t>[{'KdbID': 520, 'Tittel': 'Erverv av grunn og rettigheter og regulering av Børsvann'}, {'KdbID': 621, 'Tittel': 'Ny ervervs- og reguleringskonsesjon Bjørkåsen kraftverk'}]</t>
  </si>
  <si>
    <t>Rånaelva</t>
  </si>
  <si>
    <t>735</t>
  </si>
  <si>
    <t>Bjørndalen</t>
  </si>
  <si>
    <t>SFE AS</t>
  </si>
  <si>
    <t>984882106</t>
  </si>
  <si>
    <t>Bremanger</t>
  </si>
  <si>
    <t>48</t>
  </si>
  <si>
    <t>086.7C</t>
  </si>
  <si>
    <t>2006-06-15T00:00:00</t>
  </si>
  <si>
    <t>[{'AdressatID': 10447, 'Driftselskap': False, 'Hovedeier': False, 'Navn': 'FIRDAKRAFT AS', 'OrgNr': 911647605, 'ProsentAndel': 100.0, 'ProsentAndelDrift': None}, {'AdressatID': 25454, 'Driftselskap': True, 'Hovedeier': True, 'Navn': 'SFE AS', 'OrgNr': 984882106, 'ProsentAndel': None, 'ProsentAndelDrift': 100.0}]</t>
  </si>
  <si>
    <t>[{'KdbID': 3706, 'Tittel': 'Dauremål og Bjørndalen kraftverk'}]</t>
  </si>
  <si>
    <t>Vestre yksneelva</t>
  </si>
  <si>
    <t>364</t>
  </si>
  <si>
    <t>062.BAA</t>
  </si>
  <si>
    <t>2021-12-21T00:00:00</t>
  </si>
  <si>
    <t>[{'KdbID': 6898, 'Tittel': 'Bjørndalen kraftverk'}]</t>
  </si>
  <si>
    <t>Vossovassdraget</t>
  </si>
  <si>
    <t>254</t>
  </si>
  <si>
    <t>Bjørndalselva</t>
  </si>
  <si>
    <t>BJØRNDALEN KRAFT AS</t>
  </si>
  <si>
    <t>988456632</t>
  </si>
  <si>
    <t>084.E31</t>
  </si>
  <si>
    <t>[{'AdressatID': 42405, 'Driftselskap': True, 'Hovedeier': True, 'Navn': 'BJØRNDALEN KRAFT AS', 'OrgNr': 988456632, 'ProsentAndel': 100.0, 'ProsentAndelDrift': 100.0}]</t>
  </si>
  <si>
    <t>[{'KdbID': 4091, 'Tittel': 'Bjørndalselva kraftverk'}]</t>
  </si>
  <si>
    <t>Bjørnebykverna</t>
  </si>
  <si>
    <t>SOLØR MILJØ KRAFT AS</t>
  </si>
  <si>
    <t>894678852</t>
  </si>
  <si>
    <t>Åsnes</t>
  </si>
  <si>
    <t>002.H1A0</t>
  </si>
  <si>
    <t>2000-01-01T00:00:00</t>
  </si>
  <si>
    <t>[{'AdressatID': 43747, 'Driftselskap': True, 'Hovedeier': True, 'Navn': 'SOLØR MILJØ KRAFT AS', 'OrgNr': 894678852, 'ProsentAndel': 100.0, 'ProsentAndelDrift': 100.0}]</t>
  </si>
  <si>
    <t>Bjørnstadåi</t>
  </si>
  <si>
    <t>SMÅKRAFT VEKST 2025 AS</t>
  </si>
  <si>
    <t>931733850</t>
  </si>
  <si>
    <t>019.DCB1Z</t>
  </si>
  <si>
    <t>2025-03-28T00:00:00</t>
  </si>
  <si>
    <t>[{'AdressatID': 40394, 'Driftselskap': True, 'Hovedeier': False, 'Navn': 'SMÅKRAFT AS', 'OrgNr': 984616155, 'ProsentAndel': None, 'ProsentAndelDrift': None}, {'AdressatID': 69445, 'Driftselskap': False, 'Hovedeier': True, 'Navn': 'SMÅKRAFT VEKST 2025 AS', 'OrgNr': 931733850, 'ProsentAndel': 100.0, 'ProsentAndelDrift': 100.0}]</t>
  </si>
  <si>
    <t>[{'KdbID': 7210, 'Tittel': 'Bjørnstadåi kraftverk'}]</t>
  </si>
  <si>
    <t>Bjørnstokk</t>
  </si>
  <si>
    <t>Brønnøy</t>
  </si>
  <si>
    <t>13</t>
  </si>
  <si>
    <t>144.721Z</t>
  </si>
  <si>
    <t>2017-07-06T00:00:00</t>
  </si>
  <si>
    <t>[{'KdbID': 4603, 'Tittel': 'Bjørnstokk kraftverk'}]</t>
  </si>
  <si>
    <t>Bjørnstokkelva</t>
  </si>
  <si>
    <t>614</t>
  </si>
  <si>
    <t>Bjørsvik</t>
  </si>
  <si>
    <t>LERØY VEST AS</t>
  </si>
  <si>
    <t>886813082</t>
  </si>
  <si>
    <t>Alver</t>
  </si>
  <si>
    <t>064.6</t>
  </si>
  <si>
    <t>1952-01-01T00:00:00</t>
  </si>
  <si>
    <t>[{'AdressatID': 50012, 'Driftselskap': True, 'Hovedeier': True, 'Navn': 'LERØY VEST AS', 'OrgNr': 886813082, 'ProsentAndel': 100.0, 'ProsentAndelDrift': 100.0}]</t>
  </si>
  <si>
    <t>[{'KdbID': 5972, 'Tittel': 'Bjørsvik kraftverk'}]</t>
  </si>
  <si>
    <t>Bjøråa</t>
  </si>
  <si>
    <t>Høylandet</t>
  </si>
  <si>
    <t>142.32Z</t>
  </si>
  <si>
    <t>HANS JOHAN AARNES</t>
  </si>
  <si>
    <t>979259492</t>
  </si>
  <si>
    <t>112.3A2</t>
  </si>
  <si>
    <t>[{'AdressatID': 42691, 'Driftselskap': True, 'Hovedeier': True, 'Navn': 'HANS JOHAN AARNES', 'OrgNr': 979259492, 'ProsentAndel': 100.0, 'ProsentAndelDrift': 100.0}]</t>
  </si>
  <si>
    <t>[{'KdbID': 2278, 'Tittel': 'Mikrokraftverk i Bjøråa'}]</t>
  </si>
  <si>
    <t>Bøvra</t>
  </si>
  <si>
    <t>Bjåstad</t>
  </si>
  <si>
    <t>2018-03-22T00:00:00</t>
  </si>
  <si>
    <t>[{'KdbID': 5897, 'Tittel': 'Bjåstad kraftverk'}]</t>
  </si>
  <si>
    <t>Blikraåna</t>
  </si>
  <si>
    <t>BLIKRAÅNA KRAFTVERK AS</t>
  </si>
  <si>
    <t>889506822</t>
  </si>
  <si>
    <t>038.5B</t>
  </si>
  <si>
    <t>2006-09-27T00:00:00</t>
  </si>
  <si>
    <t>[{'AdressatID': 43460, 'Driftselskap': True, 'Hovedeier': True, 'Navn': 'BLIKRAÅNA KRAFTVERK AS', 'OrgNr': 889506822, 'ProsentAndel': 100.0, 'ProsentAndelDrift': 100.0}]</t>
  </si>
  <si>
    <t>[{'KdbID': 3905, 'Tittel': 'Blikraåna minikraftverk'}]</t>
  </si>
  <si>
    <t>Blikåsbekken</t>
  </si>
  <si>
    <t>Indre Fosen</t>
  </si>
  <si>
    <t>131.9B</t>
  </si>
  <si>
    <t>[{'KdbID': 2279, 'Tittel': 'Mikrokraftverk i Bliksåsbekken'}]</t>
  </si>
  <si>
    <t>Prestelva</t>
  </si>
  <si>
    <t>Blokken</t>
  </si>
  <si>
    <t>Sortland – Suortá</t>
  </si>
  <si>
    <t>70</t>
  </si>
  <si>
    <t>178.43A</t>
  </si>
  <si>
    <t>1917-01-01T00:00:00</t>
  </si>
  <si>
    <t>[{'KdbID': 4738, 'Tittel': 'Regulering av Nervatnet og Innervatnet, Blokkenvassdraget'}]</t>
  </si>
  <si>
    <t>Blokkelva</t>
  </si>
  <si>
    <t>Blådalselva</t>
  </si>
  <si>
    <t>Masfjorden</t>
  </si>
  <si>
    <t>065.7Z</t>
  </si>
  <si>
    <t>2010-09-27T00:00:00</t>
  </si>
  <si>
    <t>[{'KdbID': 4341, 'Tittel': 'Blådalselva kraftverk'}]</t>
  </si>
  <si>
    <t>Kvingedalsvassdraget</t>
  </si>
  <si>
    <t>263</t>
  </si>
  <si>
    <t>Blåfalli III H</t>
  </si>
  <si>
    <t>SUNNHORDLAND KRAFTLAG AS</t>
  </si>
  <si>
    <t>916435711</t>
  </si>
  <si>
    <t>042.B2</t>
  </si>
  <si>
    <t>1968-01-01T00:00:00</t>
  </si>
  <si>
    <t>[{'AdressatID': 10437, 'Driftselskap': True, 'Hovedeier': True, 'Navn': 'SUNNHORDLAND KRAFTLAG AS', 'OrgNr': 916435711, 'ProsentAndel': 100.0, 'ProsentAndelDrift': 100.0}]</t>
  </si>
  <si>
    <t>[{'KdbID': 484, 'Tittel': 'Ytt. erverv, reg. og overføring i Blådalsvassdraget mv.'}, {'KdbID': 2599, 'Tittel': 'Heving av HRV i Midtbotnvatn med 1,0 m'}, {'KdbID': 2900, 'Tittel': 'Overf. av fire nedbørfelt i Svelgenomr. til Møsevatn, Blådalsvassdr'}, {'KdbID': 4809, 'Tittel': 'Overføring Eikemoelva til Vetrhusvatn (Blåfalli)'}]</t>
  </si>
  <si>
    <t>Blåelva</t>
  </si>
  <si>
    <t>193</t>
  </si>
  <si>
    <t>Blåfalli III L</t>
  </si>
  <si>
    <t>1976-01-01T00:00:00</t>
  </si>
  <si>
    <t>[{'KdbID': 484, 'Tittel': 'Ytt. erverv, reg. og overføring i Blådalsvassdraget mv.'}, {'KdbID': 4809, 'Tittel': 'Overføring Eikemoelva til Vetrhusvatn (Blåfalli)'}]</t>
  </si>
  <si>
    <t>Blåfalli IV</t>
  </si>
  <si>
    <t>042.E21</t>
  </si>
  <si>
    <t>1981-12-15T00:00:00</t>
  </si>
  <si>
    <t>[{'KdbID': 484, 'Tittel': 'Ytt. erverv, reg. og overføring i Blådalsvassdraget mv.'}, {'KdbID': 2900, 'Tittel': 'Overf. av fire nedbørfelt i Svelgenomr. til Møsevatn, Blådalsvassdr'}]</t>
  </si>
  <si>
    <t>Blåfalli V</t>
  </si>
  <si>
    <t>042.F</t>
  </si>
  <si>
    <t>[{'KdbID': 2599, 'Tittel': 'Heving av HRV i Midtbotnvatn med 1,0 m'}, {'KdbID': 2822, 'Tittel': 'Blåfalli V kraftverk'}]</t>
  </si>
  <si>
    <t>07</t>
  </si>
  <si>
    <t>Blåfalli Vik</t>
  </si>
  <si>
    <t>042.7B</t>
  </si>
  <si>
    <t>2007-05-01T00:00:00</t>
  </si>
  <si>
    <t>[{'KdbID': 484, 'Tittel': 'Ytt. erverv, reg. og overføring i Blådalsvassdraget mv.'}, {'KdbID': 834, 'Tittel': 'Erverv av vannfall i Blåelva mellom Fjellhaugvatn og sjøen'}, {'KdbID': 2599, 'Tittel': 'Heving av HRV i Midtbotnvatn med 1,0 m'}, {'KdbID': 2900, 'Tittel': 'Overf. av fire nedbørfelt i Svelgenomr. til Møsevatn, Blådalsvassdr'}, {'KdbID': 2994, 'Tittel': 'Blåfalli kraftverk - Vik'}, {'KdbID': 4809, 'Tittel': 'Overføring Eikemoelva til Vetrhusvatn (Blåfalli)'}]</t>
  </si>
  <si>
    <t>Opstveitvassdraget</t>
  </si>
  <si>
    <t>Blålid</t>
  </si>
  <si>
    <t>BLÅLID KRAFT AS</t>
  </si>
  <si>
    <t>989362402</t>
  </si>
  <si>
    <t>086.320</t>
  </si>
  <si>
    <t>2007-03-28T00:00:00</t>
  </si>
  <si>
    <t>[{'AdressatID': 43358, 'Driftselskap': True, 'Hovedeier': True, 'Navn': 'BLÅLID KRAFT AS', 'OrgNr': 989362402, 'ProsentAndel': 100.0, 'ProsentAndelDrift': 100.0}]</t>
  </si>
  <si>
    <t>[{'KdbID': 4174, 'Tittel': 'Blålid minikraftverk'}]</t>
  </si>
  <si>
    <t>Blåsvagrova</t>
  </si>
  <si>
    <t>083.F</t>
  </si>
  <si>
    <t>[{'KdbID': 4068, 'Tittel': 'Blåsvagrova mikrokraftverk'}]</t>
  </si>
  <si>
    <t>Boen Foss</t>
  </si>
  <si>
    <t>BOEN FOSS AS</t>
  </si>
  <si>
    <t>917998760</t>
  </si>
  <si>
    <t>Kristiansand</t>
  </si>
  <si>
    <t>020.A12</t>
  </si>
  <si>
    <t>2021-02-06T00:00:00</t>
  </si>
  <si>
    <t>[{'AdressatID': 43612, 'Driftselskap': True, 'Hovedeier': True, 'Navn': 'BOEN FOSS AS', 'OrgNr': 917998760, 'ProsentAndel': 100.0, 'ProsentAndelDrift': 100.0}]</t>
  </si>
  <si>
    <t>[{'KdbID': 6640, 'Tittel': 'Nytt Boenfossen kraftverk'}, {'KdbID': 9609, 'Tittel': 'Midlertidig fravik fra manøvreringsreglementet - Boen Foss\xa0kraftverk - 01.04.2025 - 31.08.2026'}]</t>
  </si>
  <si>
    <t>Tovdalsvassdraget</t>
  </si>
  <si>
    <t>111</t>
  </si>
  <si>
    <t>Bog</t>
  </si>
  <si>
    <t>BOG KRAFT AS</t>
  </si>
  <si>
    <t>992784954</t>
  </si>
  <si>
    <t>035.8</t>
  </si>
  <si>
    <t>2008-11-19T00:00:00</t>
  </si>
  <si>
    <t>[{'AdressatID': 41360, 'Driftselskap': True, 'Hovedeier': True, 'Navn': 'BOG KRAFT AS', 'OrgNr': 992784954, 'ProsentAndel': 100.0, 'ProsentAndelDrift': 100.0}]</t>
  </si>
  <si>
    <t>[{'KdbID': 4413, 'Tittel': 'Bog mikrokraftverk'}]</t>
  </si>
  <si>
    <t>Boge 1</t>
  </si>
  <si>
    <t>BOGE KRAFT AS</t>
  </si>
  <si>
    <t>985993610</t>
  </si>
  <si>
    <t>061.4A</t>
  </si>
  <si>
    <t>[{'AdressatID': 42510, 'Driftselskap': True, 'Hovedeier': True, 'Navn': 'BOGE KRAFT AS', 'OrgNr': 985993610, 'ProsentAndel': 100.0, 'ProsentAndelDrift': 100.0}]</t>
  </si>
  <si>
    <t>[{'KdbID': 3895, 'Tittel': 'Boge I minikraftverk'}, {'KdbID': 7824, 'Tittel': 'Boge I minikraftverk'}]</t>
  </si>
  <si>
    <t>239</t>
  </si>
  <si>
    <t>Boge 2</t>
  </si>
  <si>
    <t>2008-09-02T00:00:00</t>
  </si>
  <si>
    <t>[{'KdbID': 4560, 'Tittel': 'Bogekraft AS - Boge 2 '}]</t>
  </si>
  <si>
    <t>Bogna</t>
  </si>
  <si>
    <t>Snåase – Snåsa</t>
  </si>
  <si>
    <t>128.C43</t>
  </si>
  <si>
    <t>1971-01-28T00:00:00</t>
  </si>
  <si>
    <t>[{'KdbID': 428, 'Tittel': 'Regulering av Bangsjøene og overføring til Snåsavatnet'}]</t>
  </si>
  <si>
    <t>Snåsavassdraget</t>
  </si>
  <si>
    <t>517</t>
  </si>
  <si>
    <t>Bordalsbekken</t>
  </si>
  <si>
    <t>039.21Z</t>
  </si>
  <si>
    <t>2012-08-31T00:00:00</t>
  </si>
  <si>
    <t>[{'KdbID': 5199, 'Tittel': 'Bordalsbekken kraftverk'}]</t>
  </si>
  <si>
    <t>Storaelva</t>
  </si>
  <si>
    <t>Bordalselva</t>
  </si>
  <si>
    <t>SMÅKRAFT GREEN BOND 2 AS</t>
  </si>
  <si>
    <t>825750932</t>
  </si>
  <si>
    <t>105.20</t>
  </si>
  <si>
    <t>2020-11-11T00:00:00</t>
  </si>
  <si>
    <t>[{'AdressatID': 40394, 'Driftselskap': True, 'Hovedeier': False, 'Navn': 'SMÅKRAFT AS', 'OrgNr': 984616155, 'ProsentAndel': None, 'ProsentAndelDrift': None}, {'AdressatID': 60857, 'Driftselskap': False, 'Hovedeier': True, 'Navn': 'SMÅKRAFT GREEN BOND 2 AS', 'OrgNr': 825750932, 'ProsentAndel': 100.0, 'ProsentAndelDrift': 100.0}]</t>
  </si>
  <si>
    <t>[{'KdbID': 6523, 'Tittel': 'Bordalselva kraftverk'}]</t>
  </si>
  <si>
    <t>Borgund</t>
  </si>
  <si>
    <t>ØSTFOLD ENERGI AS</t>
  </si>
  <si>
    <t>879904412</t>
  </si>
  <si>
    <t>Lærdal</t>
  </si>
  <si>
    <t>073.C12</t>
  </si>
  <si>
    <t>1974-10-04T00:00:00</t>
  </si>
  <si>
    <t>[{'AdressatID': 41137, 'Driftselskap': True, 'Hovedeier': True, 'Navn': 'ØSTFOLD ENERGI AS', 'OrgNr': 879904412, 'ProsentAndel': 100.0, 'ProsentAndelDrift': 100.0}]</t>
  </si>
  <si>
    <t>[{'KdbID': 71, 'Tittel': 'Reguleringer og overføringer i Lærdalsvassdraget'}, {'KdbID': 652, 'Tittel': 'Reg. og overf. i Lærdalsvassdr. - Midl. endr. av man.regl. Borgund'}, {'KdbID': 3966, 'Tittel': 'Planendring Borgund kr.v. i  Lærdalsvassdraget'}, {'KdbID': 4712, 'Tittel': 'Overføring av Vadhaugane og planendring Borgund kraftverk i Lærdalsvassdraget'}, {'KdbID': 6787, 'Tittel': 'Mørkedøla pumpe i Lærdalsvassdraget'}, {'KdbID': 9572, 'Tittel': 'Søknad - Midlertidig fravik fra manøvreringsreglementet - Borgund\xa0kraftverk\xa0-\xa0ØSTFOLD ENERGI AS - Tapping under LRV ;  - 01.03.2025 til 30.04.2026- Referansenr:AAWJMT'}]</t>
  </si>
  <si>
    <t>Lærdalsvassdraget</t>
  </si>
  <si>
    <t>298</t>
  </si>
  <si>
    <t>Borgåna</t>
  </si>
  <si>
    <t>038.1B</t>
  </si>
  <si>
    <t>2017-01-31T00:00:00</t>
  </si>
  <si>
    <t>[{'KdbID': 5481, 'Tittel': 'Borgåna kraftverk'}, {'KdbID': 7416, 'Tittel': 'Planendring Borgånå kraftverk'}]</t>
  </si>
  <si>
    <t>Vikastølelva</t>
  </si>
  <si>
    <t>Borregaard</t>
  </si>
  <si>
    <t>SARPSFOSS LIMITED NUF</t>
  </si>
  <si>
    <t>916694385</t>
  </si>
  <si>
    <t>Østfold</t>
  </si>
  <si>
    <t>Sarpsborg</t>
  </si>
  <si>
    <t>002.A4</t>
  </si>
  <si>
    <t>1910-01-01T00:00:00</t>
  </si>
  <si>
    <t>[{'AdressatID': 10242, 'Driftselskap': True, 'Hovedeier': False, 'Navn': 'HAFSLUND KRAFT AS', 'OrgNr': 976894677, 'ProsentAndel': None, 'ProsentAndelDrift': None}, {'AdressatID': 11075, 'Driftselskap': False, 'Hovedeier': True, 'Navn': 'SARPSFOSS LIMITED NUF', 'OrgNr': 916694385, 'ProsentAndel': 100.0, 'ProsentAndelDrift': 100.0}]</t>
  </si>
  <si>
    <t>[{'KdbID': 599, 'Tittel': 'Bygdinreg., ny konsesjon for private (Hafslund og Borregaard)'}, {'KdbID': 4296, 'Tittel': 'Nytt aggregat i Borregaard kr.st'}, {'KdbID': 8421, 'Tittel': 'Generatordrift i pumpestasjon i Sarpsfossen '}]</t>
  </si>
  <si>
    <t>Botna</t>
  </si>
  <si>
    <t>BOTNA KRAFT AS</t>
  </si>
  <si>
    <t>911605244</t>
  </si>
  <si>
    <t>078.22</t>
  </si>
  <si>
    <t>2020-05-25T00:00:00</t>
  </si>
  <si>
    <t>[{'AdressatID': 51174, 'Driftselskap': True, 'Hovedeier': True, 'Navn': 'BOTNA KRAFT AS', 'OrgNr': 911605244, 'ProsentAndel': 100.0, 'ProsentAndelDrift': 100.0}]</t>
  </si>
  <si>
    <t>[{'KdbID': 6656, 'Tittel': 'Botna kraftverk'}]</t>
  </si>
  <si>
    <t>Botnabakken</t>
  </si>
  <si>
    <t>BOTNABAKKEN KRAFT AS</t>
  </si>
  <si>
    <t>992361301</t>
  </si>
  <si>
    <t>084.AB3</t>
  </si>
  <si>
    <t>2009-02-05T00:00:00</t>
  </si>
  <si>
    <t>[{'AdressatID': 42937, 'Driftselskap': True, 'Hovedeier': True, 'Navn': 'BOTNABAKKEN KRAFT AS', 'OrgNr': 992361301, 'ProsentAndel': 100.0, 'ProsentAndelDrift': 100.0}]</t>
  </si>
  <si>
    <t>[{'KdbID': 5137, 'Tittel': 'Botnabakken minikraftverk'}]</t>
  </si>
  <si>
    <t>Botnaelva</t>
  </si>
  <si>
    <t>BOTNAELVA KRAFTVERK AS</t>
  </si>
  <si>
    <t>821091152</t>
  </si>
  <si>
    <t>045.31Z</t>
  </si>
  <si>
    <t>2005-06-07T00:00:00</t>
  </si>
  <si>
    <t>[{'AdressatID': 53295, 'Driftselskap': True, 'Hovedeier': True, 'Navn': 'BOTNAELVA KRAFTVERK AS', 'OrgNr': 821091152, 'ProsentAndel': 100.0, 'ProsentAndelDrift': 100.0}]</t>
  </si>
  <si>
    <t>[{'KdbID': 3885, 'Tittel': 'Botnaelva minikraftverk'}]</t>
  </si>
  <si>
    <t>SØRDALSKRAFT AS</t>
  </si>
  <si>
    <t>987393971</t>
  </si>
  <si>
    <t>063.A5Z</t>
  </si>
  <si>
    <t>2007-01-04T00:00:00</t>
  </si>
  <si>
    <t>[{'AdressatID': 41352, 'Driftselskap': True, 'Hovedeier': True, 'Navn': 'SØRDALSKRAFT AS', 'OrgNr': 987393971, 'ProsentAndel': 100.0, 'ProsentAndelDrift': 100.0}]</t>
  </si>
  <si>
    <t>[{'KdbID': 3937, 'Tittel': 'Botnaelva minikraftverk'}]</t>
  </si>
  <si>
    <t>Eksingedalsvassdraget</t>
  </si>
  <si>
    <t>257</t>
  </si>
  <si>
    <t>Botnen</t>
  </si>
  <si>
    <t>BOTNEN KRAFTVERK AS</t>
  </si>
  <si>
    <t>997832086</t>
  </si>
  <si>
    <t>036.E10</t>
  </si>
  <si>
    <t>2025-05-09T00:00:00</t>
  </si>
  <si>
    <t>[{'AdressatID': 51019, 'Driftselskap': False, 'Hovedeier': True, 'Navn': 'BOTNEN KRAFTVERK AS', 'OrgNr': 997832086, 'ProsentAndel': 100.0, 'ProsentAndelDrift': 100.0}, {'AdressatID': 52024, 'Driftselskap': True, 'Hovedeier': False, 'Navn': 'CAPTIVA ASSET MANAGEMENT AS', 'OrgNr': 991840192, 'ProsentAndel': None, 'ProsentAndelDrift': None}]</t>
  </si>
  <si>
    <t>[{'KdbID': 5198, 'Tittel': 'Botnen kraftverk'}]</t>
  </si>
  <si>
    <t>Suldalsvassdraget</t>
  </si>
  <si>
    <t>166</t>
  </si>
  <si>
    <t>Brandåa</t>
  </si>
  <si>
    <t>SVORKA ENERGI AS</t>
  </si>
  <si>
    <t>919763159</t>
  </si>
  <si>
    <t>Rindal</t>
  </si>
  <si>
    <t>61</t>
  </si>
  <si>
    <t>112.D4A0</t>
  </si>
  <si>
    <t>2009-12-11T00:00:00</t>
  </si>
  <si>
    <t>[{'AdressatID': 10486, 'Driftselskap': True, 'Hovedeier': True, 'Navn': 'SVORKA ENERGI AS', 'OrgNr': 919763159, 'ProsentAndel': 100.0, 'ProsentAndelDrift': 100.0}]</t>
  </si>
  <si>
    <t>[{'KdbID': 4277, 'Tittel': 'Brandåa kraftverk'}]</t>
  </si>
  <si>
    <t>Surna</t>
  </si>
  <si>
    <t>457</t>
  </si>
  <si>
    <t>Braskereidfoss</t>
  </si>
  <si>
    <t>Våler (Innlandet)</t>
  </si>
  <si>
    <t>19</t>
  </si>
  <si>
    <t>002.H12</t>
  </si>
  <si>
    <t>1978-12-12T00:00:00</t>
  </si>
  <si>
    <t>[{'KdbID': 475, 'Tittel': 'Erverv av fall og ekspropr. for utb. av Braskereidfoss i Glomma'}, {'KdbID': 6297, 'Tittel': 'Utvidelse og opprusting Braskereidfoss kraftverk'}]</t>
  </si>
  <si>
    <t>Bratsberg</t>
  </si>
  <si>
    <t>Trondheim</t>
  </si>
  <si>
    <t>123.A6</t>
  </si>
  <si>
    <t>1977-10-01T00:00:00</t>
  </si>
  <si>
    <t>[{'KdbID': 346, 'Tittel': 'Bratsberg kraftverk'}, {'KdbID': 3701, 'Tittel': 'Revisjon av vilkår for regulering av Selbusjøen og Dragstsjøen'}, {'KdbID': 9673, 'Tittel': 'Midlertidig tillatelse til fravik fra manøvreringsreglement for Selbusjøen sommeren 2025'}]</t>
  </si>
  <si>
    <t>Nidelvvassdraget</t>
  </si>
  <si>
    <t>499</t>
  </si>
  <si>
    <t>Brattabøelvi</t>
  </si>
  <si>
    <t>BRATTABØELVI KRAFT AS</t>
  </si>
  <si>
    <t>921045417</t>
  </si>
  <si>
    <t>047.2C4</t>
  </si>
  <si>
    <t>2022-07-25T00:00:00</t>
  </si>
  <si>
    <t>[{'AdressatID': 52024, 'Driftselskap': True, 'Hovedeier': False, 'Navn': 'CAPTIVA ASSET MANAGEMENT AS', 'OrgNr': 991840192, 'ProsentAndel': None, 'ProsentAndelDrift': None}, {'AdressatID': 53088, 'Driftselskap': False, 'Hovedeier': True, 'Navn': 'BRATTABØELVI KRAFT AS', 'OrgNr': 921045417, 'ProsentAndel': 100.0, 'ProsentAndelDrift': 100.0}]</t>
  </si>
  <si>
    <t>[{'KdbID': 6513, 'Tittel': 'Brattabøelvi kraftverk'}]</t>
  </si>
  <si>
    <t>Jondalselvi</t>
  </si>
  <si>
    <t>208</t>
  </si>
  <si>
    <t>Bratthus</t>
  </si>
  <si>
    <t>BRATTHUS KRAFTVERK AS</t>
  </si>
  <si>
    <t>996777502</t>
  </si>
  <si>
    <t>053.D3</t>
  </si>
  <si>
    <t>2012-05-07T00:00:00</t>
  </si>
  <si>
    <t>[{'AdressatID': 43329, 'Driftselskap': True, 'Hovedeier': True, 'Navn': 'BRATTHUS KRAFTVERK AS', 'OrgNr': 996777502, 'ProsentAndel': 100.0, 'ProsentAndelDrift': 100.0}]</t>
  </si>
  <si>
    <t>[{'KdbID': 6733, 'Tittel': 'Bratthuselva kraftverk'}]</t>
  </si>
  <si>
    <t>Sævareidvassdraget</t>
  </si>
  <si>
    <t>242</t>
  </si>
  <si>
    <t>Brattingfoss</t>
  </si>
  <si>
    <t>Steinkjer</t>
  </si>
  <si>
    <t>129.B0</t>
  </si>
  <si>
    <t>1955-12-05T00:00:00</t>
  </si>
  <si>
    <t>[{'KdbID': 237, 'Tittel': 'Utvidet regulering av Follavassdraget'}, {'KdbID': 2549, 'Tittel': 'Opprustn. av Follafoss kraftverk/overf. Brattreitelva'}]</t>
  </si>
  <si>
    <t>Follavassdraget</t>
  </si>
  <si>
    <t>522</t>
  </si>
  <si>
    <t>Brattset</t>
  </si>
  <si>
    <t>KRAFTVERKENE I ORKLA DA</t>
  </si>
  <si>
    <t>947576283</t>
  </si>
  <si>
    <t>Rennebu</t>
  </si>
  <si>
    <t>121.C6A0</t>
  </si>
  <si>
    <t>1982-10-10T00:00:00</t>
  </si>
  <si>
    <t>[{'AdressatID': 10242, 'Driftselskap': False, 'Hovedeier': False, 'Navn': 'HAFSLUND KRAFT AS', 'OrgNr': 976894677, 'ProsentAndel': 12.0, 'ProsentAndelDrift': None}, {'AdressatID': 10505, 'Driftselskap': True, 'Hovedeier': True, 'Navn': 'KRAFTVERKENE I ORKLA DA', 'OrgNr': 947576283, 'ProsentAndel': None, 'ProsentAndelDrift': 100.0}, {'AdressatID': 27503, 'Driftselskap': False, 'Hovedeier': False, 'Navn': 'TRØNDERENERGI KRAFT AS', 'OrgNr': 878631072, 'ProsentAndel': 35.0, 'ProsentAndelDrift': None}, {'AdressatID': 40542, 'Driftselskap': False, 'Hovedeier': False, 'Navn': 'NORD ØSTERDAL KRAFTLAG ANDELSVERK AS', 'OrgNr': 981309103, 'ProsentAndel': 4.4, 'ProsentAndelDrift': None}, {'AdressatID': 41005, 'Driftselskap': False, 'Hovedeier': False, 'Navn': 'STATKRAFT ENERGI AS', 'OrgNr': 987059729, 'ProsentAndel': 48.6, 'ProsentAndelDrift': None}]</t>
  </si>
  <si>
    <t>[{'KdbID': 447, 'Tittel': 'Orkla-Grana utbyggingen - Erverv og regulering av Orkla og Grana'}, {'KdbID': 757, 'Tittel': 'Orkla-Grana utbyggingen - Brattset Kraftverk, Planendring m.v.'}, {'KdbID': 9664, 'Tittel': 'Søknad - Midlertidig fravik fra manøvreringsreglementet - Brattset\xa0kraftverk\xa0-\xa0TRØNDERENERGI KRAFT AS - Fravik fra minstevannføring;  - 01.06.2025 til 30.06.2025- Referansenr:LVLLDH'}]</t>
  </si>
  <si>
    <t>Orkla</t>
  </si>
  <si>
    <t>493</t>
  </si>
  <si>
    <t>Brattvåg</t>
  </si>
  <si>
    <t>BRATTVÅG KRAFTVERK AS</t>
  </si>
  <si>
    <t>925539317</t>
  </si>
  <si>
    <t>102.12Z</t>
  </si>
  <si>
    <t>1912-01-01T00:00:00</t>
  </si>
  <si>
    <t>[{'AdressatID': 61705, 'Driftselskap': True, 'Hovedeier': True, 'Navn': 'BRATTVÅG KRAFTVERK AS', 'OrgNr': 925539317, 'ProsentAndel': 100.0, 'ProsentAndelDrift': 100.0}]</t>
  </si>
  <si>
    <t>Brattvågelva</t>
  </si>
  <si>
    <t>Breiava</t>
  </si>
  <si>
    <t>LYSE KRAFT DA</t>
  </si>
  <si>
    <t>925749419</t>
  </si>
  <si>
    <t>Hjelmeland</t>
  </si>
  <si>
    <t>033.D2</t>
  </si>
  <si>
    <t>2006-08-28T00:00:00</t>
  </si>
  <si>
    <t>[{'AdressatID': 10282, 'Driftselskap': True, 'Hovedeier': False, 'Navn': 'HYDRO ENERGI AS', 'OrgNr': 930187240, 'ProsentAndel': 25.6, 'ProsentAndelDrift': None}, {'AdressatID': 29097, 'Driftselskap': False, 'Hovedeier': False, 'Navn': 'LYSE PRODUKSJON AS', 'OrgNr': 980335216, 'ProsentAndel': 74.4, 'ProsentAndelDrift': None}, {'AdressatID': 60547, 'Driftselskap': False, 'Hovedeier': True, 'Navn': 'LYSE KRAFT DA', 'OrgNr': 925749419, 'ProsentAndel': None, 'ProsentAndelDrift': 100.0}]</t>
  </si>
  <si>
    <t>[{'KdbID': 33, 'Tittel': 'Reg. av Årdalsvassdraget, Stølsåen og Lysevassdraget overf. mv'}, {'KdbID': 259, 'Tittel': 'Ytt. reg. av Lyngsvatn og reg. av Breiavatn'}, {'KdbID': 3732, 'Tittel': 'Breiava kraftverk'}]</t>
  </si>
  <si>
    <t>Årdalselva</t>
  </si>
  <si>
    <t>153</t>
  </si>
  <si>
    <t>Breidalselva</t>
  </si>
  <si>
    <t>LANGEDALSELVA KRAFT AS</t>
  </si>
  <si>
    <t>919559330</t>
  </si>
  <si>
    <t>Gloppen</t>
  </si>
  <si>
    <t>087.1AZ</t>
  </si>
  <si>
    <t>2016-10-31T00:00:00</t>
  </si>
  <si>
    <t>[{'AdressatID': 51338, 'Driftselskap': True, 'Hovedeier': True, 'Navn': 'LANGEDALSELVA KRAFT AS', 'OrgNr': 919559330, 'ProsentAndel': 100.0, 'ProsentAndelDrift': 100.0}]</t>
  </si>
  <si>
    <t>[{'KdbID': 5265, 'Tittel': 'Breidalselva minikraftverk'}]</t>
  </si>
  <si>
    <t>Traudalselva</t>
  </si>
  <si>
    <t>368</t>
  </si>
  <si>
    <t>Breilobekken</t>
  </si>
  <si>
    <t>SIRDAL KRAFT AS</t>
  </si>
  <si>
    <t>920828108</t>
  </si>
  <si>
    <t>Sirdal</t>
  </si>
  <si>
    <t>026.F212</t>
  </si>
  <si>
    <t>2021-06-03T00:00:00</t>
  </si>
  <si>
    <t>[{'AdressatID': 52024, 'Driftselskap': True, 'Hovedeier': False, 'Navn': 'CAPTIVA ASSET MANAGEMENT AS', 'OrgNr': 991840192, 'ProsentAndel': None, 'ProsentAndelDrift': None}, {'AdressatID': 52364, 'Driftselskap': False, 'Hovedeier': True, 'Navn': 'SIRDAL KRAFT AS', 'OrgNr': 920828108, 'ProsentAndel': 100.0, 'ProsentAndelDrift': 100.0}]</t>
  </si>
  <si>
    <t>[{'KdbID': 5434, 'Tittel': 'Breilobekken kraftverk'}, {'KdbID': 8309, 'Tittel': 'Planendring Breilobekken kraftverk'}]</t>
  </si>
  <si>
    <t>Breiskallen</t>
  </si>
  <si>
    <t>VOKKS KRAFT AS</t>
  </si>
  <si>
    <t>976550013</t>
  </si>
  <si>
    <t>Gjøvik</t>
  </si>
  <si>
    <t>002.DCB0</t>
  </si>
  <si>
    <t>1988-01-01T00:00:00</t>
  </si>
  <si>
    <t>[{'AdressatID': 40001, 'Driftselskap': True, 'Hovedeier': True, 'Navn': 'VOKKS KRAFT AS', 'OrgNr': 976550013, 'ProsentAndel': 100.0, 'ProsentAndelDrift': 100.0}]</t>
  </si>
  <si>
    <t>[{'KdbID': 625, 'Tittel': 'Erverv av fall i Hunnselva, Breiskallen kraftverk'}]</t>
  </si>
  <si>
    <t>75</t>
  </si>
  <si>
    <t>005</t>
  </si>
  <si>
    <t>Breive</t>
  </si>
  <si>
    <t>OTRA KRAFT DA</t>
  </si>
  <si>
    <t>955007514</t>
  </si>
  <si>
    <t>Bykle</t>
  </si>
  <si>
    <t>021.JA0</t>
  </si>
  <si>
    <t>1981-01-01T00:00:00</t>
  </si>
  <si>
    <t>[{'AdressatID': 10394, 'Driftselskap': False, 'Hovedeier': True, 'Navn': 'OTRA KRAFT DA', 'OrgNr': 955007514, 'ProsentAndel': None, 'ProsentAndelDrift': 100.0}, {'AdressatID': 11486, 'Driftselskap': False, 'Hovedeier': False, 'Navn': 'OTTERAAENS BRUGSEIERFORENING', 'OrgNr': 959951829, 'ProsentAndel': None, 'ProsentAndelDrift': None}, {'AdressatID': 40113, 'Driftselskap': False, 'Hovedeier': False, 'Navn': 'SKAGERAK KRAFT AS', 'OrgNr': 979563531, 'ProsentAndel': 31.4, 'ProsentAndelDrift': None}, {'AdressatID': 40121, 'Driftselskap': True, 'Hovedeier': False, 'Navn': 'Å ENERGI VANNKRAFT AS', 'OrgNr': 882973972, 'ProsentAndel': 68.6, 'ProsentAndelDrift': None}]</t>
  </si>
  <si>
    <t>[{'KdbID': 745, 'Tittel': 'Øvre Otra utbyggingen - Fornyet till. til ekspr. av fallrettigheter'}, {'KdbID': 8830, 'Tittel': 'Midlertidig fravik fra minstevannføring - Otra, Breive\xa0kraftverk, august 2022- Referansenr:DRNVCE'}]</t>
  </si>
  <si>
    <t>43</t>
  </si>
  <si>
    <t>Breivikbotn</t>
  </si>
  <si>
    <t>HAMMERFEST ENERGI PRODUKSJON AS</t>
  </si>
  <si>
    <t>986950281</t>
  </si>
  <si>
    <t>Hasvik</t>
  </si>
  <si>
    <t>16</t>
  </si>
  <si>
    <t>216.5A</t>
  </si>
  <si>
    <t>1950-01-01T00:00:00</t>
  </si>
  <si>
    <t>[{'AdressatID': 25459, 'Driftselskap': True, 'Hovedeier': True, 'Navn': 'HAMMERFEST ENERGI PRODUKSJON AS', 'OrgNr': 986950281, 'ProsentAndel': 100.0, 'ProsentAndelDrift': 100.0}]</t>
  </si>
  <si>
    <t>[{'KdbID': 478, 'Tittel': 'Ytterligere reg. av Øvre Eggevatn i Eggevassdraget i Finnmark'}, {'KdbID': 3618, 'Tittel': 'Flytting av Breivikbotn kraftverk'}]</t>
  </si>
  <si>
    <t>Eggevatnvassdraget</t>
  </si>
  <si>
    <t>860</t>
  </si>
  <si>
    <t>Breivikelva</t>
  </si>
  <si>
    <t>SKS PRODUKSJON AS</t>
  </si>
  <si>
    <t>915637353</t>
  </si>
  <si>
    <t>161.32Z</t>
  </si>
  <si>
    <t>2021-06-30T00:00:00</t>
  </si>
  <si>
    <t>[{'AdressatID': 10544, 'Driftselskap': True, 'Hovedeier': True, 'Navn': 'SKS PRODUKSJON AS', 'OrgNr': 915637353, 'ProsentAndel': 100.0, 'ProsentAndelDrift': 100.0}]</t>
  </si>
  <si>
    <t>[{'KdbID': 5578, 'Tittel': 'Breivikelva kraftverk'}]</t>
  </si>
  <si>
    <t>683</t>
  </si>
  <si>
    <t>BREIVIKELVA KRAFT AS</t>
  </si>
  <si>
    <t>925575062</t>
  </si>
  <si>
    <t>Gildeskål</t>
  </si>
  <si>
    <t>161.22</t>
  </si>
  <si>
    <t>2024-05-07T00:00:00</t>
  </si>
  <si>
    <t>[{'AdressatID': 40545, 'Driftselskap': True, 'Hovedeier': False, 'Navn': 'FORTE VANNKRAFT AS', 'OrgNr': 975964825, 'ProsentAndel': None, 'ProsentAndelDrift': None}, {'AdressatID': 60768, 'Driftselskap': False, 'Hovedeier': True, 'Navn': 'BREIVIKELVA KRAFT AS', 'OrgNr': 925575062, 'ProsentAndel': 100.0, 'ProsentAndelDrift': 100.0}]</t>
  </si>
  <si>
    <t>[{'KdbID': 6220, 'Tittel': 'Breivikelva kraftverk'}]</t>
  </si>
  <si>
    <t>Breivold</t>
  </si>
  <si>
    <t>BREIVOLD ENERGI AS</t>
  </si>
  <si>
    <t>981412001</t>
  </si>
  <si>
    <t>135.3C0</t>
  </si>
  <si>
    <t>2001-01-01T00:00:00</t>
  </si>
  <si>
    <t>[{'AdressatID': 29048, 'Driftselskap': True, 'Hovedeier': True, 'Navn': 'BREIVOLD ENERGI AS', 'OrgNr': 981412001, 'ProsentAndel': 100.0, 'ProsentAndelDrift': 100.0}]</t>
  </si>
  <si>
    <t>[{'KdbID': 2675, 'Tittel': 'Breivold minikraftverk'}]</t>
  </si>
  <si>
    <t>Arnvikelva</t>
  </si>
  <si>
    <t>549</t>
  </si>
  <si>
    <t>Brekke</t>
  </si>
  <si>
    <t>Rakkestad</t>
  </si>
  <si>
    <t>002.A7</t>
  </si>
  <si>
    <t>1987-01-01T00:00:00</t>
  </si>
  <si>
    <t>[{'KdbID': 697, 'Tittel': 'Mjørud, Buer, Gapestad og Brekke kraftverk i Rakkestadelva'}]</t>
  </si>
  <si>
    <t>Halden</t>
  </si>
  <si>
    <t>001.B3</t>
  </si>
  <si>
    <t>1924-10-01T00:00:00</t>
  </si>
  <si>
    <t>Haldenvassdraget</t>
  </si>
  <si>
    <t>003</t>
  </si>
  <si>
    <t>Brekkebekken</t>
  </si>
  <si>
    <t>ERLEND SAMSLÅTT</t>
  </si>
  <si>
    <t>969790521</t>
  </si>
  <si>
    <t>026.DAB</t>
  </si>
  <si>
    <t>2004-09-09T00:00:00</t>
  </si>
  <si>
    <t>[{'AdressatID': 24327, 'Driftselskap': True, 'Hovedeier': True, 'Navn': 'ERLEND SAMSLÅTT', 'OrgNr': 969790521, 'ProsentAndel': 100.0, 'ProsentAndelDrift': 100.0}]</t>
  </si>
  <si>
    <t>[{'KdbID': 2254, 'Tittel': 'Brekkebekken minikraftverk'}]</t>
  </si>
  <si>
    <t>Brekkefoss</t>
  </si>
  <si>
    <t>Hemsedal</t>
  </si>
  <si>
    <t>012.CDBA1</t>
  </si>
  <si>
    <t>1957-07-24T00:00:00</t>
  </si>
  <si>
    <t>[{'AdressatID': 10242, 'Driftselskap': True, 'Hovedeier': True, 'Navn': 'HAFSLUND KRAFT AS', 'OrgNr': 976894677, 'ProsentAndel': 100.0, 'ProsentAndelDrift': 100.0}]</t>
  </si>
  <si>
    <t>[{'KdbID': 90, 'Tittel': 'Reg. av Hemsilvassdraget i Buskerud m.v.'}]</t>
  </si>
  <si>
    <t>68</t>
  </si>
  <si>
    <t>Brekkefossen</t>
  </si>
  <si>
    <t>HOPE ENERGI AS</t>
  </si>
  <si>
    <t>985564655</t>
  </si>
  <si>
    <t>086.8A</t>
  </si>
  <si>
    <t>2005-05-23T00:00:00</t>
  </si>
  <si>
    <t>[{'AdressatID': 41344, 'Driftselskap': True, 'Hovedeier': True, 'Navn': 'HOPE ENERGI AS', 'OrgNr': 985564655, 'ProsentAndel': 100.0, 'ProsentAndelDrift': 100.0}]</t>
  </si>
  <si>
    <t>[{'KdbID': 3133, 'Tittel': 'Brekkefossen kraftverk'}]</t>
  </si>
  <si>
    <t>Hopselva</t>
  </si>
  <si>
    <t>366</t>
  </si>
  <si>
    <t>BREKKEFOSSEN KRAFTVERK AS</t>
  </si>
  <si>
    <t>992484918</t>
  </si>
  <si>
    <t>Fjaler</t>
  </si>
  <si>
    <t>082.5D</t>
  </si>
  <si>
    <t>2018-01-24T00:00:00</t>
  </si>
  <si>
    <t>[{'AdressatID': 43794, 'Driftselskap': True, 'Hovedeier': False, 'Navn': 'CLEMENS KRAFT AS', 'OrgNr': 912511480, 'ProsentAndel': None, 'ProsentAndelDrift': None}, {'AdressatID': 50287, 'Driftselskap': False, 'Hovedeier': True, 'Navn': 'BREKKEFOSSEN KRAFTVERK AS', 'OrgNr': 992484918, 'ProsentAndel': 100.0, 'ProsentAndelDrift': 100.0}]</t>
  </si>
  <si>
    <t>[{'KdbID': 7146, 'Tittel': 'Brekkefossen kraftverk'}, {'KdbID': 7731, 'Tittel': 'Brekkefossen kraftverk - økt slukeevne og effekt'}]</t>
  </si>
  <si>
    <t>335</t>
  </si>
  <si>
    <t>Brekkestøl</t>
  </si>
  <si>
    <t>BREKKESTØL KRAFTVERK AS</t>
  </si>
  <si>
    <t>880556142</t>
  </si>
  <si>
    <t>Gjesdal</t>
  </si>
  <si>
    <t>030.2Z</t>
  </si>
  <si>
    <t>[{'AdressatID': 41099, 'Driftselskap': True, 'Hovedeier': True, 'Navn': 'BREKKESTØL KRAFTVERK AS', 'OrgNr': 880556142, 'ProsentAndel': 100.0, 'ProsentAndelDrift': 100.0}]</t>
  </si>
  <si>
    <t>[{'KdbID': 2183, 'Tittel': 'Brekkestøl kraftverk'}, {'KdbID': 6834, 'Tittel': 'Regulering av Djupavatn'}]</t>
  </si>
  <si>
    <t>Dirdalsåna</t>
  </si>
  <si>
    <t>148</t>
  </si>
  <si>
    <t>Breksillan</t>
  </si>
  <si>
    <t>Namsos</t>
  </si>
  <si>
    <t>140.61</t>
  </si>
  <si>
    <t>[{'KdbID': 2273, 'Tittel': 'Mikrokraftverk i Salsvatnvassdraget'}]</t>
  </si>
  <si>
    <t>Briksdal</t>
  </si>
  <si>
    <t>BRIKSDAL MINIKRAFT AS</t>
  </si>
  <si>
    <t>888796002</t>
  </si>
  <si>
    <t>Stryn</t>
  </si>
  <si>
    <t>51</t>
  </si>
  <si>
    <t>088.1C</t>
  </si>
  <si>
    <t>2007-05-24T00:00:00</t>
  </si>
  <si>
    <t>[{'AdressatID': 43475, 'Driftselskap': True, 'Hovedeier': True, 'Navn': 'BRIKSDAL MINIKRAFT AS', 'OrgNr': 888796002, 'ProsentAndel': 100.0, 'ProsentAndelDrift': 100.0}]</t>
  </si>
  <si>
    <t>[{'KdbID': 4177, 'Tittel': 'Briksdal minikraftverk'}, {'KdbID': 6440, 'Tittel': 'Briksdal minikraftverk'}]</t>
  </si>
  <si>
    <t>Oldenvassdraget</t>
  </si>
  <si>
    <t>Brokke</t>
  </si>
  <si>
    <t>021.F20</t>
  </si>
  <si>
    <t>1964-08-15T00:00:00</t>
  </si>
  <si>
    <t>[{'AdressatID': 10394, 'Driftselskap': False, 'Hovedeier': True, 'Navn': 'OTRA KRAFT DA', 'OrgNr': 955007514, 'ProsentAndel': None, 'ProsentAndelDrift': 100.0}, {'AdressatID': 40113, 'Driftselskap': False, 'Hovedeier': False, 'Navn': 'SKAGERAK KRAFT AS', 'OrgNr': 979563531, 'ProsentAndel': 31.4, 'ProsentAndelDrift': None}, {'AdressatID': 40121, 'Driftselskap': True, 'Hovedeier': False, 'Navn': 'Å ENERGI VANNKRAFT AS', 'OrgNr': 882973972, 'ProsentAndel': 68.6, 'ProsentAndelDrift': None}]</t>
  </si>
  <si>
    <t>[{'KdbID': 214, 'Tittel': 'Øvre Otra utbyggingen - Ytterligere regulering, overf. og erverv'}, {'KdbID': 304, 'Tittel': 'Reg. og overf. i Otra, Ekspr. mv. Brokke krv., Minstevannf.'}, {'KdbID': 575, 'Tittel': 'Div. overf. til Brokke kr.v. og erverv av fall Skarg kraftverk'}, {'KdbID': 745, 'Tittel': 'Øvre Otra utbyggingen - Fornyet till. til ekspr. av fallrettigheter'}]</t>
  </si>
  <si>
    <t>Brudalsbekken</t>
  </si>
  <si>
    <t>132.A2</t>
  </si>
  <si>
    <t>[{'KdbID': 2351, 'Tittel': 'Mikrokraftverk i Brodalsbekken'}]</t>
  </si>
  <si>
    <t>Skaudalsvassdraget</t>
  </si>
  <si>
    <t>Bruelva</t>
  </si>
  <si>
    <t>093.3A50</t>
  </si>
  <si>
    <t>2014-10-01T00:00:00</t>
  </si>
  <si>
    <t>[{'KdbID': 4609, 'Tittel': 'Bruelva kraftverk'}]</t>
  </si>
  <si>
    <t>NORDDALSELVA</t>
  </si>
  <si>
    <t>386</t>
  </si>
  <si>
    <t>Brufjell</t>
  </si>
  <si>
    <t>BRUFJELL ENERGI OG EIENDOM AS</t>
  </si>
  <si>
    <t>989511890</t>
  </si>
  <si>
    <t>Iveland</t>
  </si>
  <si>
    <t>020.BAC</t>
  </si>
  <si>
    <t>[{'AdressatID': 43846, 'Driftselskap': True, 'Hovedeier': True, 'Navn': 'BRUFJELL ENERGI OG EIENDOM AS', 'OrgNr': 989511890, 'ProsentAndel': 100.0, 'ProsentAndelDrift': 100.0}]</t>
  </si>
  <si>
    <t>[{'KdbID': 3611, 'Tittel': 'Mikrokraftverk ved Vatnestrøm sag - Brufjell krv'}]</t>
  </si>
  <si>
    <t>Brufoss</t>
  </si>
  <si>
    <t>002.DCA0</t>
  </si>
  <si>
    <t>1982-01-01T00:00:00</t>
  </si>
  <si>
    <t>[{'KdbID': 401, 'Tittel': 'Erverv og utbygging av Huntonfallet i Hunselva'}]</t>
  </si>
  <si>
    <t>73</t>
  </si>
  <si>
    <t>Brulandsfoss</t>
  </si>
  <si>
    <t>EVINY FORNYBAR AS</t>
  </si>
  <si>
    <t>876944642</t>
  </si>
  <si>
    <t>084.B</t>
  </si>
  <si>
    <t>1934-07-01T00:00:00</t>
  </si>
  <si>
    <t>[{'AdressatID': 25445, 'Driftselskap': True, 'Hovedeier': True, 'Navn': 'EVINY FORNYBAR AS', 'OrgNr': 876944642, 'ProsentAndel': 100.0, 'ProsentAndelDrift': 100.0}]</t>
  </si>
  <si>
    <t>[{'KdbID': 636, 'Tittel': 'Utbygging av nytt Brulandsfoss kraftverk i Jølstravassdraget'}, {'KdbID': 1749, 'Tittel': 'Brulandsfoss kraftverk i Jølster - Planendring'}, {'KdbID': 2242, 'Tittel': 'Erverv av Brulandsfoss og overf av regul kons for Jølstravatnet'}]</t>
  </si>
  <si>
    <t>Brunstad</t>
  </si>
  <si>
    <t>BRUNSTAD KRAFT AS</t>
  </si>
  <si>
    <t>992545526</t>
  </si>
  <si>
    <t>Sykkylven</t>
  </si>
  <si>
    <t>097.7CAC</t>
  </si>
  <si>
    <t>2010-04-28T00:00:00</t>
  </si>
  <si>
    <t>[{'AdressatID': 42936, 'Driftselskap': True, 'Hovedeier': True, 'Navn': 'BRUNSTAD KRAFT AS', 'OrgNr': 992545526, 'ProsentAndel': 100.0, 'ProsentAndelDrift': 100.0}]</t>
  </si>
  <si>
    <t>[{'KdbID': 4111, 'Tittel': 'Brunstad kraftverk'}, {'KdbID': 7231, 'Tittel': 'Brunstad kraftverk - overføring av sidebekk og økning i effekt/slukeevne'}]</t>
  </si>
  <si>
    <t>Velledalselva</t>
  </si>
  <si>
    <t>405</t>
  </si>
  <si>
    <t>Bruvollelva</t>
  </si>
  <si>
    <t>128.D2Z</t>
  </si>
  <si>
    <t>2010-05-27T00:00:00</t>
  </si>
  <si>
    <t>[{'KdbID': 4427, 'Tittel': 'Bruvollelva kraftverk'}]</t>
  </si>
  <si>
    <t>Brødbølfoss</t>
  </si>
  <si>
    <t>313.A1D1</t>
  </si>
  <si>
    <t>1976-05-03T00:00:00</t>
  </si>
  <si>
    <t>[{'KdbID': 680, 'Tittel': 'Overdragelse av konsesjoner og nye ervervskonsesjoner til Lutufallet, Brødbølfoss og Sandkilfossen '}, {'KdbID': 1349, 'Tittel': 'Stadf. erverv av bruksrett til Brødbølfoss krv. mm.'}, {'KdbID': 1419, 'Tittel': 'Leie og reg. av vannfall i Brødbølvassdraget.'}, {'KdbID': 1532, 'Tittel': 'Korigering av till. til erv. av fallrettigh. i Brødbølfoss mfl.'}, {'KdbID': 1900, 'Tittel': 'Erverv ved overdr. av Glåmdal kraftlags eierandel i Brødbølfoss'}]</t>
  </si>
  <si>
    <t>Bråberg</t>
  </si>
  <si>
    <t>BRÅBERG KRAFT AS</t>
  </si>
  <si>
    <t>998784840</t>
  </si>
  <si>
    <t>048.2A0</t>
  </si>
  <si>
    <t>2018-04-18T00:00:00</t>
  </si>
  <si>
    <t>[{'AdressatID': 43857, 'Driftselskap': True, 'Hovedeier': True, 'Navn': 'BRÅBERG KRAFT AS', 'OrgNr': 998784840, 'ProsentAndel': 100.0, 'ProsentAndelDrift': 100.0}]</t>
  </si>
  <si>
    <t>[{'KdbID': 5432, 'Tittel': 'Bråberg kraftverk'}]</t>
  </si>
  <si>
    <t>Bleielvi</t>
  </si>
  <si>
    <t>Buavatn</t>
  </si>
  <si>
    <t>130.2A</t>
  </si>
  <si>
    <t>1988-07-03T00:00:00</t>
  </si>
  <si>
    <t>[{'KdbID': 649, 'Tittel': 'Erverv fall for utb. av Ormsetfoss samt reg. og overf. i Moldelv'}]</t>
  </si>
  <si>
    <t>Moldelva</t>
  </si>
  <si>
    <t>524</t>
  </si>
  <si>
    <t>Budalselva</t>
  </si>
  <si>
    <t>MK KRAFT AS</t>
  </si>
  <si>
    <t>833584812</t>
  </si>
  <si>
    <t>Modalen</t>
  </si>
  <si>
    <t>29</t>
  </si>
  <si>
    <t>064.A2Z</t>
  </si>
  <si>
    <t>2005-05-10T00:00:00</t>
  </si>
  <si>
    <t>[{'AdressatID': 72427, 'Driftselskap': True, 'Hovedeier': True, 'Navn': 'MK KRAFT AS', 'OrgNr': 833584812, 'ProsentAndel': 100.0, 'ProsentAndelDrift': 100.0}]</t>
  </si>
  <si>
    <t>[{'KdbID': 4808, 'Tittel': 'Budalselva kraftverk'}]</t>
  </si>
  <si>
    <t>Steinslandsvassdraget</t>
  </si>
  <si>
    <t>258</t>
  </si>
  <si>
    <t>BUDALSELVA KRAFT AS</t>
  </si>
  <si>
    <t>994507095</t>
  </si>
  <si>
    <t>Kinn</t>
  </si>
  <si>
    <t>085.4Z</t>
  </si>
  <si>
    <t>2010-11-08T00:00:00</t>
  </si>
  <si>
    <t>[{'AdressatID': 43305, 'Driftselskap': True, 'Hovedeier': True, 'Navn': 'BUDALSELVA KRAFT AS', 'OrgNr': 994507095, 'ProsentAndel': 100.0, 'ProsentAndelDrift': 100.0}]</t>
  </si>
  <si>
    <t>[{'KdbID': 5610, 'Tittel': 'Budalselva kraftverk'}]</t>
  </si>
  <si>
    <t>Solheimsvassdraget</t>
  </si>
  <si>
    <t>345</t>
  </si>
  <si>
    <t>Buer</t>
  </si>
  <si>
    <t>002.AA0</t>
  </si>
  <si>
    <t>Bukkskinn</t>
  </si>
  <si>
    <t>193.62</t>
  </si>
  <si>
    <t>2009-01-01T00:00:00</t>
  </si>
  <si>
    <t>[{'KdbID': 3914, 'Tittel': 'Gårdslielva mikrokraftverk'}]</t>
  </si>
  <si>
    <t>Bulko</t>
  </si>
  <si>
    <t>BULKO KRAFT AS</t>
  </si>
  <si>
    <t>990576289</t>
  </si>
  <si>
    <t>052.1C</t>
  </si>
  <si>
    <t>2008-04-21T00:00:00</t>
  </si>
  <si>
    <t>[{'AdressatID': 50069, 'Driftselskap': True, 'Hovedeier': True, 'Navn': 'BULKO KRAFT AS', 'OrgNr': 990576289, 'ProsentAndel': 100.0, 'ProsentAndelDrift': 100.0}]</t>
  </si>
  <si>
    <t>[{'KdbID': 4213, 'Tittel': 'Bulko småkraftverk'}]</t>
  </si>
  <si>
    <t>228</t>
  </si>
  <si>
    <t>Buru</t>
  </si>
  <si>
    <t>Midtre Gauldal</t>
  </si>
  <si>
    <t>122.BB10</t>
  </si>
  <si>
    <t>[{'KdbID': 5145, 'Tittel': 'Buru mikrokraftverk'}]</t>
  </si>
  <si>
    <t>Gaula</t>
  </si>
  <si>
    <t>497</t>
  </si>
  <si>
    <t>Buset</t>
  </si>
  <si>
    <t>BUSET KRAFT AS</t>
  </si>
  <si>
    <t>932559595</t>
  </si>
  <si>
    <t>095.3BA</t>
  </si>
  <si>
    <t>2002-12-05T00:00:00</t>
  </si>
  <si>
    <t>[{'AdressatID': 72557, 'Driftselskap': True, 'Hovedeier': True, 'Navn': 'BUSET KRAFT AS', 'OrgNr': 932559595, 'ProsentAndel': 100.0, 'ProsentAndelDrift': 100.0}]</t>
  </si>
  <si>
    <t>[{'KdbID': 3147, 'Tittel': 'Buset minikraftverk, flytting av inntak'}]</t>
  </si>
  <si>
    <t>Buset mikrokraftverk</t>
  </si>
  <si>
    <t>095.3BB</t>
  </si>
  <si>
    <t>[{'KdbID': 2368, 'Tittel': 'Mikrokraftverk Litledalselva/Storelva'}]</t>
  </si>
  <si>
    <t>644</t>
  </si>
  <si>
    <t>Buvasselva</t>
  </si>
  <si>
    <t>DRANGEDAL KRAFT AS</t>
  </si>
  <si>
    <t>924862696</t>
  </si>
  <si>
    <t>Drangedal</t>
  </si>
  <si>
    <t>017.FAB4</t>
  </si>
  <si>
    <t>2023-11-01T00:00:00</t>
  </si>
  <si>
    <t>[{'AdressatID': 58120, 'Driftselskap': True, 'Hovedeier': True, 'Navn': 'DRANGEDAL KRAFT AS', 'OrgNr': 924862696, 'ProsentAndel': 100.0, 'ProsentAndelDrift': 100.0}]</t>
  </si>
  <si>
    <t>[{'KdbID': 8427, 'Tittel': 'Buvasselva kraftverk'}]</t>
  </si>
  <si>
    <t>Kragerøvassdraget</t>
  </si>
  <si>
    <t>096</t>
  </si>
  <si>
    <t>Byaelva</t>
  </si>
  <si>
    <t>BYAKRAFT AS</t>
  </si>
  <si>
    <t>984361521</t>
  </si>
  <si>
    <t>Levanger</t>
  </si>
  <si>
    <t>37</t>
  </si>
  <si>
    <t>126.3A</t>
  </si>
  <si>
    <t>2006-01-01T00:00:00</t>
  </si>
  <si>
    <t>[{'AdressatID': 42970, 'Driftselskap': True, 'Hovedeier': True, 'Navn': 'BYAKRAFT AS', 'OrgNr': 984361521, 'ProsentAndel': 100.0, 'ProsentAndelDrift': 100.0}]</t>
  </si>
  <si>
    <t>[{'KdbID': 2539, 'Tittel': 'Mikrokraftverk i Byaelva'}]</t>
  </si>
  <si>
    <t>elv fra Byavatnet</t>
  </si>
  <si>
    <t>Byafossen</t>
  </si>
  <si>
    <t>128.B1</t>
  </si>
  <si>
    <t>2018-02-21T00:00:00</t>
  </si>
  <si>
    <t>[{'KdbID': 6324, 'Tittel': 'Opprusting av Byafossen kraftverk'}]</t>
  </si>
  <si>
    <t>Byrkjedal</t>
  </si>
  <si>
    <t>BYRKJEDAL KRAFTVERK AS</t>
  </si>
  <si>
    <t>979733321</t>
  </si>
  <si>
    <t>030.2AZ</t>
  </si>
  <si>
    <t>[{'AdressatID': 43845, 'Driftselskap': True, 'Hovedeier': True, 'Navn': 'BYRKJEDAL KRAFTVERK AS', 'OrgNr': 979733321, 'ProsentAndel': 100.0, 'ProsentAndelDrift': 100.0}]</t>
  </si>
  <si>
    <t>[{'KdbID': 2198, 'Tittel': 'Minikraftverk - Stølabekken - Byrkjedal krv'}]</t>
  </si>
  <si>
    <t>Byrkjelo</t>
  </si>
  <si>
    <t>SMÅKRAFT USPP 1 AS</t>
  </si>
  <si>
    <t>928613313</t>
  </si>
  <si>
    <t>087.CZ</t>
  </si>
  <si>
    <t>2007-08-25T00:00:00</t>
  </si>
  <si>
    <t>[{'AdressatID': 40394, 'Driftselskap': True, 'Hovedeier': False, 'Navn': 'SMÅKRAFT AS', 'OrgNr': 984616155, 'ProsentAndel': None, 'ProsentAndelDrift': None}, {'AdressatID': 63604, 'Driftselskap': False, 'Hovedeier': True, 'Navn': 'SMÅKRAFT USPP 1 AS', 'OrgNr': 928613313, 'ProsentAndel': 100.0, 'ProsentAndelDrift': 100.0}]</t>
  </si>
  <si>
    <t>[{'KdbID': 3554, 'Tittel': 'Byrkjelo elvekraftverk'}]</t>
  </si>
  <si>
    <t>Byro</t>
  </si>
  <si>
    <t>048.310</t>
  </si>
  <si>
    <t>2016-09-16T00:00:00</t>
  </si>
  <si>
    <t>[{'KdbID': 5515, 'Tittel': 'Byro kraftverk'}]</t>
  </si>
  <si>
    <t>Byrte</t>
  </si>
  <si>
    <t>Tokke</t>
  </si>
  <si>
    <t>016.BE2B</t>
  </si>
  <si>
    <t>1969-09-09T00:00:00</t>
  </si>
  <si>
    <t>[{'KdbID': 2087, 'Tittel': 'Ekspropriasjon for utb. av Tokke 5 og 6, Børte og Lio.'}]</t>
  </si>
  <si>
    <t>96</t>
  </si>
  <si>
    <t>Bæverfjord Gård Kraftverk</t>
  </si>
  <si>
    <t>112.31</t>
  </si>
  <si>
    <t>1971-01-01T00:00:00</t>
  </si>
  <si>
    <t>Bøaåni</t>
  </si>
  <si>
    <t>012.Q3A</t>
  </si>
  <si>
    <t>[{'KdbID': 801, 'Tittel': 'Regulering av Steinbusjøen og Øyangen'}]</t>
  </si>
  <si>
    <t>Bøen I</t>
  </si>
  <si>
    <t>BØEN KRAFT AS</t>
  </si>
  <si>
    <t>988376582</t>
  </si>
  <si>
    <t>033.2Z</t>
  </si>
  <si>
    <t>2006-04-06T00:00:00</t>
  </si>
  <si>
    <t>[{'AdressatID': 42444, 'Driftselskap': True, 'Hovedeier': True, 'Navn': 'BØEN KRAFT AS', 'OrgNr': 988376582, 'ProsentAndel': 100.0, 'ProsentAndelDrift': 100.0}]</t>
  </si>
  <si>
    <t>[{'KdbID': 3819, 'Tittel': 'Bøen kraftverk'}]</t>
  </si>
  <si>
    <t>Mælåna</t>
  </si>
  <si>
    <t>160</t>
  </si>
  <si>
    <t>Bøen II</t>
  </si>
  <si>
    <t>2016-05-09T00:00:00</t>
  </si>
  <si>
    <t>[{'KdbID': 5435, 'Tittel': 'Bøen Kraft II'}]</t>
  </si>
  <si>
    <t>Bøhnsdalen</t>
  </si>
  <si>
    <t>Eidsvoll</t>
  </si>
  <si>
    <t>002.DAA4</t>
  </si>
  <si>
    <t>1986-05-22T00:00:00</t>
  </si>
  <si>
    <t>[{'KdbID': 1965, 'Tittel': 'Erverv av Bøhnsdalen kraftverk i Andelva'}, {'KdbID': 2185, 'Tittel': 'Appr. Akershus FK forkjøpsrett Bøhnsdalen kraftverk'}]</t>
  </si>
  <si>
    <t>79</t>
  </si>
  <si>
    <t>Bøla</t>
  </si>
  <si>
    <t>BØLAKRAFT AS</t>
  </si>
  <si>
    <t>922290415</t>
  </si>
  <si>
    <t>128.C1A</t>
  </si>
  <si>
    <t>2025-02-26T00:00:00</t>
  </si>
  <si>
    <t>[{'AdressatID': 52060, 'Driftselskap': True, 'Hovedeier': False, 'Navn': 'LOCUS HYDRO AS', 'OrgNr': 920176321, 'ProsentAndel': None, 'ProsentAndelDrift': None}, {'AdressatID': 63493, 'Driftselskap': False, 'Hovedeier': True, 'Navn': 'BØLAKRAFT AS', 'OrgNr': 922290415, 'ProsentAndel': 100.0, 'ProsentAndelDrift': 100.0}]</t>
  </si>
  <si>
    <t>[{'KdbID': 6287, 'Tittel': 'Bøla kraftverk'}, {'KdbID': 8447, 'Tittel': 'Planendring Bøla kraftverk'}]</t>
  </si>
  <si>
    <t>Børter 1</t>
  </si>
  <si>
    <t>BØRTER E VERK AS</t>
  </si>
  <si>
    <t>831755032</t>
  </si>
  <si>
    <t>Enebakk</t>
  </si>
  <si>
    <t>002.C4B</t>
  </si>
  <si>
    <t>1914-01-01T00:00:00</t>
  </si>
  <si>
    <t>[{'AdressatID': 68247, 'Driftselskap': True, 'Hovedeier': True, 'Navn': 'BØRTER E VERK AS', 'OrgNr': 831755032, 'ProsentAndel': 100.0, 'ProsentAndelDrift': 100.0}]</t>
  </si>
  <si>
    <t>Børter 2</t>
  </si>
  <si>
    <t>1922-01-01T00:00:00</t>
  </si>
  <si>
    <t>Børtveit</t>
  </si>
  <si>
    <t>Stord</t>
  </si>
  <si>
    <t>044.2Z</t>
  </si>
  <si>
    <t>1993-01-01T00:00:00</t>
  </si>
  <si>
    <t>Børtveitelva</t>
  </si>
  <si>
    <t>201</t>
  </si>
  <si>
    <t>Bøylefoss</t>
  </si>
  <si>
    <t>ARENDALS FOSSEKOMPANI ASA</t>
  </si>
  <si>
    <t>910261525</t>
  </si>
  <si>
    <t>Froland</t>
  </si>
  <si>
    <t>019.B7</t>
  </si>
  <si>
    <t>1913-07-01T00:00:00</t>
  </si>
  <si>
    <t>[{'AdressatID': 10387, 'Driftselskap': True, 'Hovedeier': True, 'Navn': 'ARENDALS FOSSEKOMPANI ASA', 'OrgNr': 910261525, 'ProsentAndel': 100.0, 'ProsentAndelDrift': 100.0}]</t>
  </si>
  <si>
    <t>[{'KdbID': 1848, 'Tittel': 'Erverv, innløsn. av fall, ekspr. grunn for utv. Bøylefoss krv.'}]</t>
  </si>
  <si>
    <t>Båtsvatn</t>
  </si>
  <si>
    <t>173.C3</t>
  </si>
  <si>
    <t>1977-03-03T00:00:00</t>
  </si>
  <si>
    <t>[{'KdbID': 493, 'Tittel': 'Statsregulering av Skjomenvassdragene m.v.'}, {'KdbID': 8909, 'Tittel': 'Midlertidig fravik fra manøvreringsreglementet - Båtsvatn\xa0kraftverk\xa0-\xa0STATKRAFT ENERGI AS - Tapping under LRV ;  - 01.02.2023 til 31.05.2023- Referansenr:SAIGXG'}]</t>
  </si>
  <si>
    <t>Skjomavassdraget</t>
  </si>
  <si>
    <t>738</t>
  </si>
  <si>
    <t>Cabardasjohka</t>
  </si>
  <si>
    <t>Kautokeino</t>
  </si>
  <si>
    <t>212.GA4</t>
  </si>
  <si>
    <t>2003-10-22T00:00:00</t>
  </si>
  <si>
    <t>[{'KdbID': 3621, 'Tittel': 'Rehabilitering av Cabardasjohka kraftverk'}]</t>
  </si>
  <si>
    <t>Cermaq Norway AS avd. Dyping</t>
  </si>
  <si>
    <t>CERMAQ NORWAY AS</t>
  </si>
  <si>
    <t>961922976</t>
  </si>
  <si>
    <t>Steigen</t>
  </si>
  <si>
    <t>169.52</t>
  </si>
  <si>
    <t>[{'AdressatID': 41660, 'Driftselskap': True, 'Hovedeier': True, 'Navn': 'CERMAQ NORWAY AS', 'OrgNr': 961922976, 'ProsentAndel': 100.0, 'ProsentAndelDrift': 100.0}]</t>
  </si>
  <si>
    <t>[{'KdbID': 2920, 'Tittel': 'Smolt 2000, vannuttak og regulering av Dypingsvatn i Steigen komm.'}]</t>
  </si>
  <si>
    <t>Corrojavrrit</t>
  </si>
  <si>
    <t>Kvænangen</t>
  </si>
  <si>
    <t>209.4AB</t>
  </si>
  <si>
    <t>1990-11-04T00:00:00</t>
  </si>
  <si>
    <t>[{'KdbID': 682, 'Tittel': 'Erverv av bruksrett til fall i Njemenjaikujåkka'}, {'KdbID': 7546, 'Tittel': 'Revisjon av konsesjonsvilkår - Kvænangen'}]</t>
  </si>
  <si>
    <t>Abojohka</t>
  </si>
  <si>
    <t>834</t>
  </si>
  <si>
    <t>Dagsvikelva</t>
  </si>
  <si>
    <t>DAGSVIKELVA KRAFT AS</t>
  </si>
  <si>
    <t>911605430</t>
  </si>
  <si>
    <t>Leirfjord</t>
  </si>
  <si>
    <t>153.11Z</t>
  </si>
  <si>
    <t>2025-02-27T00:00:00</t>
  </si>
  <si>
    <t>[{'AdressatID': 40545, 'Driftselskap': True, 'Hovedeier': False, 'Navn': 'FORTE VANNKRAFT AS', 'OrgNr': 975964825, 'ProsentAndel': None, 'ProsentAndelDrift': None}, {'AdressatID': 52091, 'Driftselskap': False, 'Hovedeier': True, 'Navn': 'DAGSVIKELVA KRAFT AS', 'OrgNr': 911605430, 'ProsentAndel': 100.0, 'ProsentAndelDrift': 100.0}]</t>
  </si>
  <si>
    <t>[{'KdbID': 5753, 'Tittel': 'Dagsvikelva kraftverk'}]</t>
  </si>
  <si>
    <t>Dahlefoss</t>
  </si>
  <si>
    <t>Flatanger</t>
  </si>
  <si>
    <t>137.7Z</t>
  </si>
  <si>
    <t>2009-08-01T00:00:00</t>
  </si>
  <si>
    <t>[{'KdbID': 2996, 'Tittel': 'Ny Dahlefoss kraftstasjon'}]</t>
  </si>
  <si>
    <t>Lauvsnesvassdraget</t>
  </si>
  <si>
    <t>566</t>
  </si>
  <si>
    <t>Daja</t>
  </si>
  <si>
    <t>Fauske – Fuossko</t>
  </si>
  <si>
    <t>164.E3</t>
  </si>
  <si>
    <t>[{'KdbID': 2665, 'Tittel': 'Endr. slukeevne Daja kraftverk'}, {'KdbID': 2825, 'Tittel': 'Daja kraftverk brukettskonsesjon og ekspropriasjon av bruksrett, overf av regkons'}]</t>
  </si>
  <si>
    <t>Sulitjelmavassdraget</t>
  </si>
  <si>
    <t>698</t>
  </si>
  <si>
    <t>Dalabekken</t>
  </si>
  <si>
    <t>OLE PETTER ESTENSTAD</t>
  </si>
  <si>
    <t>992199016</t>
  </si>
  <si>
    <t>Melhus</t>
  </si>
  <si>
    <t>122.2D</t>
  </si>
  <si>
    <t>2009-11-19T00:00:00</t>
  </si>
  <si>
    <t>[{'AdressatID': 43723, 'Driftselskap': True, 'Hovedeier': True, 'Navn': 'OLE PETTER ESTENSTAD', 'OrgNr': 992199016, 'ProsentAndel': 100.0, 'ProsentAndelDrift': 100.0}]</t>
  </si>
  <si>
    <t>[{'KdbID': 5947, 'Tittel': 'Dalabekken mikrokraftverk'}]</t>
  </si>
  <si>
    <t>Vigda</t>
  </si>
  <si>
    <t>Dalane</t>
  </si>
  <si>
    <t>089.B7D</t>
  </si>
  <si>
    <t>2017-12-08T00:00:00</t>
  </si>
  <si>
    <t>[{'KdbID': 281, 'Tittel': 'Ytterligere regulering av Svingesetvatn i Dalaelv (Eidselv)'}, {'KdbID': 307, 'Tittel': 'Overf. av Vikaelvas øvre del til Svingesetvatn i Daleelv (Eidselv)'}, {'KdbID': 6262, 'Tittel': 'Dalane kraftverk - opprusting/utviding'}]</t>
  </si>
  <si>
    <t>Hornindalsvassdraget</t>
  </si>
  <si>
    <t>Dalbygda</t>
  </si>
  <si>
    <t>DALBYGDA MINIKRAFT AS</t>
  </si>
  <si>
    <t>977272106</t>
  </si>
  <si>
    <t>039.22</t>
  </si>
  <si>
    <t>2010-03-19T00:00:00</t>
  </si>
  <si>
    <t>[{'AdressatID': 67732, 'Driftselskap': True, 'Hovedeier': True, 'Navn': 'DALBYGDA MINIKRAFT AS', 'OrgNr': 977272106, 'ProsentAndel': 100.0, 'ProsentAndelDrift': 100.0}]</t>
  </si>
  <si>
    <t>[{'KdbID': 4435, 'Tittel': 'Dalselva minikraftverk'}]</t>
  </si>
  <si>
    <t>Dale</t>
  </si>
  <si>
    <t>Volda</t>
  </si>
  <si>
    <t>77</t>
  </si>
  <si>
    <t>094.2AB</t>
  </si>
  <si>
    <t>1990-10-01T00:00:00</t>
  </si>
  <si>
    <t>[{'KdbID': 635, 'Tittel': 'Erverv og regulering i Litlebøelva, Møre og Romsdal'}, {'KdbID': 1854, 'Tittel': 'Endring av konsesjonspålagt minstevannf., Dale kr.v. i Litlebøelva'}]</t>
  </si>
  <si>
    <t>Ripsdalselva</t>
  </si>
  <si>
    <t>391</t>
  </si>
  <si>
    <t>DALE KRAFT AS</t>
  </si>
  <si>
    <t>919751134</t>
  </si>
  <si>
    <t>078.62Z</t>
  </si>
  <si>
    <t>2005-07-01T00:00:00</t>
  </si>
  <si>
    <t>[{'AdressatID': 51266, 'Driftselskap': True, 'Hovedeier': True, 'Navn': 'DALE KRAFT AS', 'OrgNr': 919751134, 'ProsentAndel': 100.0, 'ProsentAndelDrift': 100.0}]</t>
  </si>
  <si>
    <t>[{'KdbID': 3502, 'Tittel': 'Daleelva småkraftverk'}]</t>
  </si>
  <si>
    <t>Daleelvi</t>
  </si>
  <si>
    <t>320</t>
  </si>
  <si>
    <t>Dale II</t>
  </si>
  <si>
    <t>061.A</t>
  </si>
  <si>
    <t>1990-07-01T00:00:00</t>
  </si>
  <si>
    <t>[{'KdbID': 313, 'Tittel': 'Endr. manøvreringsregl. for Bergsdalsvassdraget - minstevannf.'}, {'KdbID': 627, 'Tittel': 'Ombygging av Dale kraftverk'}, {'KdbID': 8029, 'Tittel': 'Revisjon av konsesjonsvilkår for Bergsdals- og Torfinnsvassdragene'}]</t>
  </si>
  <si>
    <t>Bergsdalsvassdraget</t>
  </si>
  <si>
    <t>253</t>
  </si>
  <si>
    <t>Dalegjerdet</t>
  </si>
  <si>
    <t>097.11Z</t>
  </si>
  <si>
    <t>2012-06-21T00:00:00</t>
  </si>
  <si>
    <t>[{'KdbID': 4273, 'Tittel': 'Dalegjerdet kraftverk'}]</t>
  </si>
  <si>
    <t>Standalelva</t>
  </si>
  <si>
    <t>398</t>
  </si>
  <si>
    <t>DALELVO KRAFT AS</t>
  </si>
  <si>
    <t>993320013</t>
  </si>
  <si>
    <t>046.42Z</t>
  </si>
  <si>
    <t>2010-08-31T00:00:00</t>
  </si>
  <si>
    <t>[{'AdressatID': 43090, 'Driftselskap': True, 'Hovedeier': True, 'Navn': 'DALELVO KRAFT AS', 'OrgNr': 993320013, 'ProsentAndel': 100.0, 'ProsentAndelDrift': 100.0}]</t>
  </si>
  <si>
    <t>[{'KdbID': 4940, 'Tittel': 'Dalelva kraftverk'}]</t>
  </si>
  <si>
    <t>205</t>
  </si>
  <si>
    <t>SMÅKRAFT GREEN BOND 1 AS</t>
  </si>
  <si>
    <t>921075758</t>
  </si>
  <si>
    <t>082.5C</t>
  </si>
  <si>
    <t>2006-06-01T00:00:00</t>
  </si>
  <si>
    <t>[{'AdressatID': 40394, 'Driftselskap': True, 'Hovedeier': False, 'Navn': 'SMÅKRAFT AS', 'OrgNr': 984616155, 'ProsentAndel': None, 'ProsentAndelDrift': None}, {'AdressatID': 52488, 'Driftselskap': False, 'Hovedeier': True, 'Navn': 'SMÅKRAFT GREEN BOND 1 AS', 'OrgNr': 921075758, 'ProsentAndel': 100.0, 'ProsentAndelDrift': 100.0}]</t>
  </si>
  <si>
    <t>[{'KdbID': 8120, 'Tittel': 'Dalelva minikraftverk'}]</t>
  </si>
  <si>
    <t>067.2A1C4</t>
  </si>
  <si>
    <t>2022-11-10T00:00:00</t>
  </si>
  <si>
    <t>[{'KdbID': 5248, 'Tittel': 'Dalelva kraftverk'}]</t>
  </si>
  <si>
    <t>Haugsdalsvassdraget</t>
  </si>
  <si>
    <t>265</t>
  </si>
  <si>
    <t>Dalen 1</t>
  </si>
  <si>
    <t>JØRPELAND KRAFT AS</t>
  </si>
  <si>
    <t>962130453</t>
  </si>
  <si>
    <t>032.A2</t>
  </si>
  <si>
    <t>2010-08-17T00:00:00</t>
  </si>
  <si>
    <t>[{'AdressatID': 26274, 'Driftselskap': True, 'Hovedeier': True, 'Navn': 'JØRPELAND KRAFT AS', 'OrgNr': 962130453, 'ProsentAndel': 100.0, 'ProsentAndelDrift': 100.0}]</t>
  </si>
  <si>
    <t>[{'KdbID': 4074, 'Tittel': 'Jøssang kraftverk'}, {'KdbID': 7554, 'Tittel': 'Omgjøring av konsesjon - retting av manøvreringsreglement - Dalavatn i Jørpelandsåna'}]</t>
  </si>
  <si>
    <t>Jørpelandsåna</t>
  </si>
  <si>
    <t>157</t>
  </si>
  <si>
    <t>Dalsbekken</t>
  </si>
  <si>
    <t>MYKLEBUSTDALEN ENERGI AS</t>
  </si>
  <si>
    <t>988967246</t>
  </si>
  <si>
    <t>2010-04-13T00:00:00</t>
  </si>
  <si>
    <t>[{'AdressatID': 43209, 'Driftselskap': True, 'Hovedeier': True, 'Navn': 'MYKLEBUSTDALEN ENERGI AS', 'OrgNr': 988967246, 'ProsentAndel': 100.0, 'ProsentAndelDrift': 100.0}]</t>
  </si>
  <si>
    <t>[{'KdbID': 5285, 'Tittel': 'Dalsbekken minikraftverk'}]</t>
  </si>
  <si>
    <t>186</t>
  </si>
  <si>
    <t>Dalsfos Øst</t>
  </si>
  <si>
    <t>Kragerø</t>
  </si>
  <si>
    <t>017.B</t>
  </si>
  <si>
    <t>2021-11-18T00:00:00</t>
  </si>
  <si>
    <t>[{'KdbID': 610, 'Tittel': 'Ny ervervskonsesjon for Dalsfoss, Tveitereidfoss og Solumsfoss'}, {'KdbID': 809, 'Tittel': 'Erverv av vannfall i Kragerøvassdraget'}, {'KdbID': 7332, 'Tittel': 'Dalsfos kraftverk Øst'}]</t>
  </si>
  <si>
    <t>Dalvatn</t>
  </si>
  <si>
    <t>Aktieselskabet Saudefaldene</t>
  </si>
  <si>
    <t>915729290</t>
  </si>
  <si>
    <t>Sauda</t>
  </si>
  <si>
    <t>037.B9</t>
  </si>
  <si>
    <t>1978-01-01T00:00:00</t>
  </si>
  <si>
    <t>[{'AdressatID': 12698, 'Driftselskap': True, 'Hovedeier': True, 'Navn': 'Aktieselskabet Saudefaldene', 'OrgNr': 915729290, 'ProsentAndel': 100.0, 'ProsentAndelDrift': 100.0}, {'AdressatID': 41005, 'Driftselskap': False, 'Hovedeier': False, 'Navn': 'STATKRAFT ENERGI AS', 'OrgNr': 987059729, 'ProsentAndel': None, 'ProsentAndelDrift': None}]</t>
  </si>
  <si>
    <t>[{'KdbID': 1099, 'Tittel': 'Utbygging, regulering, overf. m.v. i Saudavassdraget m.fl, Rogaland'}]</t>
  </si>
  <si>
    <t>Saudavassdraget</t>
  </si>
  <si>
    <t>170</t>
  </si>
  <si>
    <t>Dauremål</t>
  </si>
  <si>
    <t>086.7B</t>
  </si>
  <si>
    <t>2007-06-04T00:00:00</t>
  </si>
  <si>
    <t>Deilbekken</t>
  </si>
  <si>
    <t>SVEIN MORTEN SYDTVEIT</t>
  </si>
  <si>
    <t>884782562</t>
  </si>
  <si>
    <t>017.FA0</t>
  </si>
  <si>
    <t>[{'AdressatID': 60238, 'Driftselskap': True, 'Hovedeier': True, 'Navn': 'SVEIN MORTEN SYDTVEIT', 'OrgNr': 884782562, 'ProsentAndel': 100.0, 'ProsentAndelDrift': 100.0}]</t>
  </si>
  <si>
    <t>[{'KdbID': 4120, 'Tittel': 'Deilbekkraft mikrokraftverk'}]</t>
  </si>
  <si>
    <t>Deveggåe</t>
  </si>
  <si>
    <t>Nore og Uvdal</t>
  </si>
  <si>
    <t>015.JB61C</t>
  </si>
  <si>
    <t>2011-04-15T00:00:00</t>
  </si>
  <si>
    <t>[{'KdbID': 4409, 'Tittel': 'Deveggåe kraftverk'}]</t>
  </si>
  <si>
    <t>Numedalslågen</t>
  </si>
  <si>
    <t>073</t>
  </si>
  <si>
    <t>Dirdal</t>
  </si>
  <si>
    <t>DIRDAL KRAFT AS</t>
  </si>
  <si>
    <t>976921259</t>
  </si>
  <si>
    <t>030.21Z</t>
  </si>
  <si>
    <t>2007-07-11T00:00:00</t>
  </si>
  <si>
    <t>[{'AdressatID': 27756, 'Driftselskap': True, 'Hovedeier': True, 'Navn': 'DIRDAL KRAFT AS', 'OrgNr': 976921259, 'ProsentAndel': 100.0, 'ProsentAndelDrift': 100.0}]</t>
  </si>
  <si>
    <t>[{'KdbID': 2182, 'Tittel': 'Dirdal kr.st reg.av Stølsvatn'}]</t>
  </si>
  <si>
    <t>Stølsvatnbekken</t>
  </si>
  <si>
    <t>Dittielva</t>
  </si>
  <si>
    <t>Bardu</t>
  </si>
  <si>
    <t>196.AC5Z</t>
  </si>
  <si>
    <t>2012-11-06T00:00:00</t>
  </si>
  <si>
    <t>[{'AdressatID': 50060, 'Driftselskap': False, 'Hovedeier': True, 'Navn': 'NORDIC POWER AS', 'OrgNr': 914341183, 'ProsentAndel': 100.0, 'ProsentAndelDrift': 100.0}, {'AdressatID': 50288, 'Driftselskap': True, 'Hovedeier': False, 'Navn': 'NORDKRAFT ENERGIDRIFT AS', 'OrgNr': 916116993, 'ProsentAndel': None, 'ProsentAndelDrift': None}]</t>
  </si>
  <si>
    <t>[{'KdbID': 4678, 'Tittel': 'Dittielva kraftverk'}]</t>
  </si>
  <si>
    <t>Dividalen</t>
  </si>
  <si>
    <t>196.DA2</t>
  </si>
  <si>
    <t>1972-12-18T00:00:00</t>
  </si>
  <si>
    <t>[{'KdbID': 366, 'Tittel': 'Erverv av bruksrett til fall i Devdiselven og Divielven m.v.'}, {'KdbID': 743, 'Tittel': 'Overdragelse av reguleringstillatelser m.v. - Troms kraftforsyning'}, {'KdbID': 875, 'Tittel': 'Regulering av Devdisvatn m.v.'}]</t>
  </si>
  <si>
    <t>Djupdal</t>
  </si>
  <si>
    <t>Rollag</t>
  </si>
  <si>
    <t>015.G21</t>
  </si>
  <si>
    <t>1976-12-21T00:00:00</t>
  </si>
  <si>
    <t>[{'KdbID': 215, 'Tittel': 'Erverv, ekspropr. og utbygging av Djupdalsfallene i Numedalslågen'}]</t>
  </si>
  <si>
    <t>Djupfjord I</t>
  </si>
  <si>
    <t>VESTERÅLSKRAFT PRODUKSJON AS</t>
  </si>
  <si>
    <t>977044863</t>
  </si>
  <si>
    <t>178.44A</t>
  </si>
  <si>
    <t>[{'AdressatID': 25704, 'Driftselskap': True, 'Hovedeier': True, 'Navn': 'VESTERÅLSKRAFT PRODUKSJON AS', 'OrgNr': 977044863, 'ProsentAndel': 100.0, 'ProsentAndelDrift': 100.0}]</t>
  </si>
  <si>
    <t>[{'KdbID': 114, 'Tittel': 'Ytterligere regulering av Djupfjordvassdraget, overføringer'}, {'KdbID': 147, 'Tittel': 'Regulering av Djupfjordvassdraget m.v i Sortland'}, {'KdbID': 1110, 'Tittel': 'Reg. av Djupfjordvassdraget - Planendring og fristforl.'}]</t>
  </si>
  <si>
    <t>Djupfjordelva</t>
  </si>
  <si>
    <t>757</t>
  </si>
  <si>
    <t>Djupfjord II</t>
  </si>
  <si>
    <t>178.44B</t>
  </si>
  <si>
    <t>1957-01-01T00:00:00</t>
  </si>
  <si>
    <t>[{'KdbID': 114, 'Tittel': 'Ytterligere regulering av Djupfjordvassdraget, overføringer'}, {'KdbID': 1110, 'Tittel': 'Reg. av Djupfjordvassdraget - Planendring og fristforl.'}, {'KdbID': 1855, 'Tittel': 'Tilleggsregulering av Beibarnvatn ved Djupfjord II kr.v. Hinnøy'}]</t>
  </si>
  <si>
    <t>Djupvika</t>
  </si>
  <si>
    <t>213.11</t>
  </si>
  <si>
    <t>[{'KdbID': 2679, 'Tittel': 'Mikrokraftverk i Arnebyvatnet'}]</t>
  </si>
  <si>
    <t>Djupå</t>
  </si>
  <si>
    <t>DJUPÅ EINAR</t>
  </si>
  <si>
    <t>969636905</t>
  </si>
  <si>
    <t>Hitra</t>
  </si>
  <si>
    <t>119.74</t>
  </si>
  <si>
    <t>[{'AdressatID': 25314, 'Driftselskap': True, 'Hovedeier': True, 'Navn': 'DJUPÅ EINAR', 'OrgNr': 969636905, 'ProsentAndel': 100.0, 'ProsentAndelDrift': 100.0}]</t>
  </si>
  <si>
    <t>[{'KdbID': 2329, 'Tittel': 'Mikrokraftverk i Djupåelva'}]</t>
  </si>
  <si>
    <t>Djuv</t>
  </si>
  <si>
    <t>037.32</t>
  </si>
  <si>
    <t>[{'KdbID': 2651, 'Tittel': 'Jehansholmen mikrokraftverk'}]</t>
  </si>
  <si>
    <t>Djuvselva</t>
  </si>
  <si>
    <t>042.51</t>
  </si>
  <si>
    <t>2025-03-14T00:00:00</t>
  </si>
  <si>
    <t>[{'KdbID': 5964, 'Tittel': 'Djuvselva kraftverk'}]</t>
  </si>
  <si>
    <t>Dokka</t>
  </si>
  <si>
    <t>Søndre Land</t>
  </si>
  <si>
    <t>012.EC72</t>
  </si>
  <si>
    <t>1989-12-14T00:00:00</t>
  </si>
  <si>
    <t>[{'KdbID': 644, 'Tittel': 'Utbygging av Dokkavassdraget, erverv, regulering, utbygging m.v.'}, {'KdbID': 651, 'Tittel': 'Utbygging av Dokkavassdraget, Planendring installasjonsøkning'}]</t>
  </si>
  <si>
    <t>Dokkelva</t>
  </si>
  <si>
    <t>104.3Z</t>
  </si>
  <si>
    <t>2012-03-29T00:00:00</t>
  </si>
  <si>
    <t>[{'KdbID': 4600, 'Tittel': 'Dokkelva kraftverk'}]</t>
  </si>
  <si>
    <t>Kvanndalselva</t>
  </si>
  <si>
    <t>441</t>
  </si>
  <si>
    <t>Dragefossen</t>
  </si>
  <si>
    <t>DRAGEFOSSEN AS</t>
  </si>
  <si>
    <t>911204177</t>
  </si>
  <si>
    <t>Saltdal</t>
  </si>
  <si>
    <t>163.A1A</t>
  </si>
  <si>
    <t>1987-02-13T00:00:00</t>
  </si>
  <si>
    <t>[{'AdressatID': 10530, 'Driftselskap': True, 'Hovedeier': True, 'Navn': 'DRAGEFOSSEN AS', 'OrgNr': 911204177, 'ProsentAndel': 100.0, 'ProsentAndelDrift': 100.0}]</t>
  </si>
  <si>
    <t>Saltdalsvassdraget</t>
  </si>
  <si>
    <t>694</t>
  </si>
  <si>
    <t>Drarvik</t>
  </si>
  <si>
    <t>[{'KdbID': 2546, 'Tittel': 'Mikrokraftverk Drarvik'}]</t>
  </si>
  <si>
    <t>Draura</t>
  </si>
  <si>
    <t>097.322Z</t>
  </si>
  <si>
    <t>2013-01-29T00:00:00</t>
  </si>
  <si>
    <t>[{'KdbID': 4851, 'Tittel': 'Draura kraftverk'}]</t>
  </si>
  <si>
    <t>Viddalselva</t>
  </si>
  <si>
    <t>410</t>
  </si>
  <si>
    <t>Dravlaus</t>
  </si>
  <si>
    <t>DRAVLAUS KRAFT AS</t>
  </si>
  <si>
    <t>915183530</t>
  </si>
  <si>
    <t>094.12Z</t>
  </si>
  <si>
    <t>2016-11-17T00:00:00</t>
  </si>
  <si>
    <t>[{'AdressatID': 50378, 'Driftselskap': True, 'Hovedeier': True, 'Navn': 'DRAVLAUS KRAFT AS', 'OrgNr': 915183530, 'ProsentAndel': 100.0, 'ProsentAndelDrift': 100.0}]</t>
  </si>
  <si>
    <t>[{'KdbID': 5374, 'Tittel': 'Dravlaus kraftverk'}]</t>
  </si>
  <si>
    <t>Dravlauselva</t>
  </si>
  <si>
    <t>Driva</t>
  </si>
  <si>
    <t>DRIVA KRAFTVERK DA</t>
  </si>
  <si>
    <t>947590618</t>
  </si>
  <si>
    <t>109.B20</t>
  </si>
  <si>
    <t>1973-04-06T00:00:00</t>
  </si>
  <si>
    <t>[{'AdressatID': 10477, 'Driftselskap': False, 'Hovedeier': False, 'Navn': 'ISTAD KRAFT AS', 'OrgNr': 923253920, 'ProsentAndel': 25.0, 'ProsentAndelDrift': None}, {'AdressatID': 10500, 'Driftselskap': False, 'Hovedeier': True, 'Navn': 'DRIVA KRAFTVERK DA', 'OrgNr': 947590618, 'ProsentAndel': None, 'ProsentAndelDrift': 100.0}, {'AdressatID': 27503, 'Driftselskap': True, 'Hovedeier': False, 'Navn': 'TRØNDERENERGI KRAFT AS', 'OrgNr': 878631072, 'ProsentAndel': 75.0, 'ProsentAndelDrift': None}]</t>
  </si>
  <si>
    <t>[{'KdbID': 160, 'Tittel': 'Erverv av fall, overf. av reg.till. og ekspr. av fall i Driva m.v.'}, {'KdbID': 232, 'Tittel': 'Regulering og overf. for utbygging av Driva kraftv. (Festa-Vindøla)'}, {'KdbID': 343, 'Tittel': 'Utbygging av Driva kraftverk - Planedring og ytterl. overføring'}, {'KdbID': 3462, 'Tittel': 'Endring av man.reg. for Driva kraftverk'}, {'KdbID': 9455, 'Tittel': 'Søknad om midlertidig fravik fra manøvreringsreglementet - Driva\xa0kraftverk\xa0- 15.07.2024 til 05.09.2024'}]</t>
  </si>
  <si>
    <t>449</t>
  </si>
  <si>
    <t>Drivdal</t>
  </si>
  <si>
    <t>DALANE KRAFT AS</t>
  </si>
  <si>
    <t>982388406</t>
  </si>
  <si>
    <t>026.B2A</t>
  </si>
  <si>
    <t>2008-04-14T00:00:00</t>
  </si>
  <si>
    <t>[{'AdressatID': 40261, 'Driftselskap': True, 'Hovedeier': True, 'Navn': 'DALANE KRAFT AS', 'OrgNr': 982388406, 'ProsentAndel': 100.0, 'ProsentAndelDrift': 100.0}]</t>
  </si>
  <si>
    <t>[{'KdbID': 3817, 'Tittel': 'Drivdal kraftverk'}]</t>
  </si>
  <si>
    <t>71</t>
  </si>
  <si>
    <t>Drivdalselva</t>
  </si>
  <si>
    <t>VELLE KRAFT AS</t>
  </si>
  <si>
    <t>983640451</t>
  </si>
  <si>
    <t>097.7C</t>
  </si>
  <si>
    <t>[{'AdressatID': 43659, 'Driftselskap': True, 'Hovedeier': True, 'Navn': 'VELLE KRAFT AS', 'OrgNr': 983640451, 'ProsentAndel': 100.0, 'ProsentAndelDrift': 100.0}]</t>
  </si>
  <si>
    <t>[{'KdbID': 2961, 'Tittel': 'Drivdalselva minikraftverk'}]</t>
  </si>
  <si>
    <t>Drøllstølsbekken</t>
  </si>
  <si>
    <t>DB KRAFTVERK AS</t>
  </si>
  <si>
    <t>928095150</t>
  </si>
  <si>
    <t>Eidfjord</t>
  </si>
  <si>
    <t>050.C1B</t>
  </si>
  <si>
    <t>[{'AdressatID': 60593, 'Driftselskap': True, 'Hovedeier': False, 'Navn': 'HYWER AS', 'OrgNr': 847531932, 'ProsentAndel': None, 'ProsentAndelDrift': None}, {'AdressatID': 62757, 'Driftselskap': False, 'Hovedeier': True, 'Navn': 'DB KRAFTVERK AS', 'OrgNr': 928095150, 'ProsentAndel': 100.0, 'ProsentAndelDrift': 100.0}]</t>
  </si>
  <si>
    <t>[{'KdbID': 6662, 'Tittel': 'Drøllstølsbekken kraftverk'}]</t>
  </si>
  <si>
    <t>Eidfjordvassdraget</t>
  </si>
  <si>
    <t>222</t>
  </si>
  <si>
    <t>Duge</t>
  </si>
  <si>
    <t>SIRA KVINA KRAFTSELSKAP</t>
  </si>
  <si>
    <t>954090493</t>
  </si>
  <si>
    <t>Sandnes</t>
  </si>
  <si>
    <t>026.M</t>
  </si>
  <si>
    <t>1979-03-01T00:00:00</t>
  </si>
  <si>
    <t>[{'AdressatID': 10392, 'Driftselskap': True, 'Hovedeier': True, 'Navn': 'SIRA KVINA KRAFTSELSKAP', 'OrgNr': 954090493, 'ProsentAndel': None, 'ProsentAndelDrift': 100.0}, {'AdressatID': 40113, 'Driftselskap': False, 'Hovedeier': False, 'Navn': 'SKAGERAK KRAFT AS', 'OrgNr': 979563531, 'ProsentAndel': 14.6, 'ProsentAndelDrift': None}, {'AdressatID': 40121, 'Driftselskap': False, 'Hovedeier': False, 'Navn': 'Å ENERGI VANNKRAFT AS', 'OrgNr': 882973972, 'ProsentAndel': 12.2, 'ProsentAndelDrift': None}, {'AdressatID': 41005, 'Driftselskap': False, 'Hovedeier': False, 'Navn': 'STATKRAFT ENERGI AS', 'OrgNr': 987059729, 'ProsentAndel': 32.1, 'ProsentAndelDrift': None}, {'AdressatID': 60547, 'Driftselskap': False, 'Hovedeier': False, 'Navn': 'LYSE KRAFT DA', 'OrgNr': 925749419, 'ProsentAndel': 41.1, 'ProsentAndelDrift': None}]</t>
  </si>
  <si>
    <t>[{'KdbID': 347, 'Tittel': 'Endring av tillatelse til regulering av Sira-Kvinavassdragene'}, {'KdbID': 918, 'Tittel': 'Reguleringer og overføringer i Sira-Kvinavassdragene'}, {'KdbID': 2056, 'Tittel': 'Erv. av 3,3 av statens prosentand. i Sira-Kvina krv.'}]</t>
  </si>
  <si>
    <t>Duvedalen</t>
  </si>
  <si>
    <t>Gulen</t>
  </si>
  <si>
    <t>069.3Z</t>
  </si>
  <si>
    <t>2020-12-11T00:00:00</t>
  </si>
  <si>
    <t>[{'KdbID': 4503, 'Tittel': 'Duvedalen kraftverk'}, {'KdbID': 7109, 'Tittel': 'Planendring Duvedalen kraftverk'}]</t>
  </si>
  <si>
    <t>Fjordselva</t>
  </si>
  <si>
    <t>Dvergfossen</t>
  </si>
  <si>
    <t>DVERGFOSSEN KRAFT AS</t>
  </si>
  <si>
    <t>921673000</t>
  </si>
  <si>
    <t>025.AA1</t>
  </si>
  <si>
    <t>2021-12-27T00:00:00</t>
  </si>
  <si>
    <t>[{'AdressatID': 52450, 'Driftselskap': True, 'Hovedeier': True, 'Navn': 'DVERGFOSSEN KRAFT AS', 'OrgNr': 921673000, 'ProsentAndel': 100.0, 'ProsentAndelDrift': 100.0}]</t>
  </si>
  <si>
    <t>[{'KdbID': 6128, 'Tittel': 'Dvergfossen kraftverk'}, {'KdbID': 8126, 'Tittel': 'Dvergfossen kraftverk - planendring'}]</t>
  </si>
  <si>
    <t>Dvergsdalsdalen</t>
  </si>
  <si>
    <t>DVERGSDALSDALEN KRAFTVERK AS</t>
  </si>
  <si>
    <t>994193953</t>
  </si>
  <si>
    <t>084.E3Z</t>
  </si>
  <si>
    <t>2010-11-17T00:00:00</t>
  </si>
  <si>
    <t>[{'AdressatID': 43099, 'Driftselskap': True, 'Hovedeier': True, 'Navn': 'DVERGSDALSDALEN KRAFTVERK AS', 'OrgNr': 994193953, 'ProsentAndel': 100.0, 'ProsentAndelDrift': 100.0}]</t>
  </si>
  <si>
    <t>[{'KdbID': 4211, 'Tittel': 'Dvergsdalsdalen kraftverk'}, {'KdbID': 7639, 'Tittel': 'Dvergsdalsdalen kraftverk - økt effekt og slukeevne'}]</t>
  </si>
  <si>
    <t>23</t>
  </si>
  <si>
    <t>Dversetelva</t>
  </si>
  <si>
    <t>163.2Z</t>
  </si>
  <si>
    <t>2011-06-07T00:00:00</t>
  </si>
  <si>
    <t>[{'KdbID': 5168, 'Tittel': 'Dversetelva kraftverk'}]</t>
  </si>
  <si>
    <t>692</t>
  </si>
  <si>
    <t>Dynjanfoss</t>
  </si>
  <si>
    <t>019.DA3</t>
  </si>
  <si>
    <t>1951-10-31T00:00:00</t>
  </si>
  <si>
    <t>[{'KdbID': 1834, 'Tittel': 'Utb. av Dynjanfoss. i Arendalsvassdraget.'}, {'KdbID': 9575, 'Tittel': 'Søknad - Midlertidig fravik fra manøvreringsreglementet - Dynjanfoss\xa0kraftverk\xa0-\xa0Å ENERGI VANNKRAFT AS - Fravik fra minstevannføring;  - 03.02.2025 til 28.02.2025- Referansenr:DTJCWC'}]</t>
  </si>
  <si>
    <t>Dyrbakk</t>
  </si>
  <si>
    <t>MODUM KRAFTPRODUKSJON KF</t>
  </si>
  <si>
    <t>971030674</t>
  </si>
  <si>
    <t>Modum</t>
  </si>
  <si>
    <t>012.D52</t>
  </si>
  <si>
    <t>[{'AdressatID': 29244, 'Driftselskap': True, 'Hovedeier': True, 'Navn': 'MODUM KRAFTPRODUKSJON KF', 'OrgNr': 971030674, 'ProsentAndel': 100.0, 'ProsentAndelDrift': 100.0}]</t>
  </si>
  <si>
    <t>Dyrdalselva</t>
  </si>
  <si>
    <t>DYRDAL KRAFT AS</t>
  </si>
  <si>
    <t>911605473</t>
  </si>
  <si>
    <t>070.11Z</t>
  </si>
  <si>
    <t>2021-03-20T00:00:00</t>
  </si>
  <si>
    <t>[{'AdressatID': 60839, 'Driftselskap': True, 'Hovedeier': True, 'Navn': 'DYRDAL KRAFT AS', 'OrgNr': 911605473, 'ProsentAndel': 100.0, 'ProsentAndelDrift': 100.0}]</t>
  </si>
  <si>
    <t>[{'KdbID': 5988, 'Tittel': 'Dyrdalselva kraftverk'}]</t>
  </si>
  <si>
    <t>Dyrhovden</t>
  </si>
  <si>
    <t>DYRHOVDEN ENERGI</t>
  </si>
  <si>
    <t>979813015</t>
  </si>
  <si>
    <t>Samnanger</t>
  </si>
  <si>
    <t>055.B4</t>
  </si>
  <si>
    <t>[{'AdressatID': 40483, 'Driftselskap': True, 'Hovedeier': True, 'Navn': 'DYRHOVDEN ENERGI', 'OrgNr': 979813015, 'ProsentAndel': 100.0, 'ProsentAndelDrift': 100.0}]</t>
  </si>
  <si>
    <t>[{'KdbID': 2300, 'Tittel': 'Mikrokraftverk i Tverrlielva'}]</t>
  </si>
  <si>
    <t>Samnangervassdraget</t>
  </si>
  <si>
    <t>246</t>
  </si>
  <si>
    <t>Dyrkolbotn</t>
  </si>
  <si>
    <t>NIPO KRAFT AS</t>
  </si>
  <si>
    <t>985479321</t>
  </si>
  <si>
    <t>064.4Z</t>
  </si>
  <si>
    <t>2025-01-10T00:00:00</t>
  </si>
  <si>
    <t>[{'AdressatID': 42841, 'Driftselskap': True, 'Hovedeier': True, 'Navn': 'NIPO KRAFT AS', 'OrgNr': 985479321, 'ProsentAndel': 100.0, 'ProsentAndelDrift': 100.0}]</t>
  </si>
  <si>
    <t>[{'KdbID': 5375, 'Tittel': 'Dyrkolbotn kraftverk'}]</t>
  </si>
  <si>
    <t>Romarheimselvi</t>
  </si>
  <si>
    <t>269</t>
  </si>
  <si>
    <t>Dyrkorn</t>
  </si>
  <si>
    <t>TAFJORD KRAFTPRODUKSJON AS</t>
  </si>
  <si>
    <t>977461898</t>
  </si>
  <si>
    <t>Fjord</t>
  </si>
  <si>
    <t>78</t>
  </si>
  <si>
    <t>100.31Z</t>
  </si>
  <si>
    <t>2011-05-31T00:00:00</t>
  </si>
  <si>
    <t>[{'AdressatID': 25766, 'Driftselskap': True, 'Hovedeier': True, 'Navn': 'TAFJORD KRAFTPRODUKSJON AS', 'OrgNr': 977461898, 'ProsentAndel': 100.0, 'ProsentAndelDrift': 100.0}]</t>
  </si>
  <si>
    <t>[{'KdbID': 4629, 'Tittel': 'Dyrkorn kraftverk'}]</t>
  </si>
  <si>
    <t>Dyrkornelva</t>
  </si>
  <si>
    <t>420</t>
  </si>
  <si>
    <t>Dyrnesli</t>
  </si>
  <si>
    <t>VADHEIM KRAFT AS</t>
  </si>
  <si>
    <t>813442612</t>
  </si>
  <si>
    <t>080.22A</t>
  </si>
  <si>
    <t>1907-09-01T00:00:00</t>
  </si>
  <si>
    <t>[{'AdressatID': 50005, 'Driftselskap': True, 'Hovedeier': True, 'Navn': 'VADHEIM KRAFT AS', 'OrgNr': 813442612, 'ProsentAndel': 100.0, 'ProsentAndelDrift': 100.0}]</t>
  </si>
  <si>
    <t>[{'KdbID': 816, 'Tittel': 'Erverv av Dyrneslielven m.v. i Kirkebø'}, {'KdbID': 1684, 'Tittel': 'Erverv av 2500 hk. i Dyrneslielven.'}, {'KdbID': 6093, 'Tittel': 'Revisjon av konsesjonsvilkår - Dyrneslivassdr, Vadheim'}, {'KdbID': 7723, 'Tittel': 'Ervervskonsesjon - Dyrnesli kraftverk'}]</t>
  </si>
  <si>
    <t>Dyrstad</t>
  </si>
  <si>
    <t>DYRSTAD KRAFT AS</t>
  </si>
  <si>
    <t>927344718</t>
  </si>
  <si>
    <t>086.22</t>
  </si>
  <si>
    <t>[{'AdressatID': 61622, 'Driftselskap': True, 'Hovedeier': True, 'Navn': 'DYRSTAD KRAFT AS', 'OrgNr': 927344718, 'ProsentAndel': 100.0, 'ProsentAndelDrift': 100.0}]</t>
  </si>
  <si>
    <t>[{'KdbID': 2892, 'Tittel': 'Dyrstad kraftverk'}]</t>
  </si>
  <si>
    <t>Døla</t>
  </si>
  <si>
    <t>128.3A2C</t>
  </si>
  <si>
    <t>2011-03-01T00:00:00</t>
  </si>
  <si>
    <t>[{'KdbID': 5278, 'Tittel': 'Døla småkraftverk'}]</t>
  </si>
  <si>
    <t>Figga</t>
  </si>
  <si>
    <t>516</t>
  </si>
  <si>
    <t>Døsen</t>
  </si>
  <si>
    <t>075.6A</t>
  </si>
  <si>
    <t>[{'KdbID': 3205, 'Tittel': 'Døsen mikrokraftverk'}]</t>
  </si>
  <si>
    <t>Døsagrovi</t>
  </si>
  <si>
    <t>310</t>
  </si>
  <si>
    <t>Døvik</t>
  </si>
  <si>
    <t>DØVIK KRAFT AS</t>
  </si>
  <si>
    <t>985904057</t>
  </si>
  <si>
    <t>033.13</t>
  </si>
  <si>
    <t>[{'AdressatID': 43089, 'Driftselskap': True, 'Hovedeier': True, 'Navn': 'DØVIK KRAFT AS', 'OrgNr': 985904057, 'ProsentAndel': 100.0, 'ProsentAndelDrift': 100.0}]</t>
  </si>
  <si>
    <t>[{'KdbID': 3415, 'Tittel': 'Døvik 1, Minikraftverk i Paddevassåna'}]</t>
  </si>
  <si>
    <t>Døvikfoss</t>
  </si>
  <si>
    <t>012.B63</t>
  </si>
  <si>
    <t>1975-04-10T00:00:00</t>
  </si>
  <si>
    <t>[{'KdbID': 95, 'Tittel': 'Erverv av fallrettigheter i Døvikfoss i Modum'}, {'KdbID': 138, 'Tittel': 'Erverv av Døvikfoss m.v. i Modum og Øvre Eiker'}, {'KdbID': 421, 'Tittel': 'Erverv og ekspr. for bygging av Døvikfoss kraftverk'}, {'KdbID': 7652, 'Tittel': 'Døvikfoss kraftverk - installasjon av nytt løpehjul'}]</t>
  </si>
  <si>
    <t>Efteland</t>
  </si>
  <si>
    <t>EFTELAND KRAFTVERK AS</t>
  </si>
  <si>
    <t>927185776</t>
  </si>
  <si>
    <t>Eigersund</t>
  </si>
  <si>
    <t>027.3C0</t>
  </si>
  <si>
    <t>2006-12-07T00:00:00</t>
  </si>
  <si>
    <t>[{'AdressatID': 61223, 'Driftselskap': True, 'Hovedeier': True, 'Navn': 'EFTELAND KRAFTVERK AS', 'OrgNr': 927185776, 'ProsentAndel': 100.0, 'ProsentAndelDrift': 100.0}]</t>
  </si>
  <si>
    <t>[{'KdbID': 3907, 'Tittel': 'Epteland mikrokraftverk'}]</t>
  </si>
  <si>
    <t>Hellelandselva</t>
  </si>
  <si>
    <t>Eftestøl</t>
  </si>
  <si>
    <t>EFTESTØL Ole Tom</t>
  </si>
  <si>
    <t>969095335</t>
  </si>
  <si>
    <t>025.AC4Z</t>
  </si>
  <si>
    <t>[{'AdressatID': 24936, 'Driftselskap': True, 'Hovedeier': True, 'Navn': 'EFTESTØL Ole Tom', 'OrgNr': 969095335, 'ProsentAndel': 100.0, 'ProsentAndelDrift': 100.0}]</t>
  </si>
  <si>
    <t>Egge</t>
  </si>
  <si>
    <t>087.D4A</t>
  </si>
  <si>
    <t>2007-03-21T00:00:00</t>
  </si>
  <si>
    <t>[{'KdbID': 4092, 'Tittel': 'Egge kraftverk'}]</t>
  </si>
  <si>
    <t>Eid</t>
  </si>
  <si>
    <t>012.H51</t>
  </si>
  <si>
    <t>2000-07-07T00:00:00</t>
  </si>
  <si>
    <t>[{'KdbID': 239, 'Tittel': 'Eidsfossen i Begna'}, {'KdbID': 2349, 'Tittel': 'Eid krv. planendr - S-Aurdal komm Oppland'}]</t>
  </si>
  <si>
    <t>Eide</t>
  </si>
  <si>
    <t>EIRIK M EIDE</t>
  </si>
  <si>
    <t>981950275</t>
  </si>
  <si>
    <t>Fitjar</t>
  </si>
  <si>
    <t>044.1</t>
  </si>
  <si>
    <t>2008-01-07T00:00:00</t>
  </si>
  <si>
    <t>[{'AdressatID': 43346, 'Driftselskap': True, 'Hovedeier': True, 'Navn': 'EIRIK M EIDE', 'OrgNr': 981950275, 'ProsentAndel': 100.0, 'ProsentAndelDrift': 100.0}]</t>
  </si>
  <si>
    <t>[{'KdbID': 3891, 'Tittel': 'Eide mikrokraftverk'}]</t>
  </si>
  <si>
    <t>Eidefossen</t>
  </si>
  <si>
    <t>EIDEFOSS VANNKRAFT AS</t>
  </si>
  <si>
    <t>923354220</t>
  </si>
  <si>
    <t>002.DHA42</t>
  </si>
  <si>
    <t>1983-06-23T00:00:00</t>
  </si>
  <si>
    <t>[{'AdressatID': 53346, 'Driftselskap': True, 'Hovedeier': True, 'Navn': 'EIDEFOSS VANNKRAFT AS', 'OrgNr': 923354220, 'ProsentAndel': 100.0, 'ProsentAndelDrift': 100.0}]</t>
  </si>
  <si>
    <t>[{'KdbID': 81, 'Tittel': 'Erverv av Eidefossen i Vågå - Endring til tidsubegrenset konsesjon'}, {'KdbID': 460, 'Tittel': 'Tillatelse til å bygge og drive et nytt Eidefossen kraftverk i Vågå'}, {'KdbID': 489, 'Tittel': 'Erverv av Eidefossen i Vågå'}, {'KdbID': 3319, 'Tittel': 'Erv. fall og heving av inntaksdam for Eidefossen kraftverk'}]</t>
  </si>
  <si>
    <t>Eidesfossen</t>
  </si>
  <si>
    <t>HARDANGER ENERGI AS</t>
  </si>
  <si>
    <t>983502601</t>
  </si>
  <si>
    <t>047.2B0</t>
  </si>
  <si>
    <t>[{'AdressatID': 10440, 'Driftselskap': True, 'Hovedeier': True, 'Navn': 'HARDANGER ENERGI AS', 'OrgNr': 983502601, 'ProsentAndel': 100.0, 'ProsentAndelDrift': 100.0}]</t>
  </si>
  <si>
    <t>[{'KdbID': 2644, 'Tittel': 'Eidesfoss kr.verk Jondal Energiverk'}]</t>
  </si>
  <si>
    <t>Eidet</t>
  </si>
  <si>
    <t>016.A122</t>
  </si>
  <si>
    <t>1960-01-01T00:00:00</t>
  </si>
  <si>
    <t>[{'KdbID': 7831, 'Tittel': 'Eidet, Eidet I og Eidet II kraftverk - Innkalling til konsesjonsbehandling'}, {'KdbID': 8232, 'Tittel': 'Erverv av fallrettigheter for Eidet II kraftverk i Skiensfallene'}]</t>
  </si>
  <si>
    <t>Eidsdal</t>
  </si>
  <si>
    <t>EIDSDAL KRAFTVERK AS</t>
  </si>
  <si>
    <t>926707043</t>
  </si>
  <si>
    <t>099.1A</t>
  </si>
  <si>
    <t>[{'AdressatID': 61717, 'Driftselskap': True, 'Hovedeier': True, 'Navn': 'EIDSDAL KRAFTVERK AS', 'OrgNr': 926707043, 'ProsentAndel': 100.0, 'ProsentAndelDrift': 100.0}]</t>
  </si>
  <si>
    <t>[{'KdbID': 4024, 'Tittel': 'Eidsdal kraftverk'}]</t>
  </si>
  <si>
    <t>Eidsdalselva</t>
  </si>
  <si>
    <t>415</t>
  </si>
  <si>
    <t>Eidsetelva</t>
  </si>
  <si>
    <t>094.212</t>
  </si>
  <si>
    <t>2011-09-07T00:00:00</t>
  </si>
  <si>
    <t>[{'KdbID': 4323, 'Tittel': 'Eidsetelva kraftverk'}]</t>
  </si>
  <si>
    <t>380</t>
  </si>
  <si>
    <t>Eidsfoss</t>
  </si>
  <si>
    <t>NORSJØKRAFT AS</t>
  </si>
  <si>
    <t>998890314</t>
  </si>
  <si>
    <t>Nome</t>
  </si>
  <si>
    <t>016.BA2</t>
  </si>
  <si>
    <t>1964-12-14T00:00:00</t>
  </si>
  <si>
    <t>[{'AdressatID': 41005, 'Driftselskap': True, 'Hovedeier': False, 'Navn': 'STATKRAFT ENERGI AS', 'OrgNr': 987059729, 'ProsentAndel': None, 'ProsentAndelDrift': None}, {'AdressatID': 43800, 'Driftselskap': False, 'Hovedeier': True, 'Navn': 'NORSJØKRAFT AS', 'OrgNr': 998890314, 'ProsentAndel': 100.0, 'ProsentAndelDrift': 100.0}]</t>
  </si>
  <si>
    <t>[{'KdbID': 6657, 'Tittel': 'Erverv av eiendomsrett til fall, Eidsfoss og Vrangfoss kr.v.'}]</t>
  </si>
  <si>
    <t>JOTUN KRAFTPRODUKSJON AS</t>
  </si>
  <si>
    <t>925604569</t>
  </si>
  <si>
    <t>012.Q2</t>
  </si>
  <si>
    <t>1956-01-01T00:00:00</t>
  </si>
  <si>
    <t>[{'AdressatID': 60432, 'Driftselskap': True, 'Hovedeier': True, 'Navn': 'JOTUN KRAFTPRODUKSJON AS', 'OrgNr': 925604569, 'ProsentAndel': 100.0, 'ProsentAndelDrift': 100.0}]</t>
  </si>
  <si>
    <t>[{'KdbID': 1, 'Tittel': 'Regulering av Otrøvatn i  Begnavassdraget'}]</t>
  </si>
  <si>
    <t>Aktieselskapet Eidsfos Verk</t>
  </si>
  <si>
    <t>911314436</t>
  </si>
  <si>
    <t>Vestfold</t>
  </si>
  <si>
    <t>Holmestrand</t>
  </si>
  <si>
    <t>012.AB6</t>
  </si>
  <si>
    <t>1903-01-01T00:00:00</t>
  </si>
  <si>
    <t>[{'AdressatID': 22653, 'Driftselskap': True, 'Hovedeier': True, 'Navn': 'Aktieselskapet Eidsfos Verk', 'OrgNr': 911314436, 'ProsentAndel': 100.0, 'ProsentAndelDrift': 100.0}]</t>
  </si>
  <si>
    <t>[{'KdbID': 2975, 'Tittel': 'Opprusting av Eidsfoss kraftverk'}]</t>
  </si>
  <si>
    <t>Eidsfossen</t>
  </si>
  <si>
    <t>GLOPPEN ENERGI AS</t>
  </si>
  <si>
    <t>993039330</t>
  </si>
  <si>
    <t>087.A12</t>
  </si>
  <si>
    <t>1949-01-01T00:00:00</t>
  </si>
  <si>
    <t>[{'AdressatID': 25454, 'Driftselskap': True, 'Hovedeier': False, 'Navn': 'SFE AS', 'OrgNr': 984882106, 'ProsentAndel': None, 'ProsentAndelDrift': None}, {'AdressatID': 50441, 'Driftselskap': False, 'Hovedeier': True, 'Navn': 'GLOPPEN ENERGI AS', 'OrgNr': 993039330, 'ProsentAndel': 100.0, 'ProsentAndelDrift': 100.0}]</t>
  </si>
  <si>
    <t>[{'KdbID': 8341, 'Tittel': 'Eidsfossen kraftverk'}]</t>
  </si>
  <si>
    <t>Eidsland 1</t>
  </si>
  <si>
    <t>EIDSLAND ENERGI AS</t>
  </si>
  <si>
    <t>921662114</t>
  </si>
  <si>
    <t>063.A10</t>
  </si>
  <si>
    <t>2015-06-29T00:00:00</t>
  </si>
  <si>
    <t>[{'AdressatID': 52486, 'Driftselskap': True, 'Hovedeier': True, 'Navn': 'EIDSLAND ENERGI AS', 'OrgNr': 921662114, 'ProsentAndel': 100.0, 'ProsentAndelDrift': 100.0}]</t>
  </si>
  <si>
    <t>[{'KdbID': 3160, 'Tittel': 'Eidslandet minikraftverk'}]</t>
  </si>
  <si>
    <t>Eidsland 2</t>
  </si>
  <si>
    <t>2019-12-20T00:00:00</t>
  </si>
  <si>
    <t>[{'KdbID': 5870, 'Tittel': 'Eidsland 2 kraftverk'}]</t>
  </si>
  <si>
    <t>Eikedalsvatten</t>
  </si>
  <si>
    <t>104.B2</t>
  </si>
  <si>
    <t>1986-01-01T00:00:00</t>
  </si>
  <si>
    <t>Eira</t>
  </si>
  <si>
    <t>437</t>
  </si>
  <si>
    <t>Eikelandsosen</t>
  </si>
  <si>
    <t>055.2Z</t>
  </si>
  <si>
    <t>1986-09-01T00:00:00</t>
  </si>
  <si>
    <t>[{'KdbID': 739, 'Tittel': 'Utbygging av Kvanndalsvassdraget, Erverv, regulering og ekspropr.'}]</t>
  </si>
  <si>
    <t>Eikelandsvassdraget</t>
  </si>
  <si>
    <t>243</t>
  </si>
  <si>
    <t>Eikemo</t>
  </si>
  <si>
    <t>063.A4C</t>
  </si>
  <si>
    <t>2023-01-20T00:00:00</t>
  </si>
  <si>
    <t>[{'KdbID': 4226, 'Tittel': 'Eikemo kraftverk'}, {'KdbID': 8837, 'Tittel': 'Planendring Eikemo kraftverk'}]</t>
  </si>
  <si>
    <t>042.42B0</t>
  </si>
  <si>
    <t>2025-03-18T00:00:00</t>
  </si>
  <si>
    <t>[{'KdbID': 4950, 'Tittel': 'Eikemo kraftverk'}]</t>
  </si>
  <si>
    <t>Eikemoelva</t>
  </si>
  <si>
    <t>187</t>
  </si>
  <si>
    <t>Eimstad</t>
  </si>
  <si>
    <t>062.E11</t>
  </si>
  <si>
    <t>[{'KdbID': 2956, 'Tittel': 'Eimstad mikrokraftverk'}]</t>
  </si>
  <si>
    <t>Einungstølsåna</t>
  </si>
  <si>
    <t>EINUNGSTØLSÅNA KRAFTVERK AS</t>
  </si>
  <si>
    <t>925315184</t>
  </si>
  <si>
    <t>036.G2</t>
  </si>
  <si>
    <t>2023-06-21T00:00:00</t>
  </si>
  <si>
    <t>[{'AdressatID': 61364, 'Driftselskap': True, 'Hovedeier': True, 'Navn': 'EINUNGSTØLSÅNA KRAFTVERK AS', 'OrgNr': 925315184, 'ProsentAndel': 100.0, 'ProsentAndelDrift': 100.0}]</t>
  </si>
  <si>
    <t>[{'KdbID': 4951, 'Tittel': 'Einungstølsåna småkraftverk'}]</t>
  </si>
  <si>
    <t>Einunna</t>
  </si>
  <si>
    <t>ØSTERDALEN KRAFTPRODUKSJON AS</t>
  </si>
  <si>
    <t>980343235</t>
  </si>
  <si>
    <t>Folldal</t>
  </si>
  <si>
    <t>002.MBA4</t>
  </si>
  <si>
    <t>2019-10-25T00:00:00</t>
  </si>
  <si>
    <t>[{'AdressatID': 10242, 'Driftselskap': True, 'Hovedeier': False, 'Navn': 'HAFSLUND KRAFT AS', 'OrgNr': 976894677, 'ProsentAndel': None, 'ProsentAndelDrift': None}, {'AdressatID': 29056, 'Driftselskap': False, 'Hovedeier': True, 'Navn': 'ØSTERDALEN KRAFTPRODUKSJON AS', 'OrgNr': 980343235, 'ProsentAndel': 100.0, 'ProsentAndelDrift': 100.0}]</t>
  </si>
  <si>
    <t>[{'KdbID': 162, 'Tittel': 'Erverv av fall i Einunna fra Markbulien til Einunvangen'}, {'KdbID': 2633, 'Tittel': 'Erv.av fallrettighetene i  Einunna, endring av vilkår, Hedmark'}, {'KdbID': 7656, 'Tittel': 'Revisjon av konsesjonsvilkår for regulering av Savalen, Fundin og for delvis overføring av Glomma til Rendalen'}, {'KdbID': 7899, 'Tittel': 'Opprustning av Einunna kraftverk'}]</t>
  </si>
  <si>
    <t>Eiriksdal</t>
  </si>
  <si>
    <t>079.BA2</t>
  </si>
  <si>
    <t>2013-11-22T00:00:00</t>
  </si>
  <si>
    <t>[{'KdbID': 4086, 'Tittel': 'Eiriksdal kraftverk'}, {'KdbID': 8900, 'Tittel': 'Midlertidig fravik fra manøvreringsreglementet - Eiriksdal\xa0kraftverk\xa0-\xa0STATKRAFT ENERGI AS - Tapping under LRV ;  - 01.10.2022 til 01.10.2023- Referansenr:PCYBAW'}, {'KdbID': 9141, 'Tittel': 'Midlertidig fravik fra manøvreringsreglementet - Eiriksdal\xa0kraftverk\xa0-\xa0STATKRAFT ENERGI AS - Tapping under LRV ;  - 15.10.2023 til 30.12.2024- Referansenr:IQIMHC'}]</t>
  </si>
  <si>
    <t>Høyangervassdraget</t>
  </si>
  <si>
    <t>327</t>
  </si>
  <si>
    <t>Eitro</t>
  </si>
  <si>
    <t>EITRO KRAFTVERK AS</t>
  </si>
  <si>
    <t>890712592</t>
  </si>
  <si>
    <t>2013-05-31T00:00:00</t>
  </si>
  <si>
    <t>[{'AdressatID': 43167, 'Driftselskap': True, 'Hovedeier': True, 'Navn': 'EITRO KRAFTVERK AS', 'OrgNr': 890712592, 'ProsentAndel': 100.0, 'ProsentAndelDrift': 100.0}]</t>
  </si>
  <si>
    <t>[{'KdbID': 4714, 'Tittel': 'Eitro kraftverk'}]</t>
  </si>
  <si>
    <t>Ekkjestølen</t>
  </si>
  <si>
    <t>036.E2B</t>
  </si>
  <si>
    <t>2009-03-04T00:00:00</t>
  </si>
  <si>
    <t>[{'KdbID': 4107, 'Tittel': 'Ekkjestølen kraftverk'}]</t>
  </si>
  <si>
    <t>Eldao</t>
  </si>
  <si>
    <t>ELDAO KRAFTVERK AS</t>
  </si>
  <si>
    <t>913347412</t>
  </si>
  <si>
    <t>077.C4Z</t>
  </si>
  <si>
    <t>2018-10-25T00:00:00</t>
  </si>
  <si>
    <t>[{'AdressatID': 50381, 'Driftselskap': True, 'Hovedeier': True, 'Navn': 'ELDAO KRAFTVERK AS', 'OrgNr': 913347412, 'ProsentAndel': 100.0, 'ProsentAndelDrift': 100.0}]</t>
  </si>
  <si>
    <t>[{'KdbID': 4657, 'Tittel': 'Eldeelvi kraftverk'}]</t>
  </si>
  <si>
    <t>Årøyvassdraget</t>
  </si>
  <si>
    <t>312</t>
  </si>
  <si>
    <t>Elde</t>
  </si>
  <si>
    <t>ELDE KRAFT AS</t>
  </si>
  <si>
    <t>923750738</t>
  </si>
  <si>
    <t>086.41Z</t>
  </si>
  <si>
    <t>2022-06-27T00:00:00</t>
  </si>
  <si>
    <t>[{'AdressatID': 55841, 'Driftselskap': True, 'Hovedeier': True, 'Navn': 'ELDE KRAFT AS', 'OrgNr': 923750738, 'ProsentAndel': 100.0, 'ProsentAndelDrift': 100.0}]</t>
  </si>
  <si>
    <t>[{'KdbID': 5237, 'Tittel': 'Elde kraftverk'}, {'KdbID': 8189, 'Tittel': 'Elde kraftverk - økt slukeevne'}]</t>
  </si>
  <si>
    <t>Eldeelva</t>
  </si>
  <si>
    <t>Eldrevatn</t>
  </si>
  <si>
    <t>073.CD2A2A0</t>
  </si>
  <si>
    <t>2013-10-28T00:00:00</t>
  </si>
  <si>
    <t>[{'KdbID': 4270, 'Tittel': 'Eldrevatn kraftverk'}, {'KdbID': 6039, 'Tittel': 'Eldrevatn kraftverk- erverv av fall'}]</t>
  </si>
  <si>
    <t>Ellenelva</t>
  </si>
  <si>
    <t>Tromsø</t>
  </si>
  <si>
    <t>203.A0</t>
  </si>
  <si>
    <t>2012-08-29T00:00:00</t>
  </si>
  <si>
    <t>[{'KdbID': 4998, 'Tittel': 'Ellenelva kraftverk'}]</t>
  </si>
  <si>
    <t>Lakselva</t>
  </si>
  <si>
    <t>810</t>
  </si>
  <si>
    <t>Ellingsbekken</t>
  </si>
  <si>
    <t>KIÆR MYKLEBY Anders Kiær</t>
  </si>
  <si>
    <t>961272432</t>
  </si>
  <si>
    <t>Stor-Elvdal</t>
  </si>
  <si>
    <t>002.K6A2</t>
  </si>
  <si>
    <t>[{'AdressatID': 23448, 'Driftselskap': True, 'Hovedeier': True, 'Navn': 'KIÆR MYKLEBY Anders Kiær', 'OrgNr': 961272432, 'ProsentAndel': 100.0, 'ProsentAndelDrift': 100.0}]</t>
  </si>
  <si>
    <t>[{'KdbID': 2853, 'Tittel': 'Mikrokraftverk i Ellingsbekken'}]</t>
  </si>
  <si>
    <t>Embla</t>
  </si>
  <si>
    <t>EMBLA KRAFT AS</t>
  </si>
  <si>
    <t>994230905</t>
  </si>
  <si>
    <t>Stranda</t>
  </si>
  <si>
    <t>25</t>
  </si>
  <si>
    <t>098.3C</t>
  </si>
  <si>
    <t>2012-08-15T00:00:00</t>
  </si>
  <si>
    <t>[{'AdressatID': 43157, 'Driftselskap': True, 'Hovedeier': True, 'Navn': 'EMBLA KRAFT AS', 'OrgNr': 994230905, 'ProsentAndel': 100.0, 'ProsentAndelDrift': 100.0}]</t>
  </si>
  <si>
    <t>[{'KdbID': 4904, 'Tittel': 'Embla kraftverk'}]</t>
  </si>
  <si>
    <t>409</t>
  </si>
  <si>
    <t>Embretsfoss</t>
  </si>
  <si>
    <t>EMBRETSFOSSKRAFTVERKENE DA</t>
  </si>
  <si>
    <t>996257959</t>
  </si>
  <si>
    <t>012.C1</t>
  </si>
  <si>
    <t>[{'AdressatID': 10242, 'Driftselskap': False, 'Hovedeier': False, 'Navn': 'HAFSLUND KRAFT AS', 'OrgNr': 976894677, 'ProsentAndel': 50.0, 'ProsentAndelDrift': None}, {'AdressatID': 40121, 'Driftselskap': True, 'Hovedeier': False, 'Navn': 'Å ENERGI VANNKRAFT AS', 'OrgNr': 882973972, 'ProsentAndel': 50.0, 'ProsentAndelDrift': None}, {'AdressatID': 43377, 'Driftselskap': False, 'Hovedeier': True, 'Navn': 'EMBRETSFOSSKRAFTVERKENE DA', 'OrgNr': 996257959, 'ProsentAndel': None, 'ProsentAndelDrift': 100.0}]</t>
  </si>
  <si>
    <t>[{'KdbID': 729, 'Tittel': 'Erverv av fallrettigheter i Embretsfoss'}, {'KdbID': 4870, 'Tittel': 'Vurdering av konsesjonsplikt for Embretsfoss 4 kraftverk'}]</t>
  </si>
  <si>
    <t>Engeset</t>
  </si>
  <si>
    <t>ENGESET KRAFT AS</t>
  </si>
  <si>
    <t>987857048</t>
  </si>
  <si>
    <t>098.3AB</t>
  </si>
  <si>
    <t>2007-01-17T00:00:00</t>
  </si>
  <si>
    <t>[{'AdressatID': 42649, 'Driftselskap': True, 'Hovedeier': True, 'Navn': 'ENGESET KRAFT AS', 'OrgNr': 987857048, 'ProsentAndel': 100.0, 'ProsentAndelDrift': 100.0}]</t>
  </si>
  <si>
    <t>[{'KdbID': 4090, 'Tittel': 'Engeset kraftverk'}]</t>
  </si>
  <si>
    <t>Engesetelva</t>
  </si>
  <si>
    <t>069.31Z</t>
  </si>
  <si>
    <t>2021-11-08T00:00:00</t>
  </si>
  <si>
    <t>[{'KdbID': 4874, 'Tittel': 'Engesetelva kraftverk'}]</t>
  </si>
  <si>
    <t>Erdal</t>
  </si>
  <si>
    <t>ERDAL MINIKRAFT AS</t>
  </si>
  <si>
    <t>986364366</t>
  </si>
  <si>
    <t>050.3A</t>
  </si>
  <si>
    <t>2005-05-02T00:00:00</t>
  </si>
  <si>
    <t>[{'AdressatID': 43734, 'Driftselskap': True, 'Hovedeier': True, 'Navn': 'ERDAL MINIKRAFT AS', 'OrgNr': 986364366, 'ProsentAndel': 100.0, 'ProsentAndelDrift': 100.0}]</t>
  </si>
  <si>
    <t>[{'KdbID': 2770, 'Tittel': 'Erdalselva minikraftverk'}]</t>
  </si>
  <si>
    <t>Erdalsvassdraget</t>
  </si>
  <si>
    <t>Erfjord</t>
  </si>
  <si>
    <t>ERFJORD MIKROKRAFTVERK</t>
  </si>
  <si>
    <t>992046376</t>
  </si>
  <si>
    <t>2008-08-25T00:00:00</t>
  </si>
  <si>
    <t>[{'AdressatID': 43833, 'Driftselskap': True, 'Hovedeier': True, 'Navn': 'ERFJORD MIKROKRAFTVERK', 'OrgNr': 992046376, 'ProsentAndel': 100.0, 'ProsentAndelDrift': 100.0}]</t>
  </si>
  <si>
    <t>[{'KdbID': 4060, 'Tittel': 'Bokslia mikrokraftverk'}]</t>
  </si>
  <si>
    <t>Ervik</t>
  </si>
  <si>
    <t>094.61</t>
  </si>
  <si>
    <t>[{'KdbID': 2340, 'Tittel': 'Mikrokraftverk i elv fra Ervikvatn'}]</t>
  </si>
  <si>
    <t>Ervikselva</t>
  </si>
  <si>
    <t>ERVIKSELVA KRAFT AS</t>
  </si>
  <si>
    <t>923366547</t>
  </si>
  <si>
    <t>084.61Z</t>
  </si>
  <si>
    <t>2024-08-06T00:00:00</t>
  </si>
  <si>
    <t>[{'AdressatID': 40545, 'Driftselskap': True, 'Hovedeier': False, 'Navn': 'FORTE VANNKRAFT AS', 'OrgNr': 975964825, 'ProsentAndel': None, 'ProsentAndelDrift': None}, {'AdressatID': 58056, 'Driftselskap': False, 'Hovedeier': True, 'Navn': 'ERVIKSELVA KRAFT AS', 'OrgNr': 923366547, 'ProsentAndel': 100.0, 'ProsentAndelDrift': 100.0}]</t>
  </si>
  <si>
    <t>[{'KdbID': 6985, 'Tittel': 'Ervikselva kraftverk'}]</t>
  </si>
  <si>
    <t>Soleimselva</t>
  </si>
  <si>
    <t>Espeelvi</t>
  </si>
  <si>
    <t>ESPEELVI KRAFT AS</t>
  </si>
  <si>
    <t>998805198</t>
  </si>
  <si>
    <t>049.2A</t>
  </si>
  <si>
    <t>2018-05-09T00:00:00</t>
  </si>
  <si>
    <t>[{'AdressatID': 50177, 'Driftselskap': True, 'Hovedeier': True, 'Navn': 'ESPEELVI KRAFT AS', 'OrgNr': 998805198, 'ProsentAndel': 100.0, 'ProsentAndelDrift': 100.0}]</t>
  </si>
  <si>
    <t>[{'KdbID': 6119, 'Tittel': 'Espeelvi kraftverk'}]</t>
  </si>
  <si>
    <t>Espeland</t>
  </si>
  <si>
    <t>ESPELAND MINIKRAFTVERK AS</t>
  </si>
  <si>
    <t>913377400</t>
  </si>
  <si>
    <t>Hyllestad</t>
  </si>
  <si>
    <t>080.4Z</t>
  </si>
  <si>
    <t>2015-09-25T00:00:00</t>
  </si>
  <si>
    <t>[{'AdressatID': 43866, 'Driftselskap': True, 'Hovedeier': True, 'Navn': 'ESPELAND MINIKRAFTVERK AS', 'OrgNr': 913377400, 'ProsentAndel': 100.0, 'ProsentAndelDrift': 100.0}]</t>
  </si>
  <si>
    <t>[{'KdbID': 4337, 'Tittel': 'Espeland minikraftverk'}]</t>
  </si>
  <si>
    <t>Lølandselva</t>
  </si>
  <si>
    <t>331</t>
  </si>
  <si>
    <t>Evanger</t>
  </si>
  <si>
    <t>062.BA0</t>
  </si>
  <si>
    <t>1969-03-03T00:00:00</t>
  </si>
  <si>
    <t>[{'KdbID': 376, 'Tittel': 'Reg. og overf. i Eksingedalsvassdraget, Evanger kraftv.'}, {'KdbID': 450, 'Tittel': 'Evanger kraftverk - Planendringer'}, {'KdbID': 963, 'Tittel': 'Reg. og overf. i Eksingedalsvassdr. - Evanger kraftstv., Planendr.'}, {'KdbID': 2078, 'Tittel': 'Korrigert manøvreringsreglement for Eksingedal-Evanger utb.'}, {'KdbID': 3003, 'Tittel': 'Overføring av Beinheller- og Blyfjellbekken til Evanger kr.v.'}, {'KdbID': 4030, 'Tittel': 'Økt regulering av Kvanngrøvatn, Modalsvassdraget i Hordaland'}, {'KdbID': 7525, 'Tittel': 'Grøndalen pumpestasjon, utskifting/totalrehabilitering og nytt tappeløp i dam Grøndalen'}]</t>
  </si>
  <si>
    <t>Evebøfossen</t>
  </si>
  <si>
    <t>087.A121</t>
  </si>
  <si>
    <t>Evenstad</t>
  </si>
  <si>
    <t>019.B42</t>
  </si>
  <si>
    <t>1939-01-01T00:00:00</t>
  </si>
  <si>
    <t>[{'KdbID': 758, 'Tittel': 'Utvidelse av Evenstad Kraftverk i Arendalsvassdraget'}, {'KdbID': 8738, 'Tittel': 'Midlertidig fravik fra manøvreringsreglementet - Evenstad\xa0kraftverk\xa0-\xa0AGDER ENERGI VANNKRAFT AS - Tapping under LRV ;  - 06.06.2022 til 10.07.2022- Referansenr:USIERJ'}, {'KdbID': 8906, 'Tittel': 'Midlertidig fravik fra manøvreringsreglementet - Evenstad\xa0kraftverk\xa0-\xa0AGDER ENERGI VANNKRAFT AS - Tapping under LRV ;  - 04.10.2022 til 15.03.2023- Referansenr:JEFBZP'}]</t>
  </si>
  <si>
    <t>Fagerdalen</t>
  </si>
  <si>
    <t>FAGERDALEN KRAFTVERK AS</t>
  </si>
  <si>
    <t>988198641</t>
  </si>
  <si>
    <t>063.A8Z</t>
  </si>
  <si>
    <t>2007-10-01T00:00:00</t>
  </si>
  <si>
    <t>[{'AdressatID': 43326, 'Driftselskap': True, 'Hovedeier': True, 'Navn': 'FAGERDALEN KRAFTVERK AS', 'OrgNr': 988198641, 'ProsentAndel': 100.0, 'ProsentAndelDrift': 100.0}]</t>
  </si>
  <si>
    <t>[{'KdbID': 4069, 'Tittel': 'Fagerdalen minikraftverk'}]</t>
  </si>
  <si>
    <t>Fagerelva</t>
  </si>
  <si>
    <t>Stad</t>
  </si>
  <si>
    <t>089.41</t>
  </si>
  <si>
    <t>[{'KdbID': 2754, 'Tittel': 'Fagerelva mikrokraftverk'}]</t>
  </si>
  <si>
    <t>Fagerli</t>
  </si>
  <si>
    <t>164.D5</t>
  </si>
  <si>
    <t>1975-06-01T00:00:00</t>
  </si>
  <si>
    <t>[{'KdbID': 135, 'Tittel': 'Erverv av bruksrett til statens fall i Balmivassdraget'}, {'KdbID': 2386, 'Tittel': 'Overf. Annabekken via Emmavatn til Dajavatn og Fagerli kr.verk'}]</t>
  </si>
  <si>
    <t>Fagerlid</t>
  </si>
  <si>
    <t>FAGERLID MINIKRAFTVERK AS</t>
  </si>
  <si>
    <t>990281343</t>
  </si>
  <si>
    <t>089.622Z</t>
  </si>
  <si>
    <t>2008-08-28T00:00:00</t>
  </si>
  <si>
    <t>[{'AdressatID': 43133, 'Driftselskap': True, 'Hovedeier': True, 'Navn': 'FAGERLID MINIKRAFTVERK AS', 'OrgNr': 990281343, 'ProsentAndel': 100.0, 'ProsentAndelDrift': 100.0}]</t>
  </si>
  <si>
    <t>[{'KdbID': 4457, 'Tittel': 'Fagerlid minikraftverk'}]</t>
  </si>
  <si>
    <t>Totlandselva</t>
  </si>
  <si>
    <t>Fagervollan</t>
  </si>
  <si>
    <t>Rana</t>
  </si>
  <si>
    <t>157.1B5A</t>
  </si>
  <si>
    <t>1990-09-01T00:00:00</t>
  </si>
  <si>
    <t>[{'KdbID': 630, 'Tittel': 'Erverv og utbygging, Fagervollan kraftverk i Holmvassdraget'}, {'KdbID': 845, 'Tittel': 'Erverv. regulering og overføring av Holmvassdraget i Rana'}, {'KdbID': 2711, 'Tittel': 'Reg./overf. m.v. Isvatn, Lille Isvatn, Trolldalselva, Rundtuvvatn'}]</t>
  </si>
  <si>
    <t>Holmelva</t>
  </si>
  <si>
    <t>658</t>
  </si>
  <si>
    <t>Fall</t>
  </si>
  <si>
    <t>012.EC520</t>
  </si>
  <si>
    <t>[{'KdbID': 3729, 'Tittel': 'Fall kraftverk'}]</t>
  </si>
  <si>
    <t>Faslefoss</t>
  </si>
  <si>
    <t>Nord-Aurdal</t>
  </si>
  <si>
    <t>012.K</t>
  </si>
  <si>
    <t>1980-03-01T00:00:00</t>
  </si>
  <si>
    <t>[{'KdbID': 142, 'Tittel': 'Erverv og ekspropr. m.v. for utbygging av Faslefallene i Bægna'}]</t>
  </si>
  <si>
    <t>Fatland</t>
  </si>
  <si>
    <t>FATLAND KRAFT AS</t>
  </si>
  <si>
    <t>999330061</t>
  </si>
  <si>
    <t>2014-02-25T00:00:00</t>
  </si>
  <si>
    <t>[{'AdressatID': 43327, 'Driftselskap': True, 'Hovedeier': True, 'Navn': 'FATLAND KRAFT AS', 'OrgNr': 999330061, 'ProsentAndel': 100.0, 'ProsentAndelDrift': 100.0}]</t>
  </si>
  <si>
    <t>[{'KdbID': 5154, 'Tittel': 'Stuve minikraftverk'}]</t>
  </si>
  <si>
    <t>Fausa I</t>
  </si>
  <si>
    <t>098.2A</t>
  </si>
  <si>
    <t>1929-01-01T00:00:00</t>
  </si>
  <si>
    <t>Fausaelva</t>
  </si>
  <si>
    <t>408</t>
  </si>
  <si>
    <t>Fausa II</t>
  </si>
  <si>
    <t>[{'KdbID': 9, 'Tittel': 'Overføring av Svartåa og Auskargrova til Fausavassdraget'}, {'KdbID': 145, 'Tittel': 'Regulering av Nysætervatn i Fausavassdraget'}, {'KdbID': 151, 'Tittel': 'Ytterligere regulering av Nysætervatn i Fausavassdraget'}]</t>
  </si>
  <si>
    <t>Feios</t>
  </si>
  <si>
    <t>FEIOS KRAFTVERK AS</t>
  </si>
  <si>
    <t>984220839</t>
  </si>
  <si>
    <t>Vik</t>
  </si>
  <si>
    <t>071.1Z</t>
  </si>
  <si>
    <t>2025-10-20T00:00:00</t>
  </si>
  <si>
    <t>[{'AdressatID': 42652, 'Driftselskap': True, 'Hovedeier': True, 'Navn': 'FEIOS KRAFTVERK AS', 'OrgNr': 984220839, 'ProsentAndel': 100.0, 'ProsentAndelDrift': 100.0}]</t>
  </si>
  <si>
    <t>[{'KdbID': 3197, 'Tittel': 'Feios kraftverk'}, {'KdbID': 7257, 'Tittel': 'Feios kraftverk, ny plassering av stasjon'}]</t>
  </si>
  <si>
    <t>Feioselvi</t>
  </si>
  <si>
    <t>286</t>
  </si>
  <si>
    <t>Fellesanlegget Kykkelsrud-Fossumfoss</t>
  </si>
  <si>
    <t>Indre Østfold</t>
  </si>
  <si>
    <t>002.B3</t>
  </si>
  <si>
    <t>1963-01-01T00:00:00</t>
  </si>
  <si>
    <t>[{'AdressatID': 10242, 'Driftselskap': True, 'Hovedeier': True, 'Navn': 'HAFSLUND KRAFT AS', 'OrgNr': 976894677, 'ProsentAndel': None, 'ProsentAndelDrift': 100.0}, {'AdressatID': 40037, 'Driftselskap': False, 'Hovedeier': False, 'Navn': 'HAFSLUND PRODUKSJON AS', 'OrgNr': 987223200, 'ProsentAndel': 100.0, 'ProsentAndelDrift': None}]</t>
  </si>
  <si>
    <t>[{'KdbID': 2259, 'Tittel': 'Unntak fra kons.plikt/forkj.rett v/erv 28% av fellesanl Kykkelsrud'}, {'KdbID': 8037, 'Tittel': 'Nye Kykkelsrud kraftverk'}]</t>
  </si>
  <si>
    <t>Femangerlaks</t>
  </si>
  <si>
    <t>AS FEMANGERLAKS</t>
  </si>
  <si>
    <t>939377697</t>
  </si>
  <si>
    <t>053.7Z</t>
  </si>
  <si>
    <t>2022-12-31T00:00:00</t>
  </si>
  <si>
    <t>[{'AdressatID': 50848, 'Driftselskap': True, 'Hovedeier': True, 'Navn': 'AS FEMANGERLAKS', 'OrgNr': 939377697, 'ProsentAndel': 100.0, 'ProsentAndelDrift': 100.0}]</t>
  </si>
  <si>
    <t>Femangerelva</t>
  </si>
  <si>
    <t>Fennefoss</t>
  </si>
  <si>
    <t>Evje og Hornnes</t>
  </si>
  <si>
    <t>021.C11</t>
  </si>
  <si>
    <t>2023-03-21T00:00:00</t>
  </si>
  <si>
    <t>[{'KdbID': 4872, 'Tittel': 'Fennefoss kraftverk'}, {'KdbID': 9362, 'Tittel': 'Midlertidig fravik fra man.regl. - Fennefoss\xa0kraftverk'}]</t>
  </si>
  <si>
    <t>Finndøla</t>
  </si>
  <si>
    <t>FINNDØLA KRAFTVERK DA</t>
  </si>
  <si>
    <t>971037253</t>
  </si>
  <si>
    <t>019.DB22</t>
  </si>
  <si>
    <t>1972-10-28T00:00:00</t>
  </si>
  <si>
    <t>[{'AdressatID': 10345, 'Driftselskap': False, 'Hovedeier': True, 'Navn': 'FINNDØLA KRAFTVERK DA', 'OrgNr': 971037253, 'ProsentAndel': None, 'ProsentAndelDrift': 100.0}, {'AdressatID': 40113, 'Driftselskap': True, 'Hovedeier': False, 'Navn': 'SKAGERAK KRAFT AS', 'OrgNr': 979563531, 'ProsentAndel': 50.0, 'ProsentAndelDrift': None}, {'AdressatID': 40121, 'Driftselskap': False, 'Hovedeier': False, 'Navn': 'Å ENERGI VANNKRAFT AS', 'OrgNr': 882973972, 'ProsentAndel': 50.0, 'ProsentAndelDrift': None}]</t>
  </si>
  <si>
    <t>[{'KdbID': 780, 'Tittel': 'Regulering av Hovatn, Fistøylvatn, og Rauvatn i Finndølavassdraget'}, {'KdbID': 781, 'Tittel': 'Ytterligere regulering og overføring i Finndølavassdraget'}, {'KdbID': 782, 'Tittel': 'Erverv av fallrettigheter i Finndøla m.v.'}, {'KdbID': 7172, 'Tittel': 'Revisjon av konsesjonsvilkår for regulering Hovatn, Fisstøylvatn og Raudvatn i Finndøla'}]</t>
  </si>
  <si>
    <t>Finnesetbekken</t>
  </si>
  <si>
    <t>Nesbyen</t>
  </si>
  <si>
    <t>012.CC5B</t>
  </si>
  <si>
    <t>2011-04-27T00:00:00</t>
  </si>
  <si>
    <t>[{'KdbID': 5419, 'Tittel': 'Finnesetbekken minikraftverk'}]</t>
  </si>
  <si>
    <t>87</t>
  </si>
  <si>
    <t>Finså</t>
  </si>
  <si>
    <t>026.D42</t>
  </si>
  <si>
    <t>[{'KdbID': 917, 'Tittel': 'Reg. og overføring i Finsåvassdraget, Lindåi, Hemså'}, {'KdbID': 1135, 'Tittel': 'Overf. av Forlibekken i Finsåvassdraget'}, {'KdbID': 1852, 'Tittel': 'Regulering av Bjørnestadvatn i Finsåen, Sira'}, {'KdbID': 6758, 'Tittel': 'Revisjon av konsesjonsvilkår - Finså'}]</t>
  </si>
  <si>
    <t>Fiskfjord</t>
  </si>
  <si>
    <t>NL BRØNNBÅT AS</t>
  </si>
  <si>
    <t>921870876</t>
  </si>
  <si>
    <t>Hadsel</t>
  </si>
  <si>
    <t>178.42A</t>
  </si>
  <si>
    <t>1979-01-01T00:00:00</t>
  </si>
  <si>
    <t>[{'AdressatID': 42851, 'Driftselskap': True, 'Hovedeier': False, 'Navn': 'NORDKRAFT MAGASIN AS', 'OrgNr': 928657213, 'ProsentAndel': None, 'ProsentAndelDrift': None}, {'AdressatID': 76362, 'Driftselskap': False, 'Hovedeier': True, 'Navn': 'NL BRØNNBÅT AS', 'OrgNr': 921870876, 'ProsentAndel': 100.0, 'ProsentAndelDrift': 100.0}]</t>
  </si>
  <si>
    <t>Fiskfjordelva</t>
  </si>
  <si>
    <t>756</t>
  </si>
  <si>
    <t>Fiskløysa</t>
  </si>
  <si>
    <t>Lierne</t>
  </si>
  <si>
    <t>307.3AB2Z</t>
  </si>
  <si>
    <t>2018-09-27T00:00:00</t>
  </si>
  <si>
    <t>[{'KdbID': 6117, 'Tittel': 'Fiskløysa kraftverk'}]</t>
  </si>
  <si>
    <t>Faxälven</t>
  </si>
  <si>
    <t>965</t>
  </si>
  <si>
    <t>Fiskå Mølle</t>
  </si>
  <si>
    <t>033.1A</t>
  </si>
  <si>
    <t>1984-01-01T00:00:00</t>
  </si>
  <si>
    <t>Fiskåna</t>
  </si>
  <si>
    <t>Fivelandselva</t>
  </si>
  <si>
    <t>037.AA0</t>
  </si>
  <si>
    <t>2020-12-10T00:00:00</t>
  </si>
  <si>
    <t>[{'KdbID': 6997, 'Tittel': 'Fivelandselva kraftverk'}]</t>
  </si>
  <si>
    <t>Fivlemyr</t>
  </si>
  <si>
    <t>HYDRO ENERGI AS</t>
  </si>
  <si>
    <t>930187240</t>
  </si>
  <si>
    <t>075.DB</t>
  </si>
  <si>
    <t>1962-01-01T00:00:00</t>
  </si>
  <si>
    <t>[{'AdressatID': 10282, 'Driftselskap': True, 'Hovedeier': True, 'Navn': 'HYDRO ENERGI AS', 'OrgNr': 930187240, 'ProsentAndel': None, 'ProsentAndelDrift': 100.0}, {'AdressatID': 24453, 'Driftselskap': False, 'Hovedeier': False, 'Navn': 'Norsk Hydro ASA', 'OrgNr': 914778271, 'ProsentAndel': None, 'ProsentAndelDrift': None}, {'AdressatID': 40517, 'Driftselskap': False, 'Hovedeier': False, 'Navn': 'HYDRO ALUMINIUM AS', 'OrgNr': 917537534, 'ProsentAndel': 100.0, 'ProsentAndelDrift': None}]</t>
  </si>
  <si>
    <t>[{'KdbID': 85, 'Tittel': 'Erverv og reg. av Fortun-Grandfastavassdragene m.v.'}]</t>
  </si>
  <si>
    <t>Fjellanger</t>
  </si>
  <si>
    <t>FJELLANGER KRAFTVERK AS</t>
  </si>
  <si>
    <t>987394005</t>
  </si>
  <si>
    <t>2006-10-09T00:00:00</t>
  </si>
  <si>
    <t>[{'AdressatID': 41500, 'Driftselskap': True, 'Hovedeier': True, 'Navn': 'FJELLANGER KRAFTVERK AS', 'OrgNr': 987394005, 'ProsentAndel': 100.0, 'ProsentAndelDrift': 100.0}]</t>
  </si>
  <si>
    <t>[{'KdbID': 3944, 'Tittel': 'Fjellanger minikraftverk'}]</t>
  </si>
  <si>
    <t>Fjellet</t>
  </si>
  <si>
    <t>016.AF</t>
  </si>
  <si>
    <t>2015-01-30T00:00:00</t>
  </si>
  <si>
    <t>Fjellhaugen</t>
  </si>
  <si>
    <t>FJELLHAUGEN SKISENTER AS</t>
  </si>
  <si>
    <t>962979327</t>
  </si>
  <si>
    <t>042.B1</t>
  </si>
  <si>
    <t>2008-09-15T00:00:00</t>
  </si>
  <si>
    <t>[{'AdressatID': 41386, 'Driftselskap': True, 'Hovedeier': True, 'Navn': 'FJELLHAUGEN SKISENTER AS', 'OrgNr': 962979327, 'ProsentAndel': 100.0, 'ProsentAndelDrift': 100.0}]</t>
  </si>
  <si>
    <t>[{'KdbID': 4626, 'Tittel': 'Fjellhaugen minikraftverk'}]</t>
  </si>
  <si>
    <t>Fjelna</t>
  </si>
  <si>
    <t>Heim</t>
  </si>
  <si>
    <t>113.A0</t>
  </si>
  <si>
    <t>2015-03-11T00:00:00</t>
  </si>
  <si>
    <t>[{'KdbID': 5016, 'Tittel': 'Fjelna kraftverk'}]</t>
  </si>
  <si>
    <t>463</t>
  </si>
  <si>
    <t>Fjerdingelva</t>
  </si>
  <si>
    <t>FJERDINGELVA AS</t>
  </si>
  <si>
    <t>916054998</t>
  </si>
  <si>
    <t>139.D3Z</t>
  </si>
  <si>
    <t>2022-05-12T00:00:00</t>
  </si>
  <si>
    <t>[{'AdressatID': 50440, 'Driftselskap': False, 'Hovedeier': True, 'Navn': 'FJERDINGELVA AS', 'OrgNr': 916054998, 'ProsentAndel': 100.0, 'ProsentAndelDrift': 100.0}, {'AdressatID': 52024, 'Driftselskap': True, 'Hovedeier': False, 'Navn': 'CAPTIVA ASSET MANAGEMENT AS', 'OrgNr': 991840192, 'ProsentAndel': None, 'ProsentAndelDrift': None}]</t>
  </si>
  <si>
    <t>[{'KdbID': 5655, 'Tittel': 'Fjerdingelva kraftverk'}]</t>
  </si>
  <si>
    <t>Fjone</t>
  </si>
  <si>
    <t>019.F420</t>
  </si>
  <si>
    <t>1970-04-10T00:00:00</t>
  </si>
  <si>
    <t>[{'KdbID': 783, 'Tittel': 'Reg. av Napevatn - Rudsvatn i forb.m. bygging av Fjone kraftv.'}]</t>
  </si>
  <si>
    <t>Fjæremsfoss</t>
  </si>
  <si>
    <t>123.A5</t>
  </si>
  <si>
    <t>Flaen Mølle</t>
  </si>
  <si>
    <t>Hurdal</t>
  </si>
  <si>
    <t>002.DAC3</t>
  </si>
  <si>
    <t>[{'KdbID': 4310, 'Tittel': 'Mikrokraftverk i Flaen mølle'}]</t>
  </si>
  <si>
    <t>Flateland</t>
  </si>
  <si>
    <t>VEGUSDAL KRAFTVERK AS</t>
  </si>
  <si>
    <t>977359805</t>
  </si>
  <si>
    <t>Birkenes</t>
  </si>
  <si>
    <t>020.BBA0</t>
  </si>
  <si>
    <t>2024-01-18T00:00:00</t>
  </si>
  <si>
    <t>[{'AdressatID': 10382, 'Driftselskap': True, 'Hovedeier': False, 'Navn': 'TINFOS AS', 'OrgNr': 916763476, 'ProsentAndel': None, 'ProsentAndelDrift': None}, {'AdressatID': 25312, 'Driftselskap': False, 'Hovedeier': True, 'Navn': 'VEGUSDAL KRAFTVERK AS', 'OrgNr': 977359805, 'ProsentAndel': 100.0, 'ProsentAndelDrift': 100.0}]</t>
  </si>
  <si>
    <t>[{'KdbID': 3973, 'Tittel': 'Flateland kraftverk'}, {'KdbID': 7527, 'Tittel': 'Planendring Flateland kraftverk'}]</t>
  </si>
  <si>
    <t>Flatenfoss</t>
  </si>
  <si>
    <t>Åmli</t>
  </si>
  <si>
    <t>019.C22</t>
  </si>
  <si>
    <t>2009-10-01T00:00:00</t>
  </si>
  <si>
    <t>[{'KdbID': 4380, 'Tittel': 'Flatenfoss 3 kraftstasjon'}, {'KdbID': 9778, 'Tittel': 'Søknad - Midlertidig fravik fra manøvreringsreglementet - Flatenfoss 3\xa0kraftverk\xa0-\xa0ARENDALS FOSSEKOMPANI ASA - Annet;  - 16.03.2026 til 23.10.2026- Referansenr:PSNKRD'}]</t>
  </si>
  <si>
    <t>Flatestøl</t>
  </si>
  <si>
    <t>SKÅRÅNA KRAFT AS</t>
  </si>
  <si>
    <t>923591028</t>
  </si>
  <si>
    <t>026.BCA</t>
  </si>
  <si>
    <t>2022-08-24T00:00:00</t>
  </si>
  <si>
    <t>[{'AdressatID': 52024, 'Driftselskap': True, 'Hovedeier': False, 'Navn': 'CAPTIVA ASSET MANAGEMENT AS', 'OrgNr': 991840192, 'ProsentAndel': None, 'ProsentAndelDrift': None}, {'AdressatID': 61020, 'Driftselskap': False, 'Hovedeier': True, 'Navn': 'SKÅRÅNA KRAFT AS', 'OrgNr': 923591028, 'ProsentAndel': 100.0, 'ProsentAndelDrift': 100.0}]</t>
  </si>
  <si>
    <t>[{'KdbID': 6253, 'Tittel': 'Flatestøl kraftverk'}]</t>
  </si>
  <si>
    <t>Flatlandsåi</t>
  </si>
  <si>
    <t>VRÅDAL KRAFT AS</t>
  </si>
  <si>
    <t>985780595</t>
  </si>
  <si>
    <t>Kviteseid</t>
  </si>
  <si>
    <t>019.G</t>
  </si>
  <si>
    <t>2006-01-03T00:00:00</t>
  </si>
  <si>
    <t>[{'AdressatID': 42404, 'Driftselskap': True, 'Hovedeier': True, 'Navn': 'VRÅDAL KRAFT AS', 'OrgNr': 985780595, 'ProsentAndel': 100.0, 'ProsentAndelDrift': 100.0}]</t>
  </si>
  <si>
    <t>[{'KdbID': 3231, 'Tittel': 'Minikraftverk Flatlandsåi'}]</t>
  </si>
  <si>
    <t>Flatråker</t>
  </si>
  <si>
    <t>Tysnes</t>
  </si>
  <si>
    <t>054.6B</t>
  </si>
  <si>
    <t>2003-01-01T00:00:00</t>
  </si>
  <si>
    <t>[{'KdbID': 4995, 'Tittel': 'Flatråker Fiskeoppdrett - regulering og vassuttak frå Flatråkervass'}]</t>
  </si>
  <si>
    <t>Flataråkerelva</t>
  </si>
  <si>
    <t>Flikka</t>
  </si>
  <si>
    <t>Flekkefjord</t>
  </si>
  <si>
    <t>025.52B</t>
  </si>
  <si>
    <t>2021-05-12T00:00:00</t>
  </si>
  <si>
    <t>[{'KdbID': 6897, 'Tittel': 'Flikka kraftverk'}]</t>
  </si>
  <si>
    <t>Flikkabekken</t>
  </si>
  <si>
    <t>Flittig</t>
  </si>
  <si>
    <t>LØVENSKIOLD FOSSUM KRAFT</t>
  </si>
  <si>
    <t>982699614</t>
  </si>
  <si>
    <t>016.AD2</t>
  </si>
  <si>
    <t>2017-06-01T00:00:00</t>
  </si>
  <si>
    <t>[{'AdressatID': 11607, 'Driftselskap': True, 'Hovedeier': True, 'Navn': 'LØVENSKIOLD FOSSUM KRAFT', 'OrgNr': 982699614, 'ProsentAndel': 100.0, 'ProsentAndelDrift': 100.0}]</t>
  </si>
  <si>
    <t>[{'KdbID': 7683, 'Tittel': 'Flittig kraftverk'}, {'KdbID': 8453, 'Tittel': 'Konsesjonspliktvurdering av økt slukeevne i Flittig kraftverk'}]</t>
  </si>
  <si>
    <t>Flørli</t>
  </si>
  <si>
    <t>031.2Z</t>
  </si>
  <si>
    <t>[{'KdbID': 506, 'Tittel': 'Erverv og regulering av Flørlivassdraget'}, {'KdbID': 508, 'Tittel': 'Overføring av Krokevatnvassdraget til Flørlivassdraget'}, {'KdbID': 512, 'Tittel': 'Regulering av Rundevatn i Frafjordvassdraget og overf. til Flørlivdr.'}, {'KdbID': 1266, 'Tittel': 'Forny. av kons. for Frafjord- og Espedalsvassdraget (Flørli)'}, {'KdbID': 2150, 'Tittel': 'Tilleggsreguleringer Fløyrli, Rogaland'}, {'KdbID': 3949, 'Tittel': 'Fløyrli kraftstasjon O/U'}]</t>
  </si>
  <si>
    <t>Flørliåa</t>
  </si>
  <si>
    <t>152</t>
  </si>
  <si>
    <t>Fløtre</t>
  </si>
  <si>
    <t>JAN KÅRE FLØTRE</t>
  </si>
  <si>
    <t>869830852</t>
  </si>
  <si>
    <t>087.C0</t>
  </si>
  <si>
    <t>[{'AdressatID': 29122, 'Driftselskap': True, 'Hovedeier': True, 'Navn': 'JAN KÅRE FLØTRE', 'OrgNr': 869830852, 'ProsentAndel': 100.0, 'ProsentAndelDrift': 100.0}]</t>
  </si>
  <si>
    <t>[{'KdbID': 2917, 'Tittel': 'Fløtra mikrokraftverk'}]</t>
  </si>
  <si>
    <t>Folkedal</t>
  </si>
  <si>
    <t>052.21A2</t>
  </si>
  <si>
    <t>2013-01-09T00:00:00</t>
  </si>
  <si>
    <t>[{'KdbID': 291, 'Tittel': 'Reg. av Krokavatn i Folkedalselva i Hordaland'}, {'KdbID': 1351, 'Tittel': 'Stadf. av till. for reg. av Krokavatn i Folkedalselva.'}, {'KdbID': 5492, 'Tittel': 'Folkedal kraftverk -opprusting og utviding'}]</t>
  </si>
  <si>
    <t>Folkedalselva</t>
  </si>
  <si>
    <t>229</t>
  </si>
  <si>
    <t>Folkestad</t>
  </si>
  <si>
    <t>FOLKESTAD KRAFTVERK AS</t>
  </si>
  <si>
    <t>988008192</t>
  </si>
  <si>
    <t>094.3Z</t>
  </si>
  <si>
    <t>2006-03-14T00:00:00</t>
  </si>
  <si>
    <t>[{'AdressatID': 41482, 'Driftselskap': True, 'Hovedeier': True, 'Navn': 'FOLKESTAD KRAFTVERK AS', 'OrgNr': 988008192, 'ProsentAndel': 100.0, 'ProsentAndelDrift': 100.0}]</t>
  </si>
  <si>
    <t>[{'KdbID': 4806, 'Tittel': 'Folkestad småkraftverk'}]</t>
  </si>
  <si>
    <t>Folkestadelva</t>
  </si>
  <si>
    <t>397</t>
  </si>
  <si>
    <t>Follafoss</t>
  </si>
  <si>
    <t>129.A</t>
  </si>
  <si>
    <t>2005-09-26T00:00:00</t>
  </si>
  <si>
    <t>[{'KdbID': 2549, 'Tittel': 'Opprustn. av Follafoss kraftverk/overf. Brattreitelva'}]</t>
  </si>
  <si>
    <t>Follebu bruk</t>
  </si>
  <si>
    <t>FOLLEBU BRUK AS</t>
  </si>
  <si>
    <t>811747912</t>
  </si>
  <si>
    <t>Gausdal</t>
  </si>
  <si>
    <t>002.DDA0</t>
  </si>
  <si>
    <t>[{'AdressatID': 43923, 'Driftselskap': True, 'Hovedeier': True, 'Navn': 'FOLLEBU BRUK AS', 'OrgNr': 811747912, 'ProsentAndel': 100.0, 'ProsentAndelDrift': 100.0}]</t>
  </si>
  <si>
    <t>[{'KdbID': 8369, 'Tittel': 'Follebu kraftverk'}]</t>
  </si>
  <si>
    <t>Follsjå</t>
  </si>
  <si>
    <t>FOLLSJÅ KRAFT AS</t>
  </si>
  <si>
    <t>912466566</t>
  </si>
  <si>
    <t>Notodden</t>
  </si>
  <si>
    <t>016.F3A</t>
  </si>
  <si>
    <t>[{'AdressatID': 43936, 'Driftselskap': True, 'Hovedeier': True, 'Navn': 'FOLLSJÅ KRAFT AS', 'OrgNr': 912466566, 'ProsentAndel': 100.0, 'ProsentAndelDrift': 100.0}]</t>
  </si>
  <si>
    <t>[{'KdbID': 5046, 'Tittel': 'Follsjå kraftverk'}]</t>
  </si>
  <si>
    <t>Forneselva</t>
  </si>
  <si>
    <t>203.7Z</t>
  </si>
  <si>
    <t>2014-06-11T00:00:00</t>
  </si>
  <si>
    <t>[{'KdbID': 4763, 'Tittel': 'Forneselva kraftverk'}, {'KdbID': 7121, 'Tittel': 'Forneselva kraftverk'}]</t>
  </si>
  <si>
    <t>Forsanvatn</t>
  </si>
  <si>
    <t>NORD-SALTEN KRAFT AS</t>
  </si>
  <si>
    <t>995114666</t>
  </si>
  <si>
    <t>170.2A</t>
  </si>
  <si>
    <t>2013-06-04T00:00:00</t>
  </si>
  <si>
    <t>[{'AdressatID': 11230, 'Driftselskap': True, 'Hovedeier': True, 'Navn': 'NORD-SALTEN KRAFT AS', 'OrgNr': 995114666, 'ProsentAndel': 100.0, 'ProsentAndelDrift': 100.0}]</t>
  </si>
  <si>
    <t>[{'KdbID': 2283, 'Tittel': 'Forsanvatn kraftverk'}, {'KdbID': 8664, 'Tittel': 'Midlertidig fravik fra manøvreringsreglementet - Forsanvatn\xa0kraftverk\xa0-\xa0NORD-SALTEN KRAFT AS - Annet;  - 18.06.2021 til 26.07.2021- Referansenr:QJPOQS'}]</t>
  </si>
  <si>
    <t>724</t>
  </si>
  <si>
    <t>Forsanvatn minikraftverk</t>
  </si>
  <si>
    <t>2013-06-12T00:00:00</t>
  </si>
  <si>
    <t>[{'KdbID': 2283, 'Tittel': 'Forsanvatn kraftverk'}, {'KdbID': 9422, 'Tittel': 'Midlertidig fravik fra manøvreringsreglementet - Forsanvatn minikraftverk\xa0kraftverk\xa0-\xa0NORD-SALTEN KRAFT AS - Fravik fra minstevannføring;  - 15.08.2024 til 15.08.2024- Referansenr:NMOMFI'}, {'KdbID': 9503, 'Tittel': 'Søknad - Midlertidig fravik fra manøvreringsreglementet - Forsanvatn minikraftverk\xa0kraftverk\xa0-\xa0NORD-SALTEN KRAFT AS - Fravik fra minstevannføring;  - 01.12.2024 til 30.06.2025- Referansenr:VOTIUI'}]</t>
  </si>
  <si>
    <t>Forsland</t>
  </si>
  <si>
    <t>153.2Z</t>
  </si>
  <si>
    <t>2003-03-03T00:00:00</t>
  </si>
  <si>
    <t>[{'KdbID': 2710, 'Tittel': 'Forsland kraftverk'}, {'KdbID': 3777, 'Tittel': 'uttak av vann fra Forsland kraftverk til fiskeoppdrett'}]</t>
  </si>
  <si>
    <t>Forslandselva</t>
  </si>
  <si>
    <t>639</t>
  </si>
  <si>
    <t>Forså</t>
  </si>
  <si>
    <t>161.2B</t>
  </si>
  <si>
    <t>1963-12-19T00:00:00</t>
  </si>
  <si>
    <t>[{'KdbID': 985, 'Tittel': 'Erverv av fall i Næveråga, reg. og overf. i Arstadelva m.v.'}]</t>
  </si>
  <si>
    <t>Forsåga</t>
  </si>
  <si>
    <t>682</t>
  </si>
  <si>
    <t>Foss</t>
  </si>
  <si>
    <t>FOSS KRAFT JOHAN HJORTELAND</t>
  </si>
  <si>
    <t>985567492</t>
  </si>
  <si>
    <t>035.6A</t>
  </si>
  <si>
    <t>[{'AdressatID': 41061, 'Driftselskap': True, 'Hovedeier': True, 'Navn': 'FOSS KRAFT JOHAN HJORTELAND', 'OrgNr': 985567492, 'ProsentAndel': 100.0, 'ProsentAndelDrift': 100.0}]</t>
  </si>
  <si>
    <t>[{'KdbID': 3539, 'Tittel': 'Foss mikrokraftverk'}]</t>
  </si>
  <si>
    <t>Norddalsåna</t>
  </si>
  <si>
    <t>Fossabekken</t>
  </si>
  <si>
    <t>GJERDE JAKOB</t>
  </si>
  <si>
    <t>969353679</t>
  </si>
  <si>
    <t>046.320</t>
  </si>
  <si>
    <t>2011-12-28T00:00:00</t>
  </si>
  <si>
    <t>[{'AdressatID': 42750, 'Driftselskap': True, 'Hovedeier': True, 'Navn': 'GJERDE JAKOB', 'OrgNr': 969353679, 'ProsentAndel': 100.0, 'ProsentAndelDrift': 100.0}]</t>
  </si>
  <si>
    <t>[{'KdbID': 4803, 'Tittel': 'Fossabekken minikraftverk'}]</t>
  </si>
  <si>
    <t>Fossan</t>
  </si>
  <si>
    <t>Tydal</t>
  </si>
  <si>
    <t>123.EA2</t>
  </si>
  <si>
    <t>NORDKRAFT MAGASIN AS</t>
  </si>
  <si>
    <t>928657213</t>
  </si>
  <si>
    <t>Gratangen</t>
  </si>
  <si>
    <t>190.3A5</t>
  </si>
  <si>
    <t>2013-05-10T00:00:00</t>
  </si>
  <si>
    <t>[{'AdressatID': 42851, 'Driftselskap': True, 'Hovedeier': True, 'Navn': 'NORDKRAFT MAGASIN AS', 'OrgNr': 928657213, 'ProsentAndel': 100.0, 'ProsentAndelDrift': 100.0}]</t>
  </si>
  <si>
    <t>[{'KdbID': 249, 'Tittel': 'Regulering av Storvatn og Øsevatn i Storelva i Gratangen'}, {'KdbID': 5247, 'Tittel': 'Fossan kraftverk'}]</t>
  </si>
  <si>
    <t>776</t>
  </si>
  <si>
    <t>Fossane</t>
  </si>
  <si>
    <t>FOSSANE WIJGERGANGS</t>
  </si>
  <si>
    <t>922543917</t>
  </si>
  <si>
    <t>035.3B</t>
  </si>
  <si>
    <t>[{'AdressatID': 60580, 'Driftselskap': True, 'Hovedeier': True, 'Navn': 'FOSSANE WIJGERGANGS', 'OrgNr': 922543917, 'ProsentAndel': 100.0, 'ProsentAndelDrift': 100.0}]</t>
  </si>
  <si>
    <t>[{'KdbID': 2745, 'Tittel': 'Fossane minikraftverk'}, {'KdbID': 9116, 'Tittel': 'Revisjon av konsesjonsvilkår for Neavassdraget'}]</t>
  </si>
  <si>
    <t>Vormo</t>
  </si>
  <si>
    <t>072.CBA2A</t>
  </si>
  <si>
    <t>2013-01-01T00:00:00</t>
  </si>
  <si>
    <t>[{'AdressatID': 10242, 'Driftselskap': True, 'Hovedeier': True, 'Navn': 'HAFSLUND KRAFT AS', 'OrgNr': 976894677, 'ProsentAndel': 93.0, 'ProsentAndelDrift': 100.0}, {'AdressatID': 41005, 'Driftselskap': False, 'Hovedeier': False, 'Navn': 'STATKRAFT ENERGI AS', 'OrgNr': 987059729, 'ProsentAndel': 7.0, 'ProsentAndelDrift': None}]</t>
  </si>
  <si>
    <t>Fossane - Molla</t>
  </si>
  <si>
    <t>FOSSANE MIKROKRAFTVERK AS</t>
  </si>
  <si>
    <t>988049565</t>
  </si>
  <si>
    <t>037.111</t>
  </si>
  <si>
    <t>2006-01-20T00:00:00</t>
  </si>
  <si>
    <t>[{'AdressatID': 43510, 'Driftselskap': True, 'Hovedeier': True, 'Navn': 'FOSSANE MIKROKRAFTVERK AS', 'OrgNr': 988049565, 'ProsentAndel': 100.0, 'ProsentAndelDrift': 100.0}]</t>
  </si>
  <si>
    <t>[{'KdbID': 4118, 'Tittel': 'Fossane minikraftverk'}]</t>
  </si>
  <si>
    <t>Fossbråten</t>
  </si>
  <si>
    <t>FOSSBRÅTEN KRAFTVERK AS</t>
  </si>
  <si>
    <t>997723635</t>
  </si>
  <si>
    <t>012.L1A</t>
  </si>
  <si>
    <t>2014-10-29T00:00:00</t>
  </si>
  <si>
    <t>[{'AdressatID': 43697, 'Driftselskap': True, 'Hovedeier': True, 'Navn': 'FOSSBRÅTEN KRAFTVERK AS', 'OrgNr': 997723635, 'ProsentAndel': 100.0, 'ProsentAndelDrift': 100.0}]</t>
  </si>
  <si>
    <t>[{'KdbID': 5639, 'Tittel': 'Fossbråten kraftverk'}]</t>
  </si>
  <si>
    <t>Fossdal</t>
  </si>
  <si>
    <t>Årdal</t>
  </si>
  <si>
    <t>074.B1B</t>
  </si>
  <si>
    <t>[{'KdbID': 658, 'Tittel': 'Tilleggsregulering og tilleggsutbygging i Nyset-Steggjevassdragene'}, {'KdbID': 678, 'Tittel': 'Erverv og regulering av Nyset-Steggjevassdragene'}, {'KdbID': 740, 'Tittel': 'Nyset-Steggjevassdragene, Erverv og overføring av reguleringstill.'}, {'KdbID': 998, 'Tittel': 'Kjøp av samtlige aksjer i Nyset-Steggje Kraft A.S, endr. av vilkår'}]</t>
  </si>
  <si>
    <t>Årdalsvassdraget</t>
  </si>
  <si>
    <t>301</t>
  </si>
  <si>
    <t>Fossdalen</t>
  </si>
  <si>
    <t>FOSSDALEN KRAFTVERK AS</t>
  </si>
  <si>
    <t>925531162</t>
  </si>
  <si>
    <t>068.620</t>
  </si>
  <si>
    <t>[{'AdressatID': 40545, 'Driftselskap': True, 'Hovedeier': False, 'Navn': 'FORTE VANNKRAFT AS', 'OrgNr': 975964825, 'ProsentAndel': None, 'ProsentAndelDrift': None}, {'AdressatID': 63383, 'Driftselskap': False, 'Hovedeier': True, 'Navn': 'FOSSDALEN KRAFTVERK AS', 'OrgNr': 925531162, 'ProsentAndel': 100.0, 'ProsentAndelDrift': 100.0}]</t>
  </si>
  <si>
    <t>[{'KdbID': 6412, 'Tittel': 'Fossdalen kraftverk'}]</t>
  </si>
  <si>
    <t>Fosse</t>
  </si>
  <si>
    <t>061.B2</t>
  </si>
  <si>
    <t>1954-11-22T00:00:00</t>
  </si>
  <si>
    <t>[{'KdbID': 313, 'Tittel': 'Endr. manøvreringsregl. for Bergsdalsvassdraget - minstevannf.'}, {'KdbID': 8029, 'Tittel': 'Revisjon av konsesjonsvilkår for Bergsdals- og Torfinnsvassdragene'}]</t>
  </si>
  <si>
    <t>Fosseelvo Mikrokraftverk</t>
  </si>
  <si>
    <t>045.1</t>
  </si>
  <si>
    <t>[{'KdbID': 2977, 'Tittel': 'Mikrokraftverk i Fosselva'}]</t>
  </si>
  <si>
    <t>Fossekallen</t>
  </si>
  <si>
    <t>FOSSHEIM KURT</t>
  </si>
  <si>
    <t>969833964</t>
  </si>
  <si>
    <t>[{'AdressatID': 25654, 'Driftselskap': True, 'Hovedeier': True, 'Navn': 'FOSSHEIM KURT', 'OrgNr': 969833964, 'ProsentAndel': 100.0, 'ProsentAndelDrift': 100.0}]</t>
  </si>
  <si>
    <t>[{'KdbID': 2359, 'Tittel': 'Søreide mikro-/minikraftverk i Jardøla'}]</t>
  </si>
  <si>
    <t>SVELGEN KRAFT AS</t>
  </si>
  <si>
    <t>986530649</t>
  </si>
  <si>
    <t>086.2A</t>
  </si>
  <si>
    <t>2007-08-01T00:00:00</t>
  </si>
  <si>
    <t>[{'AdressatID': 10199, 'Driftselskap': True, 'Hovedeier': True, 'Navn': 'SVELGEN KRAFT AS', 'OrgNr': 986530649, 'ProsentAndel': None, 'ProsentAndelDrift': 100.0}, {'AdressatID': 10455, 'Driftselskap': False, 'Hovedeier': False, 'Navn': 'SOGNEKRAFT PRODUKSJON AS', 'OrgNr': 916069634, 'ProsentAndel': 10.0, 'ProsentAndelDrift': None}, {'AdressatID': 25454, 'Driftselskap': False, 'Hovedeier': False, 'Navn': 'SFE AS', 'OrgNr': 984882106, 'ProsentAndel': 56.0, 'ProsentAndelDrift': None}, {'AdressatID': 25766, 'Driftselskap': False, 'Hovedeier': False, 'Navn': 'TAFJORD KRAFTPRODUKSJON AS', 'OrgNr': 977461898, 'ProsentAndel': 34.0, 'ProsentAndelDrift': None}]</t>
  </si>
  <si>
    <t>[{'KdbID': 3570, 'Tittel': 'Lillevann mikrokraftverk (Fossekallen)'}]</t>
  </si>
  <si>
    <t>Svelgenvassdraget</t>
  </si>
  <si>
    <t>NORDAN AS</t>
  </si>
  <si>
    <t>979776233</t>
  </si>
  <si>
    <t>026.BA21</t>
  </si>
  <si>
    <t>2014-02-20T00:00:00</t>
  </si>
  <si>
    <t>[{'AdressatID': 74633, 'Driftselskap': True, 'Hovedeier': True, 'Navn': 'NORDAN AS', 'OrgNr': 979776233, 'ProsentAndel': 100.0, 'ProsentAndelDrift': 100.0}]</t>
  </si>
  <si>
    <t>[{'KdbID': 7064, 'Tittel': 'Fossekallen kraftverk'}]</t>
  </si>
  <si>
    <t>Fossen</t>
  </si>
  <si>
    <t>Fosseteigen</t>
  </si>
  <si>
    <t>KUVELDA KRAFT AS</t>
  </si>
  <si>
    <t>923816089</t>
  </si>
  <si>
    <t>073.A1Z</t>
  </si>
  <si>
    <t>2021-09-23T00:00:00</t>
  </si>
  <si>
    <t>[{'AdressatID': 10455, 'Driftselskap': True, 'Hovedeier': False, 'Navn': 'SOGNEKRAFT PRODUKSJON AS', 'OrgNr': 916069634, 'ProsentAndel': None, 'ProsentAndelDrift': None}, {'AdressatID': 53582, 'Driftselskap': False, 'Hovedeier': True, 'Navn': 'KUVELDA KRAFT AS', 'OrgNr': 923816089, 'ProsentAndel': 100.0, 'ProsentAndelDrift': 100.0}]</t>
  </si>
  <si>
    <t>[{'KdbID': 6493, 'Tittel': 'Fosseteigen kraftverk'}]</t>
  </si>
  <si>
    <t>Fossheim</t>
  </si>
  <si>
    <t>FOSSHEIM ENERGIVERK AS</t>
  </si>
  <si>
    <t>963092873</t>
  </si>
  <si>
    <t>087.B1BZ</t>
  </si>
  <si>
    <t>1995-05-01T00:00:00</t>
  </si>
  <si>
    <t>[{'AdressatID': 13236, 'Driftselskap': True, 'Hovedeier': True, 'Navn': 'FOSSHEIM ENERGIVERK AS', 'OrgNr': 963092873, 'ProsentAndel': None, 'ProsentAndelDrift': 100.0}, {'AdressatID': 25445, 'Driftselskap': False, 'Hovedeier': False, 'Navn': 'EVINY FORNYBAR AS', 'OrgNr': 876944642, 'ProsentAndel': 60.0, 'ProsentAndelDrift': None}, {'AdressatID': 25454, 'Driftselskap': False, 'Hovedeier': False, 'Navn': 'SFE AS', 'OrgNr': 984882106, 'ProsentAndel': 30.0, 'ProsentAndelDrift': None}, {'AdressatID': 52775, 'Driftselskap': False, 'Hovedeier': False, 'Navn': 'FOSSHEIM GARD AS', 'OrgNr': 998360374, 'ProsentAndel': 5.0, 'ProsentAndelDrift': None}, {'AdressatID': 52776, 'Driftselskap': False, 'Hovedeier': False, 'Navn': 'JORUNN VIKEN', 'OrgNr': 969412608, 'ProsentAndel': 5.0, 'ProsentAndelDrift': None}]</t>
  </si>
  <si>
    <t>[{'KdbID': 1849, 'Tittel': 'Fossheim kraftverk'}, {'KdbID': 1902, 'Tittel': 'Utb. Fossheim kraftverk i Breimsvassdraget - Planendring'}]</t>
  </si>
  <si>
    <t>Fossheimfoss</t>
  </si>
  <si>
    <t>Vestre Slidre</t>
  </si>
  <si>
    <t>52</t>
  </si>
  <si>
    <t>012.M1</t>
  </si>
  <si>
    <t>1994-08-22T00:00:00</t>
  </si>
  <si>
    <t>[{'KdbID': 568, 'Tittel': 'Fossheimfoss kraftverk, erverv m.v., Oppland'}]</t>
  </si>
  <si>
    <t>Fossheimgardane</t>
  </si>
  <si>
    <t>FOSSHEIMGARDANE MIKROKRAFTVERK AS</t>
  </si>
  <si>
    <t>911667762</t>
  </si>
  <si>
    <t>087.B1C1</t>
  </si>
  <si>
    <t>2013-12-12T00:00:00</t>
  </si>
  <si>
    <t>[{'AdressatID': 43880, 'Driftselskap': True, 'Hovedeier': True, 'Navn': 'FOSSHEIMGARDANE MIKROKRAFTVERK AS', 'OrgNr': 911667762, 'ProsentAndel': 100.0, 'ProsentAndelDrift': 100.0}]</t>
  </si>
  <si>
    <t>[{'KdbID': 4722, 'Tittel': 'Fossheimgardane mikrokraftverk'}]</t>
  </si>
  <si>
    <t>Fossmark</t>
  </si>
  <si>
    <t>061.5Z</t>
  </si>
  <si>
    <t>1989-02-13T00:00:00</t>
  </si>
  <si>
    <t>[{'KdbID': 321, 'Tittel': 'Erverv av Fossmark kraftverk i Vaksdal'}, {'KdbID': 1768, 'Tittel': 'Erverv av Fossmark krv. , feil i Konsesjonsvilkår.'}]</t>
  </si>
  <si>
    <t>Fossdalselvi</t>
  </si>
  <si>
    <t>252</t>
  </si>
  <si>
    <t>FOSSMARK KRAFT AS</t>
  </si>
  <si>
    <t>988037184</t>
  </si>
  <si>
    <t>031.12B</t>
  </si>
  <si>
    <t>2007-05-15T00:00:00</t>
  </si>
  <si>
    <t>[{'AdressatID': 41394, 'Driftselskap': True, 'Hovedeier': True, 'Navn': 'FOSSMARK KRAFT AS', 'OrgNr': 988037184, 'ProsentAndel': 100.0, 'ProsentAndelDrift': 100.0}]</t>
  </si>
  <si>
    <t>[{'KdbID': 4097, 'Tittel': 'Fossmark kraftverk'}, {'KdbID': 6759, 'Tittel': 'Planendringssøknad for Fossmark kraftverk'}]</t>
  </si>
  <si>
    <t>Fossmorkåna</t>
  </si>
  <si>
    <t>151</t>
  </si>
  <si>
    <t>Fosstun</t>
  </si>
  <si>
    <t>FOSSTUN MINIKRAFT Sigbjørn Garborg Sande</t>
  </si>
  <si>
    <t>970587462</t>
  </si>
  <si>
    <t>002.DB3A</t>
  </si>
  <si>
    <t>2006-11-29T00:00:00</t>
  </si>
  <si>
    <t>[{'AdressatID': 43474, 'Driftselskap': True, 'Hovedeier': True, 'Navn': 'FOSSTUN MINIKRAFT Sigbjørn Garborg Sande', 'OrgNr': 970587462, 'ProsentAndel': 100.0, 'ProsentAndelDrift': 100.0}]</t>
  </si>
  <si>
    <t>[{'KdbID': 3786, 'Tittel': 'Holtåa minikraftverk'}]</t>
  </si>
  <si>
    <t>Fosstveit</t>
  </si>
  <si>
    <t>Tvedestrand</t>
  </si>
  <si>
    <t>018.C22</t>
  </si>
  <si>
    <t>2008-08-24T00:00:00</t>
  </si>
  <si>
    <t>[{'KdbID': 1803, 'Tittel': 'Gjenopptakelse av kraftproduksjon Fosstveit i Vegårvassdr.'}, {'KdbID': 4614, 'Tittel': 'Fosstveit kraftverk'}, {'KdbID': 7592, 'Tittel': 'Fosstveit kraftverk'}]</t>
  </si>
  <si>
    <t>Vegårsvassdraget</t>
  </si>
  <si>
    <t>Fossum</t>
  </si>
  <si>
    <t>016.AB</t>
  </si>
  <si>
    <t>1908-01-01T00:00:00</t>
  </si>
  <si>
    <t>Fossum Mølle og elektrisitetsverk</t>
  </si>
  <si>
    <t>FOSSUM MØLLE OG ELEKTRISITETSVERK ANS</t>
  </si>
  <si>
    <t>983943675</t>
  </si>
  <si>
    <t>122.BBZ</t>
  </si>
  <si>
    <t>[{'AdressatID': 29112, 'Driftselskap': True, 'Hovedeier': True, 'Navn': 'FOSSUM MØLLE OG ELEKTRISITETSVERK ANS', 'OrgNr': 983943675, 'ProsentAndel': 100.0, 'ProsentAndelDrift': 100.0}]</t>
  </si>
  <si>
    <t>[{'KdbID': 2635, 'Tittel': 'Mikrokraftverk i Igla'}]</t>
  </si>
  <si>
    <t>xxx</t>
  </si>
  <si>
    <t>Fossvatn</t>
  </si>
  <si>
    <t>BERLAND KRAFT AS</t>
  </si>
  <si>
    <t>927171759</t>
  </si>
  <si>
    <t>Bjerkreim</t>
  </si>
  <si>
    <t>027.AB</t>
  </si>
  <si>
    <t>2023-05-22T00:00:00</t>
  </si>
  <si>
    <t>[{'AdressatID': 61258, 'Driftselskap': True, 'Hovedeier': True, 'Navn': 'BERLAND KRAFT AS', 'OrgNr': 927171759, 'ProsentAndel': 100.0, 'ProsentAndelDrift': 100.0}]</t>
  </si>
  <si>
    <t>[{'KdbID': 4943, 'Tittel': 'Fossvatn minikraftverk'}]</t>
  </si>
  <si>
    <t>Bjerkreimvassdraget</t>
  </si>
  <si>
    <t>137</t>
  </si>
  <si>
    <t>Fossåa</t>
  </si>
  <si>
    <t>FOSSÅA 1 K AS</t>
  </si>
  <si>
    <t>997325788</t>
  </si>
  <si>
    <t>Sør-Fron</t>
  </si>
  <si>
    <t>002.DF6B</t>
  </si>
  <si>
    <t>2023-11-30T00:00:00</t>
  </si>
  <si>
    <t>[{'AdressatID': 40394, 'Driftselskap': True, 'Hovedeier': False, 'Navn': 'SMÅKRAFT AS', 'OrgNr': 984616155, 'ProsentAndel': None, 'ProsentAndelDrift': None}, {'AdressatID': 50085, 'Driftselskap': False, 'Hovedeier': True, 'Navn': 'FOSSÅA 1 K AS', 'OrgNr': 997325788, 'ProsentAndel': 100.0, 'ProsentAndelDrift': 100.0}]</t>
  </si>
  <si>
    <t>[{'KdbID': 7448, 'Tittel': 'Fossåa kraftverk'}]</t>
  </si>
  <si>
    <t>Fossåno</t>
  </si>
  <si>
    <t>FOSSÅNO KRAFTVERK AS</t>
  </si>
  <si>
    <t>987800534</t>
  </si>
  <si>
    <t>036.A12AB</t>
  </si>
  <si>
    <t>2006-05-22T00:00:00</t>
  </si>
  <si>
    <t>[{'AdressatID': 43611, 'Driftselskap': True, 'Hovedeier': True, 'Navn': 'FOSSÅNO KRAFTVERK AS', 'OrgNr': 987800534, 'ProsentAndel': 100.0, 'ProsentAndelDrift': 100.0}]</t>
  </si>
  <si>
    <t>[{'KdbID': 3866, 'Tittel': 'Fossåna minikraftverk'}]</t>
  </si>
  <si>
    <t>Frammarsvik</t>
  </si>
  <si>
    <t>FRAMMARSVIK KRAFT AS</t>
  </si>
  <si>
    <t>988310352</t>
  </si>
  <si>
    <t>084.722A</t>
  </si>
  <si>
    <t>2008-09-11T00:00:00</t>
  </si>
  <si>
    <t>[{'AdressatID': 42932, 'Driftselskap': True, 'Hovedeier': True, 'Navn': 'FRAMMARSVIK KRAFT AS', 'OrgNr': 988310352, 'ProsentAndel': 100.0, 'ProsentAndelDrift': 100.0}]</t>
  </si>
  <si>
    <t>[{'KdbID': 4212, 'Tittel': 'Frammarsvik kraftverk'}]</t>
  </si>
  <si>
    <t>Ysteelva</t>
  </si>
  <si>
    <t>Framruste</t>
  </si>
  <si>
    <t>Skjåk</t>
  </si>
  <si>
    <t>002.DHFA</t>
  </si>
  <si>
    <t>2005-12-07T00:00:00</t>
  </si>
  <si>
    <t>[{'AdressatID': 10242, 'Driftselskap': True, 'Hovedeier': True, 'Navn': 'HAFSLUND KRAFT AS', 'OrgNr': 976894677, 'ProsentAndel': 19.72, 'ProsentAndelDrift': 100.0}, {'AdressatID': 10300, 'Driftselskap': False, 'Hovedeier': False, 'Navn': 'OPPLANDSKRAFT DA', 'OrgNr': 944237631, 'ProsentAndel': None, 'ProsentAndelDrift': None}, {'AdressatID': 25452, 'Driftselskap': False, 'Hovedeier': False, 'Navn': 'AKERSHUS ENERGI VANNKRAFT AS', 'OrgNr': 976542622, 'ProsentAndel': 19.72, 'ProsentAndelDrift': None}, {'AdressatID': 25766, 'Driftselskap': False, 'Hovedeier': False, 'Navn': 'TAFJORD KRAFTPRODUKSJON AS', 'OrgNr': 977461898, 'ProsentAndel': 21.12, 'ProsentAndelDrift': None}, {'AdressatID': 41020, 'Driftselskap': False, 'Hovedeier': False, 'Navn': 'HAFSLUND KRAFT INNLANDET AS', 'OrgNr': 887396752, 'ProsentAndel': 39.44, 'ProsentAndelDrift': None}, {'AdressatID': 41334, 'Driftselskap': False, 'Hovedeier': False, 'Navn': 'ØVRE OTTA DA', 'OrgNr': 987969059, 'ProsentAndel': None, 'ProsentAndelDrift': None}]</t>
  </si>
  <si>
    <t>[{'KdbID': 2953, 'Tittel': 'Kraftutbygging Øvre Otta - Framruste og Øyberget kraftverker'}]</t>
  </si>
  <si>
    <t>Freim</t>
  </si>
  <si>
    <t>FREIM KRAFT AS</t>
  </si>
  <si>
    <t>998390702</t>
  </si>
  <si>
    <t>048.A</t>
  </si>
  <si>
    <t>[{'AdressatID': 43617, 'Driftselskap': False, 'Hovedeier': True, 'Navn': 'FREIM KRAFT AS', 'OrgNr': 998390702, 'ProsentAndel': 100.0, 'ProsentAndelDrift': 100.0}, {'AdressatID': 53027, 'Driftselskap': True, 'Hovedeier': False, 'Navn': 'FOSSBERG KRAFT AS', 'OrgNr': 920721087, 'ProsentAndel': None, 'ProsentAndelDrift': None}]</t>
  </si>
  <si>
    <t>[{'KdbID': 4905, 'Tittel': 'Freim kraftverk'}]</t>
  </si>
  <si>
    <t>Fremstedalen</t>
  </si>
  <si>
    <t>VIKHEIM HANS ARNE</t>
  </si>
  <si>
    <t>970185178</t>
  </si>
  <si>
    <t>077.3B</t>
  </si>
  <si>
    <t>2007-07-20T00:00:00</t>
  </si>
  <si>
    <t>[{'AdressatID': 43684, 'Driftselskap': True, 'Hovedeier': True, 'Navn': 'VIKHEIM HANS ARNE', 'OrgNr': 970185178, 'ProsentAndel': 100.0, 'ProsentAndelDrift': 100.0}]</t>
  </si>
  <si>
    <t>[{'KdbID': 6971, 'Tittel': 'Fremstedalen mikrokraftverk'}]</t>
  </si>
  <si>
    <t>Sogndalselvi</t>
  </si>
  <si>
    <t>313</t>
  </si>
  <si>
    <t>Friheim</t>
  </si>
  <si>
    <t>KURT EIVIND MILJETEIG</t>
  </si>
  <si>
    <t>969627604</t>
  </si>
  <si>
    <t>045.2Z</t>
  </si>
  <si>
    <t>[{'AdressatID': 43776, 'Driftselskap': True, 'Hovedeier': True, 'Navn': 'KURT EIVIND MILJETEIG', 'OrgNr': 969627604, 'ProsentAndel': 100.0, 'ProsentAndelDrift': 100.0}]</t>
  </si>
  <si>
    <t>[{'KdbID': 3550, 'Tittel': 'Friheim mikrokraftverk'}]</t>
  </si>
  <si>
    <t>Uskedalselva</t>
  </si>
  <si>
    <t>Frisvold</t>
  </si>
  <si>
    <t>103.640</t>
  </si>
  <si>
    <t>Fritzøe</t>
  </si>
  <si>
    <t>FRITZØE ENERGI AS</t>
  </si>
  <si>
    <t>891341032</t>
  </si>
  <si>
    <t>Larvik</t>
  </si>
  <si>
    <t>015.4A</t>
  </si>
  <si>
    <t>1901-01-01T00:00:00</t>
  </si>
  <si>
    <t>[{'AdressatID': 43035, 'Driftselskap': True, 'Hovedeier': True, 'Navn': 'FRITZØE ENERGI AS', 'OrgNr': 891341032, 'ProsentAndel': 100.0, 'ProsentAndelDrift': 100.0}]</t>
  </si>
  <si>
    <t>[{'KdbID': 8996, 'Tittel': 'Fritzøe kraftverk - Innkalling til konsesjonsbehandling'}]</t>
  </si>
  <si>
    <t>Siljanvassdraget</t>
  </si>
  <si>
    <t>074</t>
  </si>
  <si>
    <t>Frøland</t>
  </si>
  <si>
    <t>055.A0</t>
  </si>
  <si>
    <t>[{'KdbID': 1206, 'Tittel': 'Ny konsesjon for Samnangervassdraget'}, {'KdbID': 7499, 'Tittel': 'Frøland Kraftverk'}, {'KdbID': 7764, 'Tittel': 'Samnangervassdraget - Fastsettelse av minstevannføring'}]</t>
  </si>
  <si>
    <t>Frøvik Gård</t>
  </si>
  <si>
    <t>017.31</t>
  </si>
  <si>
    <t>[{'KdbID': 2100, 'Tittel': 'Mikrokraftverk Frøvik Gård'}]</t>
  </si>
  <si>
    <t>Frøystul</t>
  </si>
  <si>
    <t>Tinn</t>
  </si>
  <si>
    <t>016.H6</t>
  </si>
  <si>
    <t>1995-01-01T00:00:00</t>
  </si>
  <si>
    <t>[{'AdressatID': 10282, 'Driftselskap': True, 'Hovedeier': True, 'Navn': 'HYDRO ENERGI AS', 'OrgNr': 930187240, 'ProsentAndel': 100.0, 'ProsentAndelDrift': 100.0}, {'AdressatID': 24453, 'Driftselskap': False, 'Hovedeier': False, 'Navn': 'Norsk Hydro ASA', 'OrgNr': 914778271, 'ProsentAndel': None, 'ProsentAndelDrift': None}]</t>
  </si>
  <si>
    <t>[{'KdbID': 616, 'Tittel': 'Frøystul kraftverk, erverv ved hjemfall, ny stasjon'}, {'KdbID': 898, 'Tittel': 'Erverv av Frøystulfoss i Måna'}]</t>
  </si>
  <si>
    <t>Frøytlandsfoss</t>
  </si>
  <si>
    <t>025.3A5</t>
  </si>
  <si>
    <t>2025-05-08T00:00:00</t>
  </si>
  <si>
    <t>[{'KdbID': 5206, 'Tittel': 'Frøytlandsfoss kraftverk'}]</t>
  </si>
  <si>
    <t>Fedaelva</t>
  </si>
  <si>
    <t>128</t>
  </si>
  <si>
    <t>Fuglestein</t>
  </si>
  <si>
    <t>JON ANDERS FUGLESTEIN</t>
  </si>
  <si>
    <t>993043400</t>
  </si>
  <si>
    <t>[{'AdressatID': 43700, 'Driftselskap': True, 'Hovedeier': True, 'Navn': 'JON ANDERS FUGLESTEIN', 'OrgNr': 993043400, 'ProsentAndel': 100.0, 'ProsentAndelDrift': 100.0}]</t>
  </si>
  <si>
    <t>[{'KdbID': 3879, 'Tittel': 'Fuglestein nedre, mikrokraftverk'}]</t>
  </si>
  <si>
    <t>Funna</t>
  </si>
  <si>
    <t>Meråker</t>
  </si>
  <si>
    <t>124.C6A</t>
  </si>
  <si>
    <t>2007-12-14T00:00:00</t>
  </si>
  <si>
    <t>[{'KdbID': 572, 'Tittel': 'Regulering og utbygging av Fjergen m.v., hjemfall, N-Tr.lag'}, {'KdbID': 931, 'Tittel': 'Erverv og regulering av Funnavassdraget'}, {'KdbID': 3027, 'Tittel': 'Rehabilitering av Funna kraftverk'}]</t>
  </si>
  <si>
    <t>504</t>
  </si>
  <si>
    <t>Funnefoss</t>
  </si>
  <si>
    <t>Nes</t>
  </si>
  <si>
    <t>002.E12</t>
  </si>
  <si>
    <t>[{'KdbID': 373, 'Tittel': 'Erverv av fall m.v. i Funnefoss i Glomma'}]</t>
  </si>
  <si>
    <t>Furebø</t>
  </si>
  <si>
    <t>FURA KRAFT AS</t>
  </si>
  <si>
    <t>881916002</t>
  </si>
  <si>
    <t>084.AZ</t>
  </si>
  <si>
    <t>2001-01-15T00:00:00</t>
  </si>
  <si>
    <t>[{'AdressatID': 41098, 'Driftselskap': True, 'Hovedeier': True, 'Navn': 'FURA KRAFT AS', 'OrgNr': 881916002, 'ProsentAndel': 100.0, 'ProsentAndelDrift': 100.0}]</t>
  </si>
  <si>
    <t>[{'KdbID': 2949, 'Tittel': 'Furebø kraftverk'}]</t>
  </si>
  <si>
    <t>Furegardane</t>
  </si>
  <si>
    <t>062.C1</t>
  </si>
  <si>
    <t>2014-05-19T00:00:00</t>
  </si>
  <si>
    <t>[{'KdbID': 4201, 'Tittel': 'Furegardene kraftverk'}]</t>
  </si>
  <si>
    <t>Furset</t>
  </si>
  <si>
    <t>098.3A1B</t>
  </si>
  <si>
    <t>[{'KdbID': 4384, 'Tittel': 'Furset kraftverk - Planendring ved gjenoppbygging'}]</t>
  </si>
  <si>
    <t>Fykanvannet</t>
  </si>
  <si>
    <t>Meløy</t>
  </si>
  <si>
    <t>160.A1</t>
  </si>
  <si>
    <t>2013-07-11T00:00:00</t>
  </si>
  <si>
    <t>[{'KdbID': 4508, 'Tittel': 'Fykanvannet kraftverk'}]</t>
  </si>
  <si>
    <t>Fykanåga</t>
  </si>
  <si>
    <t>673</t>
  </si>
  <si>
    <t>Færåsen</t>
  </si>
  <si>
    <t>023.AC0</t>
  </si>
  <si>
    <t>2009-03-03T00:00:00</t>
  </si>
  <si>
    <t>[{'KdbID': 4579, 'Tittel': 'Færåsen kraftverk'}]</t>
  </si>
  <si>
    <t>Audna</t>
  </si>
  <si>
    <t>121</t>
  </si>
  <si>
    <t>Fønhus</t>
  </si>
  <si>
    <t>FØNHUS KRAFT AS</t>
  </si>
  <si>
    <t>886062052</t>
  </si>
  <si>
    <t>012.H52</t>
  </si>
  <si>
    <t>2004-04-07T00:00:00</t>
  </si>
  <si>
    <t>[{'AdressatID': 40468, 'Driftselskap': True, 'Hovedeier': True, 'Navn': 'FØNHUS KRAFT AS', 'OrgNr': 886062052, 'ProsentAndel': 100.0, 'ProsentAndelDrift': 100.0}]</t>
  </si>
  <si>
    <t>[{'KdbID': 3315, 'Tittel': 'Fønhus (Pullebekken) mikrokraftverk'}]</t>
  </si>
  <si>
    <t>Føssa</t>
  </si>
  <si>
    <t>Orkland</t>
  </si>
  <si>
    <t>59</t>
  </si>
  <si>
    <t>121.B43B</t>
  </si>
  <si>
    <t>2011-05-09T00:00:00</t>
  </si>
  <si>
    <t>[{'KdbID': 4770, 'Tittel': 'Føssa kraftverk'}]</t>
  </si>
  <si>
    <t>Gamlebrofoss</t>
  </si>
  <si>
    <t>Kongsberg</t>
  </si>
  <si>
    <t>015.D31</t>
  </si>
  <si>
    <t>1971-01-14T00:00:00</t>
  </si>
  <si>
    <t>[{'KdbID': 2084, 'Tittel': 'Ekspr.till. for utb. av Gamlebrofoss og Fabrikkfoss i Numedalslågen.'}, {'KdbID': 8893, 'Tittel': 'Midlertidig fravik fra manøvreringsreglementet - Gamlebrofoss\xa0kraftverk\xa0-\xa0GLITRE ENERGI PRODUKSJON AS - Tapping under LRV ;Annet;  - 30.08.2022 til 30.08.2022- Referansenr:UYPCUA'}]</t>
  </si>
  <si>
    <t>Gandvik</t>
  </si>
  <si>
    <t>PASVIK KRAFT AS</t>
  </si>
  <si>
    <t>982795745</t>
  </si>
  <si>
    <t>Nesseby</t>
  </si>
  <si>
    <t>242.4Z</t>
  </si>
  <si>
    <t>1952-12-10T00:00:00</t>
  </si>
  <si>
    <t>[{'AdressatID': 11925, 'Driftselskap': True, 'Hovedeier': True, 'Navn': 'PASVIK KRAFT AS', 'OrgNr': 982795745, 'ProsentAndel': 100.0, 'ProsentAndelDrift': 100.0}]</t>
  </si>
  <si>
    <t>[{'KdbID': 2630, 'Tittel': 'Endr. av tillatelse reg. og overf. som utnyttes i Gandvik kr.v.'}]</t>
  </si>
  <si>
    <t>Duddajåkka</t>
  </si>
  <si>
    <t>935</t>
  </si>
  <si>
    <t>Gangsbekken</t>
  </si>
  <si>
    <t>ØRTFJELL KRAFT AS</t>
  </si>
  <si>
    <t>924821647</t>
  </si>
  <si>
    <t>156.D2B</t>
  </si>
  <si>
    <t>2007-05-25T00:00:00</t>
  </si>
  <si>
    <t>[{'AdressatID': 72520, 'Driftselskap': True, 'Hovedeier': True, 'Navn': 'ØRTFJELL KRAFT AS', 'OrgNr': 924821647, 'ProsentAndel': 100.0, 'ProsentAndelDrift': 100.0}]</t>
  </si>
  <si>
    <t>[{'KdbID': 7117, 'Tittel': 'Gangsbekken kraftverk'}]</t>
  </si>
  <si>
    <t>Ranavassdraget</t>
  </si>
  <si>
    <t>655</t>
  </si>
  <si>
    <t>Gapestad</t>
  </si>
  <si>
    <t>Gaudøla</t>
  </si>
  <si>
    <t>109.4AB1</t>
  </si>
  <si>
    <t>2004-12-02T00:00:00</t>
  </si>
  <si>
    <t>[{'KdbID': 3698, 'Tittel': 'Gaudøla småkraftverk'}]</t>
  </si>
  <si>
    <t>Usma</t>
  </si>
  <si>
    <t>450</t>
  </si>
  <si>
    <t>MIDT ENERGI AS</t>
  </si>
  <si>
    <t>977205719</t>
  </si>
  <si>
    <t>Holtålen</t>
  </si>
  <si>
    <t>122.G40</t>
  </si>
  <si>
    <t>2009-04-20T00:00:00</t>
  </si>
  <si>
    <t>[{'AdressatID': 25577, 'Driftselskap': True, 'Hovedeier': True, 'Navn': 'MIDT ENERGI AS', 'OrgNr': 977205719, 'ProsentAndel': 100.0, 'ProsentAndelDrift': 100.0}]</t>
  </si>
  <si>
    <t>[{'KdbID': 2388, 'Tittel': 'Heving av HRV innt.mag. til  Gaula Kr.verk'}, {'KdbID': 4528, 'Tittel': 'Gaula kraftverk - oppgradering'}]</t>
  </si>
  <si>
    <t>Gausbu</t>
  </si>
  <si>
    <t>SKAFSÅ KRAFTVERK ANS</t>
  </si>
  <si>
    <t>840044262</t>
  </si>
  <si>
    <t>019.H82</t>
  </si>
  <si>
    <t>1996-10-04T00:00:00</t>
  </si>
  <si>
    <t>[{'AdressatID': 10282, 'Driftselskap': False, 'Hovedeier': False, 'Navn': 'HYDRO ENERGI AS', 'OrgNr': 930187240, 'ProsentAndel': 33.0, 'ProsentAndelDrift': None}, {'AdressatID': 10379, 'Driftselskap': True, 'Hovedeier': True, 'Navn': 'SKAFSÅ KRAFTVERK ANS', 'OrgNr': 840044262, 'ProsentAndel': None, 'ProsentAndelDrift': 100.0}, {'AdressatID': 10384, 'Driftselskap': False, 'Hovedeier': False, 'Navn': 'VEST-TELEMARK KRAFTLAG AS', 'OrgNr': 955996836, 'ProsentAndel': 67.0, 'ProsentAndelDrift': None}]</t>
  </si>
  <si>
    <t>[{'KdbID': 584, 'Tittel': 'Erverv, utbygging m.v. i Skafsåvassdraget, endring vilkår, Telemark'}, {'KdbID': 1970, 'Tittel': 'Erv. utb. Skafsåvassdraget, planendring'}, {'KdbID': 2012, 'Tittel': 'Planendr. utb. Skafsåvassdraget'}]</t>
  </si>
  <si>
    <t>Gautvella</t>
  </si>
  <si>
    <t>GAUTVELLA KRAFTVERK AS</t>
  </si>
  <si>
    <t>989035924</t>
  </si>
  <si>
    <t>121.C3Z</t>
  </si>
  <si>
    <t>2007-07-13T00:00:00</t>
  </si>
  <si>
    <t>[{'AdressatID': 42711, 'Driftselskap': True, 'Hovedeier': True, 'Navn': 'GAUTVELLA KRAFTVERK AS', 'OrgNr': 989035924, 'ProsentAndel': 100.0, 'ProsentAndelDrift': 100.0}]</t>
  </si>
  <si>
    <t>[{'KdbID': 3987, 'Tittel': 'Gautvella småkraftverk'}]</t>
  </si>
  <si>
    <t>Geisdøla</t>
  </si>
  <si>
    <t>GEISDØLA KRAFTVERK AS</t>
  </si>
  <si>
    <t>987615338</t>
  </si>
  <si>
    <t>076.D5Z</t>
  </si>
  <si>
    <t>2005-05-03T00:00:00</t>
  </si>
  <si>
    <t>[{'AdressatID': 41501, 'Driftselskap': True, 'Hovedeier': True, 'Navn': 'GEISDØLA KRAFTVERK AS', 'OrgNr': 987615338, 'ProsentAndel': 100.0, 'ProsentAndelDrift': 100.0}]</t>
  </si>
  <si>
    <t>[{'KdbID': 3988, 'Tittel': 'Geisdøla minikraftverk'}]</t>
  </si>
  <si>
    <t>Jostedøla</t>
  </si>
  <si>
    <t>311</t>
  </si>
  <si>
    <t>Geithusfoss</t>
  </si>
  <si>
    <t>012.D31</t>
  </si>
  <si>
    <t>1961-10-01T00:00:00</t>
  </si>
  <si>
    <t>[{'KdbID': 724, 'Tittel': 'Erverv av fallretter i forb. med overtagelse av Geithusfoss kraftv.'}]</t>
  </si>
  <si>
    <t>Geitåni</t>
  </si>
  <si>
    <t>GEITÅNI KRAFTVERK AS</t>
  </si>
  <si>
    <t>995705737</t>
  </si>
  <si>
    <t>062.B2</t>
  </si>
  <si>
    <t>2018-04-19T00:00:00</t>
  </si>
  <si>
    <t>[{'AdressatID': 42738, 'Driftselskap': False, 'Hovedeier': False, 'Navn': 'UKJENT', 'OrgNr': None, 'ProsentAndel': 10.0, 'ProsentAndelDrift': None}, {'AdressatID': 43670, 'Driftselskap': False, 'Hovedeier': True, 'Navn': 'GEITÅNI KRAFTVERK AS', 'OrgNr': 995705737, 'ProsentAndel': None, 'ProsentAndelDrift': 100.0}, {'AdressatID': 50977, 'Driftselskap': True, 'Hovedeier': False, 'Navn': 'PROXIMA HYDROTECH AS', 'OrgNr': 918808302, 'ProsentAndel': None, 'ProsentAndelDrift': None}, {'AdressatID': 51503, 'Driftselskap': False, 'Hovedeier': False, 'Navn': 'AVENTRON NORWAY AS', 'OrgNr': 913494512, 'ProsentAndel': 90.0, 'ProsentAndelDrift': None}]</t>
  </si>
  <si>
    <t>[{'KdbID': 4945, 'Tittel': 'Geitåni kraftverk'}]</t>
  </si>
  <si>
    <t>Gilja</t>
  </si>
  <si>
    <t>GILJA KRAFTVERK AS</t>
  </si>
  <si>
    <t>881893932</t>
  </si>
  <si>
    <t>[{'AdressatID': 41100, 'Driftselskap': True, 'Hovedeier': True, 'Navn': 'GILJA KRAFTVERK AS', 'OrgNr': 881893932, 'ProsentAndel': 100.0, 'ProsentAndelDrift': 100.0}]</t>
  </si>
  <si>
    <t>[{'KdbID': 2898, 'Tittel': 'Gilja småkraftverk'}]</t>
  </si>
  <si>
    <t>Gire</t>
  </si>
  <si>
    <t>GIRE KRAFT AS</t>
  </si>
  <si>
    <t>990922632</t>
  </si>
  <si>
    <t>012.CC8Z</t>
  </si>
  <si>
    <t>2008-06-05T00:00:00</t>
  </si>
  <si>
    <t>[{'AdressatID': 42434, 'Driftselskap': True, 'Hovedeier': True, 'Navn': 'GIRE KRAFT AS', 'OrgNr': 990922632, 'ProsentAndel': 100.0, 'ProsentAndelDrift': 100.0}]</t>
  </si>
  <si>
    <t>[{'KdbID': 4966, 'Tittel': 'Gire småkraftverk'}]</t>
  </si>
  <si>
    <t>88</t>
  </si>
  <si>
    <t>Gisnafallet</t>
  </si>
  <si>
    <t>GISNAFALLET KRAFTVERK AS</t>
  </si>
  <si>
    <t>991428275</t>
  </si>
  <si>
    <t>Oppdal</t>
  </si>
  <si>
    <t>121.CAZ</t>
  </si>
  <si>
    <t>2009-06-08T00:00:00</t>
  </si>
  <si>
    <t>[{'AdressatID': 42693, 'Driftselskap': True, 'Hovedeier': True, 'Navn': 'GISNAFALLET KRAFTVERK AS', 'OrgNr': 991428275, 'ProsentAndel': 100.0, 'ProsentAndelDrift': 100.0}]</t>
  </si>
  <si>
    <t>[{'KdbID': 4324, 'Tittel': 'Gisnafallet kraftverk'}]</t>
  </si>
  <si>
    <t>Gjedrem &amp; Holmen</t>
  </si>
  <si>
    <t>GJEDREM &amp; HOLMEN ELVERK DA</t>
  </si>
  <si>
    <t>871072922</t>
  </si>
  <si>
    <t>027.B1</t>
  </si>
  <si>
    <t>2005-02-19T00:00:00</t>
  </si>
  <si>
    <t>[{'AdressatID': 43462, 'Driftselskap': True, 'Hovedeier': True, 'Navn': 'GJEDREM &amp; HOLMEN ELVERK DA', 'OrgNr': 871072922, 'ProsentAndel': 100.0, 'ProsentAndelDrift': 100.0}]</t>
  </si>
  <si>
    <t>[{'KdbID': 3067, 'Tittel': 'Gjedrem og Holmen kraftverk, Ombygging/totalrenovering'}]</t>
  </si>
  <si>
    <t>Gjemlestad</t>
  </si>
  <si>
    <t>GJEMLESTAD KRAFTVERK AS</t>
  </si>
  <si>
    <t>925531138</t>
  </si>
  <si>
    <t>025.AA5</t>
  </si>
  <si>
    <t>2024-09-12T00:00:00</t>
  </si>
  <si>
    <t>[{'AdressatID': 40545, 'Driftselskap': True, 'Hovedeier': False, 'Navn': 'FORTE VANNKRAFT AS', 'OrgNr': 975964825, 'ProsentAndel': None, 'ProsentAndelDrift': None}, {'AdressatID': 63691, 'Driftselskap': False, 'Hovedeier': True, 'Navn': 'GJEMLESTAD KRAFTVERK AS', 'OrgNr': 925531138, 'ProsentAndel': 100.0, 'ProsentAndelDrift': 100.0}]</t>
  </si>
  <si>
    <t>[{'KdbID': 5203, 'Tittel': 'Gjemlestad kraftverk'}]</t>
  </si>
  <si>
    <t>Gjerde</t>
  </si>
  <si>
    <t>046.32A1A</t>
  </si>
  <si>
    <t>2007-08-29T00:00:00</t>
  </si>
  <si>
    <t>[{'KdbID': 4132, 'Tittel': 'Gjerde kraftverk'}, {'KdbID': 7452, 'Tittel': 'Regulering av Rennedalsvatnet - Gjerde kraftverk'}]</t>
  </si>
  <si>
    <t>Austrepollelva</t>
  </si>
  <si>
    <t>204</t>
  </si>
  <si>
    <t>Gjerdelva</t>
  </si>
  <si>
    <t>GJERDELVA KRAFT AS</t>
  </si>
  <si>
    <t>923991247</t>
  </si>
  <si>
    <t>Lyngen</t>
  </si>
  <si>
    <t>203.72</t>
  </si>
  <si>
    <t>2025-11-12T00:00:00</t>
  </si>
  <si>
    <t>[{'AdressatID': 40394, 'Driftselskap': True, 'Hovedeier': False, 'Navn': 'SMÅKRAFT AS', 'OrgNr': 984616155, 'ProsentAndel': None, 'ProsentAndelDrift': None}, {'AdressatID': 55906, 'Driftselskap': False, 'Hovedeier': True, 'Navn': 'GJERDELVA KRAFT AS', 'OrgNr': 923991247, 'ProsentAndel': 100.0, 'ProsentAndelDrift': 100.0}]</t>
  </si>
  <si>
    <t>[{'KdbID': 5743, 'Tittel': 'Gjerdelva kraftverk'}]</t>
  </si>
  <si>
    <t>Gjerdsvika</t>
  </si>
  <si>
    <t>Sande</t>
  </si>
  <si>
    <t>096.4Z</t>
  </si>
  <si>
    <t>[{'AdressatID': 12292, 'Driftselskap': False, 'Hovedeier': False, 'Navn': 'SUNNMØRE ENERGI AS', 'OrgNr': 916579020, 'ProsentAndel': 100.0, 'ProsentAndelDrift': None}, {'AdressatID': 25567, 'Driftselskap': True, 'Hovedeier': True, 'Navn': 'TUSSA ENERGI AS', 'OrgNr': 876795442, 'ProsentAndel': None, 'ProsentAndelDrift': 100.0}]</t>
  </si>
  <si>
    <t>[{'KdbID': 197, 'Tittel': 'Erverv av bruksrett og regulering av Gjerdsvikvassdraget'}, {'KdbID': 1069, 'Tittel': 'Erverv av bruksrett og reg. av Gjerdsvikvassdr. - Endr. man.regl.'}, {'KdbID': 1840, 'Tittel': 'Erverv av bruksrett fallr., overf. av reg.kons. Gjerdsvikvassdr.'}]</t>
  </si>
  <si>
    <t>Gjerdesvikelva</t>
  </si>
  <si>
    <t>383</t>
  </si>
  <si>
    <t>Gjerland</t>
  </si>
  <si>
    <t>GUNNAR JAN GJERLAND</t>
  </si>
  <si>
    <t>969411016</t>
  </si>
  <si>
    <t>083.E4</t>
  </si>
  <si>
    <t>[{'AdressatID': 50090, 'Driftselskap': True, 'Hovedeier': True, 'Navn': 'GUNNAR JAN GJERLAND', 'OrgNr': 969411016, 'ProsentAndel': 100.0, 'ProsentAndelDrift': None}]</t>
  </si>
  <si>
    <t>[{'KdbID': 3672, 'Tittel': 'Gjerland mikrokraftverk'}]</t>
  </si>
  <si>
    <t>Gjersvik</t>
  </si>
  <si>
    <t>GJERSVIK KRAFT AS</t>
  </si>
  <si>
    <t>912517888</t>
  </si>
  <si>
    <t>Raarvikhe – Røyrvik</t>
  </si>
  <si>
    <t>307.3Z</t>
  </si>
  <si>
    <t>2012-09-14T00:00:00</t>
  </si>
  <si>
    <t>[{'AdressatID': 50013, 'Driftselskap': True, 'Hovedeier': True, 'Navn': 'GJERSVIK KRAFT AS', 'OrgNr': 912517888, 'ProsentAndel': 100.0, 'ProsentAndelDrift': 100.0}]</t>
  </si>
  <si>
    <t>[{'KdbID': 3763, 'Tittel': 'Gjersvika minikraftverk'}]</t>
  </si>
  <si>
    <t>964</t>
  </si>
  <si>
    <t>084.E1</t>
  </si>
  <si>
    <t>2011-08-15T00:00:00</t>
  </si>
  <si>
    <t>[{'KdbID': 4406, 'Tittel': 'Gjesdal kraftverk'}]</t>
  </si>
  <si>
    <t>Gjetingsdalen</t>
  </si>
  <si>
    <t>GJETINGSDALEN KRAFT AS</t>
  </si>
  <si>
    <t>989147080</t>
  </si>
  <si>
    <t>2007-02-06T00:00:00</t>
  </si>
  <si>
    <t>[{'AdressatID': 42969, 'Driftselskap': True, 'Hovedeier': True, 'Navn': 'GJETINGSDALEN KRAFT AS', 'OrgNr': 989147080, 'ProsentAndel': 100.0, 'ProsentAndelDrift': 100.0}]</t>
  </si>
  <si>
    <t>[{'KdbID': 4095, 'Tittel': 'Gjetingsdalen kraftverk'}]</t>
  </si>
  <si>
    <t>Gjuva</t>
  </si>
  <si>
    <t>012.CDBB0</t>
  </si>
  <si>
    <t>1957-12-29T00:00:00</t>
  </si>
  <si>
    <t>[{'KdbID': 90, 'Tittel': 'Reg. av Hemsilvassdraget i Buskerud m.v.'}, {'KdbID': 5404, 'Tittel': 'Revisjon av konsesjonsvilkår - Hemsil'}]</t>
  </si>
  <si>
    <t>69</t>
  </si>
  <si>
    <t>Gjuvåa</t>
  </si>
  <si>
    <t>GJUVÅA KRAFTVERK AS</t>
  </si>
  <si>
    <t>923799222</t>
  </si>
  <si>
    <t>016.EAC1A</t>
  </si>
  <si>
    <t>2021-08-26T00:00:00</t>
  </si>
  <si>
    <t>[{'AdressatID': 40113, 'Driftselskap': True, 'Hovedeier': False, 'Navn': 'SKAGERAK KRAFT AS', 'OrgNr': 979563531, 'ProsentAndel': None, 'ProsentAndelDrift': None}, {'AdressatID': 60193, 'Driftselskap': False, 'Hovedeier': True, 'Navn': 'GJUVÅA KRAFTVERK AS', 'OrgNr': 923799222, 'ProsentAndel': 100.0, 'ProsentAndelDrift': 100.0}]</t>
  </si>
  <si>
    <t>[{'KdbID': 6941, 'Tittel': 'Gjuvåa kraftverk'}]</t>
  </si>
  <si>
    <t>Gjønaelva</t>
  </si>
  <si>
    <t>GJØNAELVA KRAFTVERK AS</t>
  </si>
  <si>
    <t>991492593</t>
  </si>
  <si>
    <t>053.C2B</t>
  </si>
  <si>
    <t>2018-05-16T00:00:00</t>
  </si>
  <si>
    <t>[{'AdressatID': 42738, 'Driftselskap': False, 'Hovedeier': False, 'Navn': 'UKJENT', 'OrgNr': None, 'ProsentAndel': 1.02, 'ProsentAndelDrift': None}, {'AdressatID': 10422, 'Driftselskap': False, 'Hovedeier': False, 'Navn': 'FUSA KRAFTLAG SA', 'OrgNr': 858837162, 'ProsentAndel': 50.48, 'ProsentAndelDrift': None}, {'AdressatID': 10437, 'Driftselskap': False, 'Hovedeier': False, 'Navn': 'SUNNHORDLAND KRAFTLAG AS', 'OrgNr': 916435711, 'ProsentAndel': 48.5, 'ProsentAndelDrift': None}, {'AdressatID': 42499, 'Driftselskap': True, 'Hovedeier': True, 'Navn': 'GJØNAELVA KRAFTVERK AS', 'OrgNr': 991492593, 'ProsentAndel': None, 'ProsentAndelDrift': 100.0}]</t>
  </si>
  <si>
    <t>[{'KdbID': 5228, 'Tittel': 'Gjønaelva kraftverk'}]</t>
  </si>
  <si>
    <t>Glesåa</t>
  </si>
  <si>
    <t>GLESÅA KRAFTVERK AS</t>
  </si>
  <si>
    <t>989176021</t>
  </si>
  <si>
    <t>Åmot</t>
  </si>
  <si>
    <t>002.JD1</t>
  </si>
  <si>
    <t>2009-01-22T00:00:00</t>
  </si>
  <si>
    <t>[{'AdressatID': 43517, 'Driftselskap': True, 'Hovedeier': True, 'Navn': 'GLESÅA KRAFTVERK AS', 'OrgNr': 989176021, 'ProsentAndel': 100.0, 'ProsentAndelDrift': 100.0}]</t>
  </si>
  <si>
    <t>[{'KdbID': 4340, 'Tittel': 'Glesåa kraftverk'}]</t>
  </si>
  <si>
    <t>Glisja</t>
  </si>
  <si>
    <t>122.BC0</t>
  </si>
  <si>
    <t>[{'KdbID': 2380, 'Tittel': 'Mikrokraftverk i Glisja'}]</t>
  </si>
  <si>
    <t>Glomfjord</t>
  </si>
  <si>
    <t>1920-06-30T00:00:00</t>
  </si>
  <si>
    <t>[{'KdbID': 605, 'Tittel': 'Saltfjellet/Svartisen - Stor-Glomfjord - Utbygging, regulering m.v.'}]</t>
  </si>
  <si>
    <t>Glomnes</t>
  </si>
  <si>
    <t>GLOMNES KRAFT AS</t>
  </si>
  <si>
    <t>982669073</t>
  </si>
  <si>
    <t>088.B2Z</t>
  </si>
  <si>
    <t>[{'AdressatID': 50092, 'Driftselskap': True, 'Hovedeier': True, 'Navn': 'GLOMNES KRAFT AS', 'OrgNr': 982669073, 'ProsentAndel': 100.0, 'ProsentAndelDrift': 100.0}]</t>
  </si>
  <si>
    <t>[{'KdbID': 2366, 'Tittel': 'Minikraftverk. I Glomsdøla'}]</t>
  </si>
  <si>
    <t>Strynevassdraget</t>
  </si>
  <si>
    <t>373</t>
  </si>
  <si>
    <t>Glutra</t>
  </si>
  <si>
    <t>103.4AB</t>
  </si>
  <si>
    <t>2009-08-03T00:00:00</t>
  </si>
  <si>
    <t>[{'KdbID': 2980, 'Tittel': 'Minikraftverk i Glutra'}]</t>
  </si>
  <si>
    <t>Isavassdraget</t>
  </si>
  <si>
    <t>433</t>
  </si>
  <si>
    <t>Godal</t>
  </si>
  <si>
    <t>016.ADAZ</t>
  </si>
  <si>
    <t>2015-12-03T00:00:00</t>
  </si>
  <si>
    <t>Godfarfoss</t>
  </si>
  <si>
    <t>GODFARFOSS KRAFT AS</t>
  </si>
  <si>
    <t>891634102</t>
  </si>
  <si>
    <t>015.N21</t>
  </si>
  <si>
    <t>2025-05-24T00:00:00</t>
  </si>
  <si>
    <t>[{'AdressatID': 42707, 'Driftselskap': False, 'Hovedeier': True, 'Navn': 'GODFARFOSS KRAFT AS', 'OrgNr': 891634102, 'ProsentAndel': 100.0, 'ProsentAndelDrift': 100.0}, {'AdressatID': 72344, 'Driftselskap': True, 'Hovedeier': False, 'Navn': 'USTEKVEIKJA ENERGI HOLDING AS', 'OrgNr': 929360036, 'ProsentAndel': None, 'ProsentAndelDrift': None}]</t>
  </si>
  <si>
    <t>[{'KdbID': 5475, 'Tittel': 'Godfarfoss kraftverk'}, {'KdbID': 7956, 'Tittel': 'Planendring - Godfarfoss kraftverk'}, {'KdbID': 8581, 'Tittel': 'Planendring Godfarfoss kraftverk 2020'}]</t>
  </si>
  <si>
    <t>Gosland</t>
  </si>
  <si>
    <t>2016-05-13T00:00:00</t>
  </si>
  <si>
    <t>[{'AdressatID': 10444, 'Driftselskap': True, 'Hovedeier': False, 'Navn': 'VOSS ENERGI PRODUKSJON AS', 'OrgNr': 984665776, 'ProsentAndel': None, 'ProsentAndelDrift': None}, {'AdressatID': 63604, 'Driftselskap': False, 'Hovedeier': True, 'Navn': 'SMÅKRAFT USPP 1 AS', 'OrgNr': 928613313, 'ProsentAndel': 100.0, 'ProsentAndelDrift': 100.0}]</t>
  </si>
  <si>
    <t>[{'KdbID': 6553, 'Tittel': 'Gosland kraftverk'}]</t>
  </si>
  <si>
    <t>Govddesåga</t>
  </si>
  <si>
    <t>161.ABB</t>
  </si>
  <si>
    <t>2016-07-07T00:00:00</t>
  </si>
  <si>
    <t>[{'KdbID': 5253, 'Tittel': 'Govddesåga kraftverk'}]</t>
  </si>
  <si>
    <t>Graffer</t>
  </si>
  <si>
    <t>GRAFFER KRAFT AS</t>
  </si>
  <si>
    <t>920804039</t>
  </si>
  <si>
    <t>Lom</t>
  </si>
  <si>
    <t>002.DHB4Z</t>
  </si>
  <si>
    <t>2021-06-15T00:00:00</t>
  </si>
  <si>
    <t>[{'AdressatID': 43794, 'Driftselskap': True, 'Hovedeier': False, 'Navn': 'CLEMENS KRAFT AS', 'OrgNr': 912511480, 'ProsentAndel': None, 'ProsentAndelDrift': None}, {'AdressatID': 52955, 'Driftselskap': False, 'Hovedeier': True, 'Navn': 'GRAFFER KRAFT AS', 'OrgNr': 920804039, 'ProsentAndel': 100.0, 'ProsentAndelDrift': 100.0}]</t>
  </si>
  <si>
    <t>[{'KdbID': 5746, 'Tittel': 'Graffer kraftverk'}]</t>
  </si>
  <si>
    <t>Grana</t>
  </si>
  <si>
    <t>121.BA0</t>
  </si>
  <si>
    <t>1982-04-01T00:00:00</t>
  </si>
  <si>
    <t>[{'KdbID': 447, 'Tittel': 'Orkla-Grana utbyggingen - Erverv og regulering av Orkla og Grana'}, {'KdbID': 760, 'Tittel': 'Orkla-Grana utbyggingen - Grana Kraftverk, Planendring'}, {'KdbID': 770, 'Tittel': 'Orkla-Grana utbyggingen - Ekspropriasjon for bygging av kraftverk'}, {'KdbID': 9480, 'Tittel': 'Søknad - Midlertidig fravik fra manøvreringsreglementet - Grana\xa0kraftverk\xa0-\xa0KRAFTVERKENE I ORKLA DA - Fravik fra minstevannføring;  - 01.10.2024 til 20.10.2024- Referansenr:DNZYAE'}]</t>
  </si>
  <si>
    <t>Grasbotntjørni</t>
  </si>
  <si>
    <t>Ulvik</t>
  </si>
  <si>
    <t>051.2AAA4</t>
  </si>
  <si>
    <t>2016-10-25T00:00:00</t>
  </si>
  <si>
    <t>[{'AdressatID': 10437, 'Driftselskap': False, 'Hovedeier': False, 'Navn': 'SUNNHORDLAND KRAFTLAG AS', 'OrgNr': 916435711, 'ProsentAndel': 8.75, 'ProsentAndelDrift': 8.75}, {'AdressatID': 25445, 'Driftselskap': False, 'Hovedeier': False, 'Navn': 'EVINY FORNYBAR AS', 'OrgNr': 876944642, 'ProsentAndel': 26.25, 'ProsentAndelDrift': 26.25}, {'AdressatID': 41005, 'Driftselskap': True, 'Hovedeier': True, 'Navn': 'STATKRAFT ENERGI AS', 'OrgNr': 987059729, 'ProsentAndel': 65.0, 'ProsentAndelDrift': 65.0}]</t>
  </si>
  <si>
    <t>[{'KdbID': 4787, 'Tittel': 'Grasbotntjørni pumpe - Sima kraftverk'}]</t>
  </si>
  <si>
    <t>Osa-vassdraget</t>
  </si>
  <si>
    <t>225</t>
  </si>
  <si>
    <t>Grasdalen</t>
  </si>
  <si>
    <t>KRAFTKAMERATANE AS</t>
  </si>
  <si>
    <t>980392775</t>
  </si>
  <si>
    <t>055.53</t>
  </si>
  <si>
    <t>[{'AdressatID': 43498, 'Driftselskap': True, 'Hovedeier': True, 'Navn': 'KRAFTKAMERATANE AS', 'OrgNr': 980392775, 'ProsentAndel': 100.0, 'ProsentAndelDrift': 100.0}]</t>
  </si>
  <si>
    <t>[{'KdbID': 2721, 'Tittel': 'Minikraftverk i Storelva'}]</t>
  </si>
  <si>
    <t>Gravbrøtfossen</t>
  </si>
  <si>
    <t>GRAVBRØTFOSS KRAFT AS</t>
  </si>
  <si>
    <t>991089330</t>
  </si>
  <si>
    <t>128.F0</t>
  </si>
  <si>
    <t>2009-06-05T00:00:00</t>
  </si>
  <si>
    <t>[{'AdressatID': 42688, 'Driftselskap': True, 'Hovedeier': True, 'Navn': 'GRAVBRØTFOSS KRAFT AS', 'OrgNr': 991089330, 'ProsentAndel': 100.0, 'ProsentAndelDrift': 100.0}]</t>
  </si>
  <si>
    <t>[{'KdbID': 3968, 'Tittel': 'Gravbrøtfossen kraftverk'}]</t>
  </si>
  <si>
    <t>Gravfoss I</t>
  </si>
  <si>
    <t>012.D22</t>
  </si>
  <si>
    <t>1931-10-01T00:00:00</t>
  </si>
  <si>
    <t>Gravfoss II</t>
  </si>
  <si>
    <t>012.D12</t>
  </si>
  <si>
    <t>1996-05-10T00:00:00</t>
  </si>
  <si>
    <t>[{'KdbID': 1800, 'Tittel': 'Nytt Gravfoss kraftverk'}]</t>
  </si>
  <si>
    <t>Gravvold</t>
  </si>
  <si>
    <t>GRAVVOLD KRAFT AS</t>
  </si>
  <si>
    <t>920932800</t>
  </si>
  <si>
    <t>112.3B21</t>
  </si>
  <si>
    <t>2007-11-21T00:00:00</t>
  </si>
  <si>
    <t>[{'AdressatID': 63652, 'Driftselskap': True, 'Hovedeier': True, 'Navn': 'GRAVVOLD KRAFT AS', 'OrgNr': 920932800, 'ProsentAndel': 100.0, 'ProsentAndelDrift': 100.0}]</t>
  </si>
  <si>
    <t>[{'KdbID': 3752, 'Tittel': 'Gravvoldsagelva mikrokraftverk'}]</t>
  </si>
  <si>
    <t>Gresslifoss</t>
  </si>
  <si>
    <t>123.D81</t>
  </si>
  <si>
    <t>1966-01-01T00:00:00</t>
  </si>
  <si>
    <t>[{'KdbID': 334, 'Tittel': 'Ekspropriasjon for utbygging av Gresslifoss kraftverk'}, {'KdbID': 1023, 'Tittel': 'Ekspropr. m.v. for utb. av Gresslifoss kraftverk - Planendring'}, {'KdbID': 9116, 'Tittel': 'Revisjon av konsesjonsvilkår for Neavassdraget'}, {'KdbID': 9448, 'Tittel': 'Søknad - Midlertidig fravik fra manøvreringsreglementet - Gresslifoss\xa0kraftverk\xa0-\xa0STATKRAFT ENERGI AS - Tapping under LRV ;  - 24.07.2024 til 01.10.2024- Referansenr:EYLLZR'}, {'KdbID': 9525, 'Tittel': 'Søknad - Midlertidig fravik fra manøvreringsreglementet - Gresslifoss\xa0kraftverk\xa0-\xa0STATKRAFT ENERGI AS - Tapping under LRV ;  - 24.07.2024 til 20.12.2024- Referansenr:HWBILI'}]</t>
  </si>
  <si>
    <t>Grimo</t>
  </si>
  <si>
    <t>GRIMOKRAFT AS</t>
  </si>
  <si>
    <t>992185228</t>
  </si>
  <si>
    <t>048.1</t>
  </si>
  <si>
    <t>2011-03-21T00:00:00</t>
  </si>
  <si>
    <t>[{'AdressatID': 43470, 'Driftselskap': True, 'Hovedeier': True, 'Navn': 'GRIMOKRAFT AS', 'OrgNr': 992185228, 'ProsentAndel': 100.0, 'ProsentAndelDrift': 100.0}]</t>
  </si>
  <si>
    <t>[{'KdbID': 5284, 'Tittel': 'Grimelva minikraftverk'}]</t>
  </si>
  <si>
    <t>Grislefoss</t>
  </si>
  <si>
    <t>023.A2A</t>
  </si>
  <si>
    <t>Grovane</t>
  </si>
  <si>
    <t>GROVANE KRAFTVERK AS</t>
  </si>
  <si>
    <t>979206968</t>
  </si>
  <si>
    <t>084.E5</t>
  </si>
  <si>
    <t>[{'AdressatID': 43301, 'Driftselskap': True, 'Hovedeier': True, 'Navn': 'GROVANE KRAFTVERK AS', 'OrgNr': 979206968, 'ProsentAndel': 100.0, 'ProsentAndelDrift': 100.0}]</t>
  </si>
  <si>
    <t>[{'KdbID': 2299, 'Tittel': 'Grovane minikraftverk'}]</t>
  </si>
  <si>
    <t>Grove</t>
  </si>
  <si>
    <t>EVA VISTEKLEIVEN</t>
  </si>
  <si>
    <t>924632100</t>
  </si>
  <si>
    <t>002.DHB2AZ</t>
  </si>
  <si>
    <t>2006-07-27T00:00:00</t>
  </si>
  <si>
    <t>[{'AdressatID': 51167, 'Driftselskap': True, 'Hovedeier': False, 'Navn': 'VISTEKLEIVEN DA', 'OrgNr': 913384407, 'ProsentAndel': None, 'ProsentAndelDrift': None}, {'AdressatID': 60604, 'Driftselskap': False, 'Hovedeier': True, 'Navn': 'EVA VISTEKLEIVEN', 'OrgNr': 924632100, 'ProsentAndel': 100.0, 'ProsentAndelDrift': 100.0}]</t>
  </si>
  <si>
    <t>[{'KdbID': 3972, 'Tittel': 'Grove mikrokraftverk'}]</t>
  </si>
  <si>
    <t>Grunnevatn</t>
  </si>
  <si>
    <t>084.5DB</t>
  </si>
  <si>
    <t>2016-04-08T00:00:00</t>
  </si>
  <si>
    <t>[{'AdressatID': 25454, 'Driftselskap': True, 'Hovedeier': True, 'Navn': 'SFE AS', 'OrgNr': 984882106, 'ProsentAndel': 100.0, 'ProsentAndelDrift': 100.0}]</t>
  </si>
  <si>
    <t>[{'KdbID': 6102, 'Tittel': 'Grunnevatn kraftverk'}]</t>
  </si>
  <si>
    <t>Skorveelva</t>
  </si>
  <si>
    <t>344</t>
  </si>
  <si>
    <t>Grunnåi</t>
  </si>
  <si>
    <t>GRUNNÅI KRAFTVERK AS</t>
  </si>
  <si>
    <t>977023998</t>
  </si>
  <si>
    <t>Seljord</t>
  </si>
  <si>
    <t>016.CC3Z</t>
  </si>
  <si>
    <t>2006-01-28T00:00:00</t>
  </si>
  <si>
    <t>[{'AdressatID': 40113, 'Driftselskap': True, 'Hovedeier': False, 'Navn': 'SKAGERAK KRAFT AS', 'OrgNr': 979563531, 'ProsentAndel': None, 'ProsentAndelDrift': None}, {'AdressatID': 41010, 'Driftselskap': False, 'Hovedeier': True, 'Navn': 'GRUNNÅI KRAFTVERK AS', 'OrgNr': 977023998, 'ProsentAndel': 100.0, 'ProsentAndelDrift': 100.0}]</t>
  </si>
  <si>
    <t>[{'KdbID': 2851, 'Tittel': 'Grunnåi kraftverk'}, {'KdbID': 7686, 'Tittel': 'Nytt aggregat - Grunnåi kraftverk'}, {'KdbID': 8687, 'Tittel': 'Midlertidig fravik fra manøvreringsreglementet - Grunnåi\xa0kraftverk\xa0-\xa0GRUNNÅI KRAFTVERK AS - Tapping under LRV ;  - 25.08.2021 til 25.10.2021- Referansenr:VLNYFZ'}]</t>
  </si>
  <si>
    <t>Gryta</t>
  </si>
  <si>
    <t>112.C2</t>
  </si>
  <si>
    <t>2009-04-28T00:00:00</t>
  </si>
  <si>
    <t>[{'KdbID': 4514, 'Tittel': 'Gryta kraftverk'}]</t>
  </si>
  <si>
    <t>Grytdalen</t>
  </si>
  <si>
    <t>113.41C</t>
  </si>
  <si>
    <t>2012-03-02T00:00:00</t>
  </si>
  <si>
    <t>[{'KdbID': 4135, 'Tittel': 'Grytdalen kraftverk'}, {'KdbID': 5594, 'Tittel': 'Kvennhusbekken, overføring'}]</t>
  </si>
  <si>
    <t>Grytåa</t>
  </si>
  <si>
    <t>459</t>
  </si>
  <si>
    <t>Gryte I</t>
  </si>
  <si>
    <t>GRYTE KRAFT AS</t>
  </si>
  <si>
    <t>988119342</t>
  </si>
  <si>
    <t>037.6B</t>
  </si>
  <si>
    <t>2006-12-19T00:00:00</t>
  </si>
  <si>
    <t>[{'AdressatID': 43465, 'Driftselskap': True, 'Hovedeier': True, 'Navn': 'GRYTE KRAFT AS', 'OrgNr': 988119342, 'ProsentAndel': 100.0, 'ProsentAndelDrift': 100.0}]</t>
  </si>
  <si>
    <t>[{'KdbID': 6699, 'Tittel': 'Gryte kraftverk'}]</t>
  </si>
  <si>
    <t>Sagelva</t>
  </si>
  <si>
    <t>Gryte II</t>
  </si>
  <si>
    <t>037.6b</t>
  </si>
  <si>
    <t>2018-02-15T00:00:00</t>
  </si>
  <si>
    <t>[{'KdbID': 3955, 'Tittel': 'Gryte 2 kraftverk i Sagelva'}]</t>
  </si>
  <si>
    <t>Grytefoss</t>
  </si>
  <si>
    <t>MYKLEBY MASKIN AS</t>
  </si>
  <si>
    <t>950311916</t>
  </si>
  <si>
    <t>Lier</t>
  </si>
  <si>
    <t>011.B7</t>
  </si>
  <si>
    <t>1907-01-01T00:00:00</t>
  </si>
  <si>
    <t>[{'AdressatID': 42558, 'Driftselskap': True, 'Hovedeier': True, 'Navn': 'MYKLEBY MASKIN AS', 'OrgNr': 950311916, 'ProsentAndel': 100.0, 'ProsentAndelDrift': 100.0}]</t>
  </si>
  <si>
    <t>Lierelva</t>
  </si>
  <si>
    <t>042</t>
  </si>
  <si>
    <t>Grytendal</t>
  </si>
  <si>
    <t>Bindal</t>
  </si>
  <si>
    <t>144.61AB0</t>
  </si>
  <si>
    <t>2018-11-27T00:00:00</t>
  </si>
  <si>
    <t>[{'KdbID': 3812, 'Tittel': 'Grytendal kraftverk'}]</t>
  </si>
  <si>
    <t>Bogelva</t>
  </si>
  <si>
    <t>608</t>
  </si>
  <si>
    <t>Grytfossen</t>
  </si>
  <si>
    <t>Nordre Land</t>
  </si>
  <si>
    <t>012.EDAAZ</t>
  </si>
  <si>
    <t>2005-04-07T00:00:00</t>
  </si>
  <si>
    <t>[{'KdbID': 2759, 'Tittel': 'Minikraftverk i Livasselva (Grytfossen minikraftverk)'}]</t>
  </si>
  <si>
    <t>Grytneselva</t>
  </si>
  <si>
    <t>LANGFJORDKRAFT AS</t>
  </si>
  <si>
    <t>896921762</t>
  </si>
  <si>
    <t>104.310</t>
  </si>
  <si>
    <t>2016-03-17T00:00:00</t>
  </si>
  <si>
    <t>[{'AdressatID': 10477, 'Driftselskap': True, 'Hovedeier': False, 'Navn': 'ISTAD KRAFT AS', 'OrgNr': 923253920, 'ProsentAndel': None, 'ProsentAndelDrift': None}, {'AdressatID': 43795, 'Driftselskap': False, 'Hovedeier': True, 'Navn': 'LANGFJORDKRAFT AS', 'OrgNr': 896921762, 'ProsentAndel': 100.0, 'ProsentAndelDrift': 100.0}]</t>
  </si>
  <si>
    <t>[{'KdbID': 5097, 'Tittel': 'Grytneselva kraftverk'}, {'KdbID': 6687, 'Tittel': 'Grytneselva kraftverk'}]</t>
  </si>
  <si>
    <t>443</t>
  </si>
  <si>
    <t>Gryto</t>
  </si>
  <si>
    <t>GRYTO KRAFT AS</t>
  </si>
  <si>
    <t>986774815</t>
  </si>
  <si>
    <t>052.51Z</t>
  </si>
  <si>
    <t>2006-08-21T00:00:00</t>
  </si>
  <si>
    <t>[{'AdressatID': 42447, 'Driftselskap': True, 'Hovedeier': True, 'Navn': 'GRYTO KRAFT AS', 'OrgNr': 986774815, 'ProsentAndel': 100.0, 'ProsentAndelDrift': 100.0}]</t>
  </si>
  <si>
    <t>[{'KdbID': 2965, 'Tittel': 'Gryto kraftverk'}]</t>
  </si>
  <si>
    <t>Kastdalselvi</t>
  </si>
  <si>
    <t>234</t>
  </si>
  <si>
    <t>Grytten</t>
  </si>
  <si>
    <t>103.A20</t>
  </si>
  <si>
    <t>1975-03-13T00:00:00</t>
  </si>
  <si>
    <t>[{'AdressatID': 25766, 'Driftselskap': False, 'Hovedeier': False, 'Navn': 'TAFJORD KRAFTPRODUKSJON AS', 'OrgNr': 977461898, 'ProsentAndel': 12.0, 'ProsentAndelDrift': 12.0}, {'AdressatID': 41005, 'Driftselskap': True, 'Hovedeier': True, 'Navn': 'STATKRAFT ENERGI AS', 'OrgNr': 987059729, 'ProsentAndel': 88.0, 'ProsentAndelDrift': 88.0}]</t>
  </si>
  <si>
    <t>[{'KdbID': 380, 'Tittel': 'Grytten kraftanlegg - Planendring, endring av reg.grenser m.m.'}, {'KdbID': 886, 'Tittel': 'Statsreg. for utbygging av Grytten kraftanlegg m.v., Mardøla'}, {'KdbID': 8678, 'Tittel': 'Grytten kraftanlegg - revisjon av konsesjonsvilkår'}]</t>
  </si>
  <si>
    <t>432</t>
  </si>
  <si>
    <t>GRYTTEN ARILD</t>
  </si>
  <si>
    <t>969834278</t>
  </si>
  <si>
    <t>084.4</t>
  </si>
  <si>
    <t>[{'AdressatID': 24259, 'Driftselskap': True, 'Hovedeier': True, 'Navn': 'GRYTTEN ARILD', 'OrgNr': 969834278, 'ProsentAndel': 100.0, 'ProsentAndelDrift': 100.0}]</t>
  </si>
  <si>
    <t>[{'KdbID': 2060, 'Tittel': 'Mikrokraftverk i Vågane'}]</t>
  </si>
  <si>
    <t>Grytåga</t>
  </si>
  <si>
    <t>149.5B</t>
  </si>
  <si>
    <t>2023-01-24T00:00:00</t>
  </si>
  <si>
    <t>[{'KdbID': 519, 'Tittel': 'Erverv og reg. av Grytåvassdr. og reg. og overf. av Hundålavassdr.'}, {'KdbID': 1136, 'Tittel': 'Erv. og reg. Grytåvassdraget - Planendring'}, {'KdbID': 1767, 'Tittel': 'Endr. av vilkår for Grytåga krv., Helgeland kraftlag.'}, {'KdbID': 8433, 'Tittel': 'Konsesjonspliktvurdering av økt slukeevne i Grytåa kraftverk'}]</t>
  </si>
  <si>
    <t>628</t>
  </si>
  <si>
    <t>Grytåga Småkraftverk</t>
  </si>
  <si>
    <t>GRYTÅGA SETTEFISK AS</t>
  </si>
  <si>
    <t>978647103</t>
  </si>
  <si>
    <t>149.5A</t>
  </si>
  <si>
    <t>[{'AdressatID': 42945, 'Driftselskap': True, 'Hovedeier': True, 'Navn': 'GRYTÅGA SETTEFISK AS', 'OrgNr': 978647103, 'ProsentAndel': 100.0, 'ProsentAndelDrift': 100.0}]</t>
  </si>
  <si>
    <t>[{'KdbID': 2951, 'Tittel': 'Grytåga kraftverk - uttak vann fra tilløpstunnel til minikraftverk'}]</t>
  </si>
  <si>
    <t>Grytåi</t>
  </si>
  <si>
    <t>019.F2D1</t>
  </si>
  <si>
    <t>2012-06-25T00:00:00</t>
  </si>
  <si>
    <t>[{'KdbID': 5718, 'Tittel': 'Grytåa minikraftverk'}]</t>
  </si>
  <si>
    <t>Grytåne</t>
  </si>
  <si>
    <t>RUDLENDE OLAV</t>
  </si>
  <si>
    <t>969416360</t>
  </si>
  <si>
    <t>Hægebostad</t>
  </si>
  <si>
    <t>024.D1B</t>
  </si>
  <si>
    <t>2017-12-31T00:00:00</t>
  </si>
  <si>
    <t>[{'AdressatID': 51117, 'Driftselskap': True, 'Hovedeier': True, 'Navn': 'RUDLENDE OLAV', 'OrgNr': 969416360, 'ProsentAndel': 100.0, 'ProsentAndelDrift': 100.0}]</t>
  </si>
  <si>
    <t>[{'KdbID': 5517, 'Tittel': 'Grytåni mikrokraftverk'}]</t>
  </si>
  <si>
    <t>Lygna</t>
  </si>
  <si>
    <t>123</t>
  </si>
  <si>
    <t>Grøa</t>
  </si>
  <si>
    <t>NEAS ENERGI TELEKOM AS</t>
  </si>
  <si>
    <t>960684737</t>
  </si>
  <si>
    <t>109.AB</t>
  </si>
  <si>
    <t>1999-11-24T00:00:00</t>
  </si>
  <si>
    <t>[{'AdressatID': 12117, 'Driftselskap': True, 'Hovedeier': True, 'Navn': 'NEAS ENERGI TELEKOM AS', 'OrgNr': 960684737, 'ProsentAndel': 100.0, 'ProsentAndelDrift': 100.0}]</t>
  </si>
  <si>
    <t>[{'KdbID': 639, 'Tittel': 'Erverv og utbygging av Grøavassdraget'}]</t>
  </si>
  <si>
    <t>Grødem</t>
  </si>
  <si>
    <t>033.12</t>
  </si>
  <si>
    <t>[{'AdressatID': 42738, 'Driftselskap': True, 'Hovedeier': True, 'Navn': 'UKJENT', 'OrgNr': None, 'ProsentAndel': 100.0, 'ProsentAndelDrift': 100.0}]</t>
  </si>
  <si>
    <t>[{'KdbID': 2543, 'Tittel': 'Grødem mikrokraftverk'}]</t>
  </si>
  <si>
    <t>Grødemfoss</t>
  </si>
  <si>
    <t>027.1B</t>
  </si>
  <si>
    <t>1939-10-03T00:00:00</t>
  </si>
  <si>
    <t>[{'KdbID': 8688, 'Tittel': 'Midlertidig senkning under LRV i Smievatnet - Grødemfoss kraftverl Referansenr:TLXSCV'}, {'KdbID': 9202, 'Tittel': 'Regulering av Smievatn, Grødemsvassdraget'}]</t>
  </si>
  <si>
    <t>Grødeimelva</t>
  </si>
  <si>
    <t>135</t>
  </si>
  <si>
    <t>Grøndal</t>
  </si>
  <si>
    <t>BJØRN STÅLE RETTEDAL</t>
  </si>
  <si>
    <t>983813313</t>
  </si>
  <si>
    <t>030.42Z</t>
  </si>
  <si>
    <t>[{'AdressatID': 60428, 'Driftselskap': True, 'Hovedeier': True, 'Navn': 'BJØRN STÅLE RETTEDAL', 'OrgNr': 983813313, 'ProsentAndel': 100.0, 'ProsentAndelDrift': 100.0}]</t>
  </si>
  <si>
    <t>[{'KdbID': 2014, 'Tittel': 'Mikrokraftverk Forsandåna'}]</t>
  </si>
  <si>
    <t>Forsandåna</t>
  </si>
  <si>
    <t>Grøndalselva</t>
  </si>
  <si>
    <t>GRØNDALSELVA AS</t>
  </si>
  <si>
    <t>998876532</t>
  </si>
  <si>
    <t>139.D5A0</t>
  </si>
  <si>
    <t>2022-10-04T00:00:00</t>
  </si>
  <si>
    <t>[{'AdressatID': 51999, 'Driftselskap': False, 'Hovedeier': True, 'Navn': 'GRØNDALSELVA AS', 'OrgNr': 998876532, 'ProsentAndel': 100.0, 'ProsentAndelDrift': 100.0}, {'AdressatID': 52024, 'Driftselskap': True, 'Hovedeier': False, 'Navn': 'CAPTIVA ASSET MANAGEMENT AS', 'OrgNr': 991840192, 'ProsentAndel': None, 'ProsentAndelDrift': None}]</t>
  </si>
  <si>
    <t>[{'KdbID': 5358, 'Tittel': 'Grøndalselva kraftverk'}]</t>
  </si>
  <si>
    <t>GRØNDALSELVA KRAFT AS</t>
  </si>
  <si>
    <t>921862679</t>
  </si>
  <si>
    <t>036.E3AZ</t>
  </si>
  <si>
    <t>2021-12-03T00:00:00</t>
  </si>
  <si>
    <t>[{'AdressatID': 60985, 'Driftselskap': True, 'Hovedeier': True, 'Navn': 'GRØNDALSELVA KRAFT AS', 'OrgNr': 921862679, 'ProsentAndel': 100.0, 'ProsentAndelDrift': 100.0}]</t>
  </si>
  <si>
    <t>[{'KdbID': 5069, 'Tittel': 'Grøndalselva kraftverk'}]</t>
  </si>
  <si>
    <t>Grøndalsvatn</t>
  </si>
  <si>
    <t>063.D2</t>
  </si>
  <si>
    <t>1975-01-01T00:00:00</t>
  </si>
  <si>
    <t>[{'KdbID': 376, 'Tittel': 'Reg. og overf. i Eksingedalsvassdraget, Evanger kraftv.'}, {'KdbID': 7525, 'Tittel': 'Grøndalen pumpestasjon, utskifting/totalrehabilitering og nytt tappeløp i dam Grøndalen'}]</t>
  </si>
  <si>
    <t>Grøneng</t>
  </si>
  <si>
    <t>GRØNENG KRAFTVERK AS</t>
  </si>
  <si>
    <t>987281995</t>
  </si>
  <si>
    <t>2006-01-23T00:00:00</t>
  </si>
  <si>
    <t>[{'AdressatID': 43473, 'Driftselskap': True, 'Hovedeier': True, 'Navn': 'GRØNENG KRAFTVERK AS', 'OrgNr': 987281995, 'ProsentAndel': 100.0, 'ProsentAndelDrift': 100.0}]</t>
  </si>
  <si>
    <t>[{'KdbID': 2984, 'Tittel': 'Grøneng minikraftverk'}]</t>
  </si>
  <si>
    <t>Grønhaug</t>
  </si>
  <si>
    <t>GRØNHAUG KRAFTVERK A/S</t>
  </si>
  <si>
    <t>881066882</t>
  </si>
  <si>
    <t>064.2B</t>
  </si>
  <si>
    <t>[{'AdressatID': 43699, 'Driftselskap': True, 'Hovedeier': True, 'Navn': 'GRØNHAUG KRAFTVERK A/S', 'OrgNr': 881066882, 'ProsentAndel': 100.0, 'ProsentAndelDrift': 100.0}]</t>
  </si>
  <si>
    <t>[{'KdbID': 2264, 'Tittel': 'Grønnhaug kraftverk Stølselvi i Modalen'}]</t>
  </si>
  <si>
    <t>Stølselva</t>
  </si>
  <si>
    <t>Grønhovdelva</t>
  </si>
  <si>
    <t>ANDERS BJØRNSRUD</t>
  </si>
  <si>
    <t>981187725</t>
  </si>
  <si>
    <t>Sigdal</t>
  </si>
  <si>
    <t>012.BD2Z</t>
  </si>
  <si>
    <t>[{'AdressatID': 50273, 'Driftselskap': True, 'Hovedeier': True, 'Navn': 'ANDERS BJØRNSRUD', 'OrgNr': 981187725, 'ProsentAndel': 100.0, 'ProsentAndelDrift': 100.0}]</t>
  </si>
  <si>
    <t>[{'KdbID': 3482, 'Tittel': 'Grønhovelva mikrokraftverk'}]</t>
  </si>
  <si>
    <t>Grønlielva</t>
  </si>
  <si>
    <t>LHI SOLARWIND HYDRO GRØNLIELVA 2641 AS</t>
  </si>
  <si>
    <t>991936505</t>
  </si>
  <si>
    <t>Salangen</t>
  </si>
  <si>
    <t>191.4B</t>
  </si>
  <si>
    <t>2015-09-28T00:00:00</t>
  </si>
  <si>
    <t>[{'AdressatID': 43873, 'Driftselskap': True, 'Hovedeier': True, 'Navn': 'LHI SOLARWIND HYDRO GRØNLIELVA 2641 AS', 'OrgNr': 991936505, 'ProsentAndel': 100.0, 'ProsentAndelDrift': 100.0}]</t>
  </si>
  <si>
    <t>[{'KdbID': 4670, 'Tittel': 'Grønlielva kraftverk'}]</t>
  </si>
  <si>
    <t>Løkseelva (Røyrbakkelva)</t>
  </si>
  <si>
    <t>782</t>
  </si>
  <si>
    <t>Grønnedal</t>
  </si>
  <si>
    <t>105.4A6</t>
  </si>
  <si>
    <t>1947-01-01T00:00:00</t>
  </si>
  <si>
    <t>OPPDØLSELVA</t>
  </si>
  <si>
    <t>440</t>
  </si>
  <si>
    <t>Grønningselva</t>
  </si>
  <si>
    <t>MOKRAFT AS</t>
  </si>
  <si>
    <t>991509003</t>
  </si>
  <si>
    <t>125.4F2</t>
  </si>
  <si>
    <t>2019-12-19T00:00:00</t>
  </si>
  <si>
    <t>[{'AdressatID': 43180, 'Driftselskap': True, 'Hovedeier': True, 'Navn': 'MOKRAFT AS', 'OrgNr': 991509003, 'ProsentAndel': 100.0, 'ProsentAndelDrift': 100.0}]</t>
  </si>
  <si>
    <t>[{'KdbID': 5936, 'Tittel': 'Grønningselva minikraftverk'}]</t>
  </si>
  <si>
    <t>Hopla</t>
  </si>
  <si>
    <t>508</t>
  </si>
  <si>
    <t>Grønsdal</t>
  </si>
  <si>
    <t>055.C1</t>
  </si>
  <si>
    <t>1948-12-12T00:00:00</t>
  </si>
  <si>
    <t>[{'KdbID': 1206, 'Tittel': 'Ny konsesjon for Samnangervassdraget'}, {'KdbID': 7764, 'Tittel': 'Samnangervassdraget - Fastsettelse av minstevannføring'}]</t>
  </si>
  <si>
    <t>Grønvollfoss</t>
  </si>
  <si>
    <t>016.F51</t>
  </si>
  <si>
    <t>1933-01-01T00:00:00</t>
  </si>
  <si>
    <t>Grøslandselva</t>
  </si>
  <si>
    <t>Flå</t>
  </si>
  <si>
    <t>012.CC4B</t>
  </si>
  <si>
    <t>2018-06-14T00:00:00</t>
  </si>
  <si>
    <t>[{'KdbID': 6556, 'Tittel': 'Nedre Grøslandselv kraftverk'}]</t>
  </si>
  <si>
    <t>Grøtte</t>
  </si>
  <si>
    <t>011.A0</t>
  </si>
  <si>
    <t>Grøvla</t>
  </si>
  <si>
    <t>084.AB2B</t>
  </si>
  <si>
    <t>2011-11-23T00:00:00</t>
  </si>
  <si>
    <t>[{'KdbID': 4728, 'Tittel': 'Grøvla kraftverk'}, {'KdbID': 8324, 'Tittel': 'Grøvla Kraftverk - økt slukeevne'}]</t>
  </si>
  <si>
    <t>Gråklubben</t>
  </si>
  <si>
    <t>GRÅKLUBBEN KRAFTVERK AS</t>
  </si>
  <si>
    <t>999315720</t>
  </si>
  <si>
    <t>053.B</t>
  </si>
  <si>
    <t>2014-03-01T00:00:00</t>
  </si>
  <si>
    <t>[{'AdressatID': 43328, 'Driftselskap': False, 'Hovedeier': True, 'Navn': 'GRÅKLUBBEN KRAFTVERK AS', 'OrgNr': 999315720, 'ProsentAndel': 100.0, 'ProsentAndelDrift': 100.0}, {'AdressatID': 53027, 'Driftselskap': True, 'Hovedeier': False, 'Navn': 'FOSSBERG KRAFT AS', 'OrgNr': 920721087, 'ProsentAndel': None, 'ProsentAndelDrift': None}]</t>
  </si>
  <si>
    <t>[{'KdbID': 5732, 'Tittel': 'Gråklubbelva Minikraftverk'}]</t>
  </si>
  <si>
    <t>Gråsjø</t>
  </si>
  <si>
    <t>112.BB</t>
  </si>
  <si>
    <t>1970-06-10T00:00:00</t>
  </si>
  <si>
    <t>[{'KdbID': 26, 'Tittel': 'Statsregulering av Folla-Vindølavassdragene m.v. i Trollheimen'}, {'KdbID': 1055, 'Tittel': 'Statsreg. av Folla-Vindølavassdr. i Møre og Romsdal - Planendr.'}]</t>
  </si>
  <si>
    <t>Gudåa</t>
  </si>
  <si>
    <t>MERAKER KRAFT AS</t>
  </si>
  <si>
    <t>913293940</t>
  </si>
  <si>
    <t>124.C3Z</t>
  </si>
  <si>
    <t>2020-06-04T00:00:00</t>
  </si>
  <si>
    <t>[{'AdressatID': 43794, 'Driftselskap': True, 'Hovedeier': False, 'Navn': 'CLEMENS KRAFT AS', 'OrgNr': 912511480, 'ProsentAndel': None, 'ProsentAndelDrift': None}, {'AdressatID': 51223, 'Driftselskap': False, 'Hovedeier': True, 'Navn': 'MERAKER KRAFT AS', 'OrgNr': 913293940, 'ProsentAndel': 100.0, 'ProsentAndelDrift': 100.0}]</t>
  </si>
  <si>
    <t>[{'KdbID': 7157, 'Tittel': 'Gudåa kraftverk'}]</t>
  </si>
  <si>
    <t>Gullbergelva</t>
  </si>
  <si>
    <t>GULLBERGELVA KRAFTVERK AS</t>
  </si>
  <si>
    <t>921661509</t>
  </si>
  <si>
    <t>135.3D0</t>
  </si>
  <si>
    <t>2024-07-01T00:00:00</t>
  </si>
  <si>
    <t>[{'AdressatID': 52461, 'Driftselskap': True, 'Hovedeier': True, 'Navn': 'GULLBERGELVA KRAFTVERK AS', 'OrgNr': 921661509, 'ProsentAndel': 100.0, 'ProsentAndelDrift': 100.0}]</t>
  </si>
  <si>
    <t>[{'KdbID': 5660, 'Tittel': 'Gullbergelva kraftverk'}, {'KdbID': 8834, 'Tittel': 'Planendring Gullbergelva kraftverk (endret damplassering)'}]</t>
  </si>
  <si>
    <t>Gunnar Jan Gjerland</t>
  </si>
  <si>
    <t>083.EAA</t>
  </si>
  <si>
    <t>[{'AdressatID': 50090, 'Driftselskap': True, 'Hovedeier': True, 'Navn': 'GUNNAR JAN GJERLAND', 'OrgNr': 969411016, 'ProsentAndel': 100.0, 'ProsentAndelDrift': 100.0}]</t>
  </si>
  <si>
    <t>Guolásjohka</t>
  </si>
  <si>
    <t>Kåfjord</t>
  </si>
  <si>
    <t>206.A10</t>
  </si>
  <si>
    <t>1971-01-21T00:00:00</t>
  </si>
  <si>
    <t>[{'KdbID': 413, 'Tittel': 'Regulering og overføring av Guolasjåkka i Kåfjord m.v.'}, {'KdbID': 7636, 'Tittel': 'Revisjon av konsesjonsvilkår - Guolasjohka i Kåfjord'}]</t>
  </si>
  <si>
    <t>Kåfjordvassdraget</t>
  </si>
  <si>
    <t>822</t>
  </si>
  <si>
    <t>Gurebo</t>
  </si>
  <si>
    <t>GUREBO OLE GUSTAV</t>
  </si>
  <si>
    <t>969572443</t>
  </si>
  <si>
    <t>Grimstad</t>
  </si>
  <si>
    <t>019.AB1A</t>
  </si>
  <si>
    <t>[{'AdressatID': 50075, 'Driftselskap': True, 'Hovedeier': True, 'Navn': 'GUREBO OLE GUSTAV', 'OrgNr': 969572443, 'ProsentAndel': 100.0, 'ProsentAndelDrift': 100.0}]</t>
  </si>
  <si>
    <t>[{'KdbID': 3517, 'Tittel': 'Regulering av Røynevannet - Gurebo krv'}]</t>
  </si>
  <si>
    <t>Gursli</t>
  </si>
  <si>
    <t>GURSLI MINIKRAFTVERK AS</t>
  </si>
  <si>
    <t>992148098</t>
  </si>
  <si>
    <t>026.B22</t>
  </si>
  <si>
    <t>2009-07-20T00:00:00</t>
  </si>
  <si>
    <t>[{'AdressatID': 43183, 'Driftselskap': True, 'Hovedeier': True, 'Navn': 'GURSLI MINIKRAFTVERK AS', 'OrgNr': 992148098, 'ProsentAndel': 100.0, 'ProsentAndelDrift': 100.0}]</t>
  </si>
  <si>
    <t>[{'KdbID': 4450, 'Tittel': 'Gursli minikraftverk'}]</t>
  </si>
  <si>
    <t>Gyl</t>
  </si>
  <si>
    <t>GYL KRAFT AS</t>
  </si>
  <si>
    <t>989776878</t>
  </si>
  <si>
    <t>Tingvoll</t>
  </si>
  <si>
    <t>109.7B</t>
  </si>
  <si>
    <t>2007-08-04T00:00:00</t>
  </si>
  <si>
    <t>[{'AdressatID': 42703, 'Driftselskap': True, 'Hovedeier': True, 'Navn': 'GYL KRAFT AS', 'OrgNr': 989776878, 'ProsentAndel': 100.0, 'ProsentAndelDrift': 100.0}]</t>
  </si>
  <si>
    <t>[{'KdbID': 4513, 'Tittel': 'Gyl kraftverk'}]</t>
  </si>
  <si>
    <t>Gylelva</t>
  </si>
  <si>
    <t>452</t>
  </si>
  <si>
    <t>Gåseflå</t>
  </si>
  <si>
    <t>Vennesla</t>
  </si>
  <si>
    <t>021.B2</t>
  </si>
  <si>
    <t>2016-06-14T00:00:00</t>
  </si>
  <si>
    <t>[{'KdbID': 6526, 'Tittel': 'Minikraftverk Gåseflådammen'}]</t>
  </si>
  <si>
    <t>Gåslonelva</t>
  </si>
  <si>
    <t>GÅSLUNELVA KRAFTVERK AS</t>
  </si>
  <si>
    <t>881920182</t>
  </si>
  <si>
    <t>133.2C1</t>
  </si>
  <si>
    <t>[{'AdressatID': 59148, 'Driftselskap': True, 'Hovedeier': True, 'Navn': 'GÅSLUNELVA KRAFTVERK AS', 'OrgNr': 881920182, 'ProsentAndel': 100.0, 'ProsentAndelDrift': 100.0}]</t>
  </si>
  <si>
    <t>[{'KdbID': 2521, 'Tittel': 'Gåsluna minikraftverk'}]</t>
  </si>
  <si>
    <t>Osaelva</t>
  </si>
  <si>
    <t>Gåsvasselva</t>
  </si>
  <si>
    <t>LIFJELLKRAFT AS</t>
  </si>
  <si>
    <t>988573345</t>
  </si>
  <si>
    <t>155.C8</t>
  </si>
  <si>
    <t>2007-03-01T00:00:00</t>
  </si>
  <si>
    <t>[{'AdressatID': 42695, 'Driftselskap': True, 'Hovedeier': True, 'Navn': 'LIFJELLKRAFT AS', 'OrgNr': 988573345, 'ProsentAndel': 100.0, 'ProsentAndelDrift': 100.0}]</t>
  </si>
  <si>
    <t>[{'KdbID': 2276, 'Tittel': 'Minikraftverk i Gåsvasselva'}, {'KdbID': 3371, 'Tittel': 'Minikraftverk og røyeoppdrett i Gåsvasselva'}]</t>
  </si>
  <si>
    <t>648</t>
  </si>
  <si>
    <t>Hafslund</t>
  </si>
  <si>
    <t>002.A3</t>
  </si>
  <si>
    <t>[{'KdbID': 599, 'Tittel': 'Bygdinreg., ny konsesjon for private (Hafslund og Borregaard)'}]</t>
  </si>
  <si>
    <t>Hagaelva</t>
  </si>
  <si>
    <t>119.2A</t>
  </si>
  <si>
    <t>2005-08-15T00:00:00</t>
  </si>
  <si>
    <t>[{'KdbID': 2469, 'Tittel': 'Minikraftverk i Hagaelva'}]</t>
  </si>
  <si>
    <t>476</t>
  </si>
  <si>
    <t>Hakavik</t>
  </si>
  <si>
    <t>Øvre Eiker</t>
  </si>
  <si>
    <t>012.AB52</t>
  </si>
  <si>
    <t>2019-11-20T00:00:00</t>
  </si>
  <si>
    <t>[{'KdbID': 2345, 'Tittel': 'Fasts. m.regl for Øksnevann og Hajern, Hakavikvassdraget'}]</t>
  </si>
  <si>
    <t>99</t>
  </si>
  <si>
    <t>Hakkstabben</t>
  </si>
  <si>
    <t>ALTA KRAFTLAG SA</t>
  </si>
  <si>
    <t>971029390</t>
  </si>
  <si>
    <t>215.4</t>
  </si>
  <si>
    <t>[{'AdressatID': 10555, 'Driftselskap': True, 'Hovedeier': True, 'Navn': 'ALTA KRAFTLAG SA', 'OrgNr': 971029390, 'ProsentAndel': 100.0, 'ProsentAndelDrift': 100.0}]</t>
  </si>
  <si>
    <t>[{'KdbID': 1821, 'Tittel': 'Reg. av Oldervikvatnet, Finnmark'}, {'KdbID': 8774, 'Tittel': 'Midlertidig fravik fra manøvreringsreglementet - Hakkstabben\xa0kraftverk\xa0-\xa0ALTA KRAFTLAG SA - Tapping under LRV ;  - 01.08.2022 til 01.11.2022- Referansenr:GDACTI'}]</t>
  </si>
  <si>
    <t>Halle</t>
  </si>
  <si>
    <t>BRUNLANES HISTORIELAG</t>
  </si>
  <si>
    <t>994516175</t>
  </si>
  <si>
    <t>015.5A</t>
  </si>
  <si>
    <t>[{'AdressatID': 50461, 'Driftselskap': True, 'Hovedeier': True, 'Navn': 'BRUNLANES HISTORIELAG', 'OrgNr': 994516175, 'ProsentAndel': 100.0, 'ProsentAndelDrift': 100.0}]</t>
  </si>
  <si>
    <t>[{'KdbID': 3962, 'Tittel': 'Halle mikrokraftverk'}]</t>
  </si>
  <si>
    <t>Hallevassdraget</t>
  </si>
  <si>
    <t>Halne</t>
  </si>
  <si>
    <t>015.NDB1</t>
  </si>
  <si>
    <t>Halvdagsåa</t>
  </si>
  <si>
    <t>HALVDAGSÅA KRAFT AS</t>
  </si>
  <si>
    <t>998884063</t>
  </si>
  <si>
    <t>Selbu</t>
  </si>
  <si>
    <t>123.D4</t>
  </si>
  <si>
    <t>2014-11-05T00:00:00</t>
  </si>
  <si>
    <t>[{'AdressatID': 43934, 'Driftselskap': True, 'Hovedeier': True, 'Navn': 'HALVDAGSÅA KRAFT AS', 'OrgNr': 998884063, 'ProsentAndel': 100.0, 'ProsentAndelDrift': 100.0}]</t>
  </si>
  <si>
    <t>[{'KdbID': 5331, 'Tittel': 'Halvdagsåa minikraftverk'}, {'KdbID': 7670, 'Tittel': 'Halvdagsåa minikraftverk, utvidelse'}]</t>
  </si>
  <si>
    <t>Hammerbekken</t>
  </si>
  <si>
    <t>Skaun</t>
  </si>
  <si>
    <t>122.21Z</t>
  </si>
  <si>
    <t>[{'KdbID': 2293, 'Tittel': 'Ombygg/restaur av mikrokraftverk i Hammerbekken'}]</t>
  </si>
  <si>
    <t>Djupdalsbekken</t>
  </si>
  <si>
    <t>Hammeren</t>
  </si>
  <si>
    <t>Oslo</t>
  </si>
  <si>
    <t>006.C2</t>
  </si>
  <si>
    <t>1901-12-21T00:00:00</t>
  </si>
  <si>
    <t>[{'AdressatID': 10242, 'Driftselskap': True, 'Hovedeier': True, 'Navn': 'HAFSLUND KRAFT AS', 'OrgNr': 976894677, 'ProsentAndel': None, 'ProsentAndelDrift': 100.0}, {'AdressatID': 10283, 'Driftselskap': False, 'Hovedeier': False, 'Navn': 'OSLO LYSVERKER AS', 'OrgNr': 962942172, 'ProsentAndel': 100.0, 'ProsentAndelDrift': None}]</t>
  </si>
  <si>
    <t>Nordmarkvassdraget</t>
  </si>
  <si>
    <t>028</t>
  </si>
  <si>
    <t>RANA KOMMUNE TEKNISKE TJENESTER</t>
  </si>
  <si>
    <t>974791420</t>
  </si>
  <si>
    <t>156.AA</t>
  </si>
  <si>
    <t>2014-01-20T00:00:00</t>
  </si>
  <si>
    <t>[{'AdressatID': 43914, 'Driftselskap': True, 'Hovedeier': True, 'Navn': 'RANA KOMMUNE TEKNISKE TJENESTER', 'OrgNr': 974791420, 'ProsentAndel': 100.0, 'ProsentAndelDrift': 100.0}]</t>
  </si>
  <si>
    <t>Hammerfest</t>
  </si>
  <si>
    <t>217.4A</t>
  </si>
  <si>
    <t>[{'KdbID': 352, 'Tittel': 'Regulering av Hammerfestvassdraget'}]</t>
  </si>
  <si>
    <t>Storelva (Kvaløya)</t>
  </si>
  <si>
    <t>863</t>
  </si>
  <si>
    <t>Hammerstrand</t>
  </si>
  <si>
    <t>122.A1</t>
  </si>
  <si>
    <t>1920-12-31T00:00:00</t>
  </si>
  <si>
    <t>Hamrabø</t>
  </si>
  <si>
    <t>HAVREVOLL SVEINUNG</t>
  </si>
  <si>
    <t>969503204</t>
  </si>
  <si>
    <t>036.B4Z</t>
  </si>
  <si>
    <t>[{'AdressatID': 40511, 'Driftselskap': True, 'Hovedeier': True, 'Navn': 'HAVREVOLL SVEINUNG', 'OrgNr': 969503204, 'ProsentAndel': 100.0, 'ProsentAndelDrift': 100.0}]</t>
  </si>
  <si>
    <t>[{'KdbID': 2024, 'Tittel': 'Hamrabø mikrokraftverk'}]</t>
  </si>
  <si>
    <t>Hanefoss</t>
  </si>
  <si>
    <t>020.BA2</t>
  </si>
  <si>
    <t>1961-01-01T00:00:00</t>
  </si>
  <si>
    <t>[{'KdbID': 949, 'Tittel': 'Regulering av Eptevatn/Homstølvatn i Tovdalsvassdraget'}, {'KdbID': 9259, 'Tittel': 'Midlertidig fravik fra manøvreringsreglementet - Hanefoss\xa0kraftverk\xa0-\xa0Å ENERGI VANNKRAFT AS - Fravik fra minstevannføring;  - 22.04.2024 til 03.05.2024- Referansenr:TUZTVX'}, {'KdbID': 9690, 'Tittel': 'Søknad - Midlertidig fravik fra manøvreringsreglementet - Hanefoss\xa0kraftverk\xa0-\xa0Å ENERGI VANNKRAFT AS - Fravik fra minstevannføring;  - 12.06.2025 til 04.06.2025- Referansenr:MQFFFM'}]</t>
  </si>
  <si>
    <t>Hanestadnea</t>
  </si>
  <si>
    <t>ØVERGAARD ENERGI AS</t>
  </si>
  <si>
    <t>997893905</t>
  </si>
  <si>
    <t>Rendalen</t>
  </si>
  <si>
    <t>002.M2A0</t>
  </si>
  <si>
    <t>2012-11-01T00:00:00</t>
  </si>
  <si>
    <t>[{'AdressatID': 43628, 'Driftselskap': True, 'Hovedeier': True, 'Navn': 'ØVERGAARD ENERGI AS', 'OrgNr': 997893905, 'ProsentAndel': 100.0, 'ProsentAndelDrift': 100.0}]</t>
  </si>
  <si>
    <t>[{'KdbID': 4791, 'Tittel': 'Hanestadnea kraftverk'}]</t>
  </si>
  <si>
    <t>Hansfoss</t>
  </si>
  <si>
    <t>126.6B6</t>
  </si>
  <si>
    <t>1988-07-22T00:00:00</t>
  </si>
  <si>
    <t>Levangervassdraget</t>
  </si>
  <si>
    <t>512</t>
  </si>
  <si>
    <t>Hardeland K</t>
  </si>
  <si>
    <t>041.AC30</t>
  </si>
  <si>
    <t>2025-10-15T00:00:00</t>
  </si>
  <si>
    <t>[{'KdbID': 1205, 'Tittel': 'Nytt man.regl. for reg. av Litledalsvassdr. i Etne'}, {'KdbID': 8994, 'Tittel': 'Midlertidig fravik fra manøvreringsreglementet - Hardeland K\xa0kraftverk\xa0-\xa0SUNNHORDLAND KRAFTLAG AS - Tapping under LRV ;  - 05.04.2023 til 19.05.2023- Referansenr:QUSLNE'}]</t>
  </si>
  <si>
    <t>Etnevassdraget</t>
  </si>
  <si>
    <t>183</t>
  </si>
  <si>
    <t>Harpefossen</t>
  </si>
  <si>
    <t>002.DF72</t>
  </si>
  <si>
    <t>1965-02-18T00:00:00</t>
  </si>
  <si>
    <t>[{'AdressatID': 10242, 'Driftselskap': True, 'Hovedeier': True, 'Navn': 'HAFSLUND KRAFT AS', 'OrgNr': 976894677, 'ProsentAndel': 25.0, 'ProsentAndelDrift': 100.0}, {'AdressatID': 10300, 'Driftselskap': False, 'Hovedeier': False, 'Navn': 'OPPLANDSKRAFT DA', 'OrgNr': 944237631, 'ProsentAndel': None, 'ProsentAndelDrift': None}, {'AdressatID': 41020, 'Driftselskap': False, 'Hovedeier': False, 'Navn': 'HAFSLUND KRAFT INNLANDET AS', 'OrgNr': 887396752, 'ProsentAndel': 50.0, 'ProsentAndelDrift': None}, {'AdressatID': 50181, 'Driftselskap': False, 'Hovedeier': False, 'Navn': 'LÅGEN OG ØVRE GLOMMA KRAFTPRODUKSJON AS', 'OrgNr': 987287527, 'ProsentAndel': 25.0, 'ProsentAndelDrift': None}]</t>
  </si>
  <si>
    <t>[{'KdbID': 282, 'Tittel': 'Ekspropr. av grunn og fallrettigheter for utbygging av Harpefossen'}, {'KdbID': 2624, 'Tittel': 'Endring av man.regl. Harpefossen krv'}, {'KdbID': 7161, 'Tittel': 'Oppgradering av Harpefossen kraftverk'}]</t>
  </si>
  <si>
    <t>Harstveitbekken</t>
  </si>
  <si>
    <t>019.CAA</t>
  </si>
  <si>
    <t>2009-11-13T00:00:00</t>
  </si>
  <si>
    <t>[{'KdbID': 4975, 'Tittel': 'Harstveitbekken småkraftverk'}, {'KdbID': 7588, 'Tittel': 'Harstveitbekken kraftverk'}]</t>
  </si>
  <si>
    <t>Hasselelva</t>
  </si>
  <si>
    <t>RISSA KRAFTLAG SA</t>
  </si>
  <si>
    <t>915420400</t>
  </si>
  <si>
    <t>132.2AA0</t>
  </si>
  <si>
    <t>1980-01-01T00:00:00</t>
  </si>
  <si>
    <t>[{'AdressatID': 10514, 'Driftselskap': True, 'Hovedeier': True, 'Navn': 'RISSA KRAFTLAG SA', 'OrgNr': 915420400, 'ProsentAndel': 100.0, 'ProsentAndelDrift': 100.0}]</t>
  </si>
  <si>
    <t>Hasselvassdraget</t>
  </si>
  <si>
    <t>537</t>
  </si>
  <si>
    <t>Hatlemark</t>
  </si>
  <si>
    <t>FOSSAKRAFT AS</t>
  </si>
  <si>
    <t>816177952</t>
  </si>
  <si>
    <t>097.61Z</t>
  </si>
  <si>
    <t>2009-10-20T00:00:00</t>
  </si>
  <si>
    <t>[{'AdressatID': 50283, 'Driftselskap': True, 'Hovedeier': True, 'Navn': 'FOSSAKRAFT AS', 'OrgNr': 816177952, 'ProsentAndel': 100.0, 'ProsentAndelDrift': 100.0}]</t>
  </si>
  <si>
    <t>[{'KdbID': 5117, 'Tittel': 'Hatlemark minikraftverk'}]</t>
  </si>
  <si>
    <t>Svartebekken</t>
  </si>
  <si>
    <t>Hatlestad</t>
  </si>
  <si>
    <t>078.32</t>
  </si>
  <si>
    <t>2018-04-26T00:00:00</t>
  </si>
  <si>
    <t>[{'KdbID': 4243, 'Tittel': 'Hatlestad kraftverk'}]</t>
  </si>
  <si>
    <t>322</t>
  </si>
  <si>
    <t>Hattebergsdalen</t>
  </si>
  <si>
    <t>KVINNHERAD ENERGI AS</t>
  </si>
  <si>
    <t>966309202</t>
  </si>
  <si>
    <t>045.4B</t>
  </si>
  <si>
    <t>2011-05-26T00:00:00</t>
  </si>
  <si>
    <t>[{'AdressatID': 13073, 'Driftselskap': True, 'Hovedeier': True, 'Navn': 'KVINNHERAD ENERGI AS', 'OrgNr': 966309202, 'ProsentAndel': 100.0, 'ProsentAndelDrift': 100.0}]</t>
  </si>
  <si>
    <t>[{'KdbID': 850, 'Tittel': 'Overdr. av reg.konsesjon for Hattebergvassdr. (Muradalen kraftv.)'}, {'KdbID': 2037, 'Tittel': 'Oppr./utv. Muradalen kraftstasjon'}, {'KdbID': 4290, 'Tittel': 'Komb anlegg kraftverk og vassverk Muradalen'}]</t>
  </si>
  <si>
    <t>Hattebergvassdraget</t>
  </si>
  <si>
    <t>198</t>
  </si>
  <si>
    <t>Haugaelva</t>
  </si>
  <si>
    <t>FORSØGET HAUGAELVA SMÅKRAFTVERK AS</t>
  </si>
  <si>
    <t>992701110</t>
  </si>
  <si>
    <t>053.8B</t>
  </si>
  <si>
    <t>2010-03-22T00:00:00</t>
  </si>
  <si>
    <t>[{'AdressatID': 43289, 'Driftselskap': False, 'Hovedeier': True, 'Navn': 'FORSØGET HAUGAELVA SMÅKRAFTVERK AS', 'OrgNr': 992701110, 'ProsentAndel': 100.0, 'ProsentAndelDrift': 100.0}, {'AdressatID': 53027, 'Driftselskap': True, 'Hovedeier': False, 'Navn': 'FOSSBERG KRAFT AS', 'OrgNr': 920721087, 'ProsentAndel': None, 'ProsentAndelDrift': None}]</t>
  </si>
  <si>
    <t>[{'KdbID': 5286, 'Tittel': 'Haugaelva småkraftverk'}]</t>
  </si>
  <si>
    <t>Haugafossen</t>
  </si>
  <si>
    <t>047.2A0</t>
  </si>
  <si>
    <t>2018-09-12T00:00:00</t>
  </si>
  <si>
    <t>[{'KdbID': 5188, 'Tittel': 'Haugafossen kraftverk'}]</t>
  </si>
  <si>
    <t>Hauge</t>
  </si>
  <si>
    <t>HAUGE MINIKRAFTVERK AS</t>
  </si>
  <si>
    <t>992455209</t>
  </si>
  <si>
    <t>2010-02-24T00:00:00</t>
  </si>
  <si>
    <t>[{'AdressatID': 43218, 'Driftselskap': True, 'Hovedeier': True, 'Navn': 'HAUGE MINIKRAFTVERK AS', 'OrgNr': 992455209, 'ProsentAndel': 100.0, 'ProsentAndelDrift': 100.0}]</t>
  </si>
  <si>
    <t>[{'KdbID': 2913, 'Tittel': 'Minikraftverk i Haugselva'}]</t>
  </si>
  <si>
    <t>Haugfoss</t>
  </si>
  <si>
    <t>012.BA2</t>
  </si>
  <si>
    <t>1938-06-06T00:00:00</t>
  </si>
  <si>
    <t>[{'KdbID': 1885, 'Tittel': 'Endret reglement for Haugfoss kraftverk'}]</t>
  </si>
  <si>
    <t>91</t>
  </si>
  <si>
    <t>Haugsland</t>
  </si>
  <si>
    <t>035.7B2</t>
  </si>
  <si>
    <t>2012-01-01T00:00:00</t>
  </si>
  <si>
    <t>[{'KdbID': 5149, 'Tittel': 'Haugsland mikrokraftverk'}]</t>
  </si>
  <si>
    <t>Hålandselva</t>
  </si>
  <si>
    <t>Haugsvær</t>
  </si>
  <si>
    <t>HAUGSVÆR KRAFT AS</t>
  </si>
  <si>
    <t>929542797</t>
  </si>
  <si>
    <t>067.40</t>
  </si>
  <si>
    <t>2024-08-16T00:00:00</t>
  </si>
  <si>
    <t>[{'AdressatID': 53027, 'Driftselskap': True, 'Hovedeier': False, 'Navn': 'FOSSBERG KRAFT AS', 'OrgNr': 920721087, 'ProsentAndel': None, 'ProsentAndelDrift': None}, {'AdressatID': 67304, 'Driftselskap': False, 'Hovedeier': True, 'Navn': 'HAUGSVÆR KRAFT AS', 'OrgNr': 929542797, 'ProsentAndel': 100.0, 'ProsentAndelDrift': None}]</t>
  </si>
  <si>
    <t>[{'KdbID': 6267, 'Tittel': 'Haugsvær kraftverk'}]</t>
  </si>
  <si>
    <t>Haugaard</t>
  </si>
  <si>
    <t>NORDSIDEN KRAFT AS</t>
  </si>
  <si>
    <t>917800731</t>
  </si>
  <si>
    <t>002.AB0</t>
  </si>
  <si>
    <t>[{'AdressatID': 51331, 'Driftselskap': True, 'Hovedeier': True, 'Navn': 'NORDSIDEN KRAFT AS', 'OrgNr': 917800731, 'ProsentAndel': 100.0, 'ProsentAndelDrift': 100.0}]</t>
  </si>
  <si>
    <t>Haukali</t>
  </si>
  <si>
    <t>SKRUDSARKRAFT AS</t>
  </si>
  <si>
    <t>980023745</t>
  </si>
  <si>
    <t>031.1B</t>
  </si>
  <si>
    <t>[{'AdressatID': 43613, 'Driftselskap': True, 'Hovedeier': True, 'Navn': 'SKRUDSARKRAFT AS', 'OrgNr': 980023745, 'ProsentAndel': 100.0, 'ProsentAndelDrift': 100.0}]</t>
  </si>
  <si>
    <t>[{'KdbID': 2253, 'Tittel': 'Haukali kraftstasjon'}]</t>
  </si>
  <si>
    <t>Eidaåna</t>
  </si>
  <si>
    <t>Haukeli</t>
  </si>
  <si>
    <t>Vinje</t>
  </si>
  <si>
    <t>016.BED2A</t>
  </si>
  <si>
    <t>[{'KdbID': 909, 'Tittel': 'Statsreg. m.v. av Tokke-Vinjevassdraget'}, {'KdbID': 6329, 'Tittel': 'Nytt Haukeli kraftverk'}, {'KdbID': 9156, 'Tittel': 'Midlertidig fravik fra manøvreringsreglementet - Haukeli\xa0kraftverk\xa0-\xa0STATKRAFT ENERGI AS - Tapping under LRV ;  - 16.10.2023 til 20.10.2023- Referansenr:VVPIFE'}, {'KdbID': 9394, 'Tittel': 'Midlertidig fravik fra man.regl. - Haukeli\xa0kraftverk'}]</t>
  </si>
  <si>
    <t>89</t>
  </si>
  <si>
    <t>Haukland</t>
  </si>
  <si>
    <t>026.BA12</t>
  </si>
  <si>
    <t>1949-08-06T00:00:00</t>
  </si>
  <si>
    <t>[{'KdbID': 6213, 'Tittel': 'Haukland kraftverk'}, {'KdbID': 9142, 'Tittel': 'Midlertidig fravik fra manøvreringsreglementet - Haukland\xa0kraftverk\xa0-\xa0DALANE KRAFT AS - Tapping under LRV ;Annet;  - 26.09.2023 til 30.12.2026- Referansenr:FHSQUW'}, {'KdbID': 9688, 'Tittel': 'Søknad - Midlertidig fravik fra manøvreringsreglementet - Haukland\xa0kraftverk\xa0-\xa0DALANE KRAFT AS - Tapping under LRV ;  - 26.05.2025 til 26.05.2025- Referansenr:PFRDEB'}, {'KdbID': 9717, 'Tittel': 'Søknad - Midlertidig fravik fra manøvreringsreglementet - Haukland\xa0kraftverk\xa0-\xa0DALANE KRAFT AS - Tapping under LRV ;  - 04.07.2025 til 14.08.2025- Referansenr:JNKRGD'}]</t>
  </si>
  <si>
    <t>62</t>
  </si>
  <si>
    <t>Haukrei</t>
  </si>
  <si>
    <t>019.DE5</t>
  </si>
  <si>
    <t>1992-12-15T00:00:00</t>
  </si>
  <si>
    <t>[{'KdbID': 631, 'Tittel': 'Haukrei Kraftverk i Finndøla - Erverv og utbygging m.v., Telemark'}, {'KdbID': 1008, 'Tittel': 'Haukrei kraftverk i Finndøla - Approbasjon av forkjøpsrett til fall'}, {'KdbID': 7172, 'Tittel': 'Revisjon av konsesjonsvilkår for regulering Hovatn, Fisstøylvatn og Raudvatn i Finndøla'}]</t>
  </si>
  <si>
    <t>Haukvik</t>
  </si>
  <si>
    <t>113.AZ</t>
  </si>
  <si>
    <t>Hausken</t>
  </si>
  <si>
    <t>AARAM GARD VENDEL AARAM</t>
  </si>
  <si>
    <t>983239935</t>
  </si>
  <si>
    <t>093.110</t>
  </si>
  <si>
    <t>[{'AdressatID': 51495, 'Driftselskap': True, 'Hovedeier': True, 'Navn': 'AARAM GARD VENDEL AARAM', 'OrgNr': 983239935, 'ProsentAndel': 100.0, 'ProsentAndelDrift': 100.0}]</t>
  </si>
  <si>
    <t>Hauskje</t>
  </si>
  <si>
    <t>035.2Z</t>
  </si>
  <si>
    <t>1990-04-02T00:00:00</t>
  </si>
  <si>
    <t>Hjelmelandsåna</t>
  </si>
  <si>
    <t>Havdal</t>
  </si>
  <si>
    <t>307.3B6A1</t>
  </si>
  <si>
    <t>2009-11-24T00:00:00</t>
  </si>
  <si>
    <t>[{'KdbID': 1784, 'Tittel': 'Havdal kraftverk'}]</t>
  </si>
  <si>
    <t>Havrevoll</t>
  </si>
  <si>
    <t>KOLBEIN HAVREVOLL</t>
  </si>
  <si>
    <t>984694105</t>
  </si>
  <si>
    <t>2010-04-01T00:00:00</t>
  </si>
  <si>
    <t>[{'AdressatID': 43680, 'Driftselskap': True, 'Hovedeier': True, 'Navn': 'KOLBEIN HAVREVOLL', 'OrgNr': 984694105, 'ProsentAndel': 100.0, 'ProsentAndelDrift': 100.0}]</t>
  </si>
  <si>
    <t>[{'KdbID': 4692, 'Tittel': 'Havrevoll mikrokraftverk'}]</t>
  </si>
  <si>
    <t>Heggemselva</t>
  </si>
  <si>
    <t>HEGGEMSELVA MIKROKRAFTVERK AS</t>
  </si>
  <si>
    <t>921251742</t>
  </si>
  <si>
    <t>112.420</t>
  </si>
  <si>
    <t>2019-04-18T00:00:00</t>
  </si>
  <si>
    <t>[{'AdressatID': 53053, 'Driftselskap': True, 'Hovedeier': True, 'Navn': 'HEGGEMSELVA MIKROKRAFTVERK AS', 'OrgNr': 921251742, 'ProsentAndel': 100.0, 'ProsentAndelDrift': 100.0}]</t>
  </si>
  <si>
    <t>[{'KdbID': 6176, 'Tittel': 'Heggemselva kraftverk'}]</t>
  </si>
  <si>
    <t>Heggmoen</t>
  </si>
  <si>
    <t>Bodø</t>
  </si>
  <si>
    <t>165.1B</t>
  </si>
  <si>
    <t>1981-10-17T00:00:00</t>
  </si>
  <si>
    <t>[{'KdbID': 840, 'Tittel': 'Regulering av Heggmovassdraget'}]</t>
  </si>
  <si>
    <t>Vatnvassdraget</t>
  </si>
  <si>
    <t>702</t>
  </si>
  <si>
    <t>Heggtveit</t>
  </si>
  <si>
    <t>019.H20</t>
  </si>
  <si>
    <t>2015-12-16T00:00:00</t>
  </si>
  <si>
    <t>[{'KdbID': 5362, 'Tittel': 'Heggtveit kraftverk (Skræi &amp; Skrede kraftverk)'}]</t>
  </si>
  <si>
    <t>Hegsetdammen</t>
  </si>
  <si>
    <t>123.D51</t>
  </si>
  <si>
    <t>2015-05-01T00:00:00</t>
  </si>
  <si>
    <t>[{'KdbID': 642, 'Tittel': 'Erverv, regulering m.v. i forbindelse med bygging av Nedre Nea'}, {'KdbID': 6031, 'Tittel': 'Prøveoppstilling av rørturbin, Hegset dam, Tydal og Selbu'}]</t>
  </si>
  <si>
    <t>Hegsetfoss</t>
  </si>
  <si>
    <t>123.D22</t>
  </si>
  <si>
    <t>[{'KdbID': 1904, 'Tittel': 'Ekspropriasjon for utbygging av Hegsetfoss kraftverk.'}, {'KdbID': 9116, 'Tittel': 'Revisjon av konsesjonsvilkår for Neavassdraget'}]</t>
  </si>
  <si>
    <t>Heidelva</t>
  </si>
  <si>
    <t>HEIDELVA KRAFTVERK AS</t>
  </si>
  <si>
    <t>979391188</t>
  </si>
  <si>
    <t>094.42Z</t>
  </si>
  <si>
    <t>1998-09-15T00:00:00</t>
  </si>
  <si>
    <t>[{'AdressatID': 43210, 'Driftselskap': True, 'Hovedeier': True, 'Navn': 'HEIDELVA KRAFTVERK AS', 'OrgNr': 979391188, 'ProsentAndel': 100.0, 'ProsentAndelDrift': 100.0}]</t>
  </si>
  <si>
    <t>[{'KdbID': 4230, 'Tittel': 'Reg. og overf. Nykkjedalsvatnet til Heidelva og reg. av div. vann'}]</t>
  </si>
  <si>
    <t>Heieren</t>
  </si>
  <si>
    <t>SKJÆRDALEN EIENDOM AS</t>
  </si>
  <si>
    <t>915956858</t>
  </si>
  <si>
    <t>012.D8A0</t>
  </si>
  <si>
    <t>1981-06-30T00:00:00</t>
  </si>
  <si>
    <t>[{'AdressatID': 42539, 'Driftselskap': True, 'Hovedeier': True, 'Navn': 'SKJÆRDALEN EIENDOM AS', 'OrgNr': 915956858, 'ProsentAndel': 100.0, 'ProsentAndelDrift': 100.0}]</t>
  </si>
  <si>
    <t>Heierenfossen</t>
  </si>
  <si>
    <t>BRULAND ENERGI AS</t>
  </si>
  <si>
    <t>983076769</t>
  </si>
  <si>
    <t>012.DA0</t>
  </si>
  <si>
    <t>[{'AdressatID': 40303, 'Driftselskap': True, 'Hovedeier': True, 'Navn': 'BRULAND ENERGI AS', 'OrgNr': 983076769, 'ProsentAndel': 100.0, 'ProsentAndelDrift': 100.0}]</t>
  </si>
  <si>
    <t>[{'KdbID': 2113, 'Tittel': 'Heving av dam Heieren (Heiernfossen)'}]</t>
  </si>
  <si>
    <t>Heimerdalen</t>
  </si>
  <si>
    <t>LOFOTKRAFT PRODUKSJON AS</t>
  </si>
  <si>
    <t>987081414</t>
  </si>
  <si>
    <t>Vestvågøy</t>
  </si>
  <si>
    <t>180.54Z</t>
  </si>
  <si>
    <t>[{'AdressatID': 25546, 'Driftselskap': True, 'Hovedeier': True, 'Navn': 'LOFOTKRAFT PRODUKSJON AS', 'OrgNr': 987081414, 'ProsentAndel': 100.0, 'ProsentAndelDrift': 100.0}]</t>
  </si>
  <si>
    <t>[{'KdbID': 4424, 'Tittel': 'Heimerdalen kraftverk'}]</t>
  </si>
  <si>
    <t>Heimredalsvassdraget</t>
  </si>
  <si>
    <t>Heimseta</t>
  </si>
  <si>
    <t>085.H4</t>
  </si>
  <si>
    <t>2008-05-19T00:00:00</t>
  </si>
  <si>
    <t>[{'KdbID': 4056, 'Tittel': 'Heimseta småkraftverk'}]</t>
  </si>
  <si>
    <t>Oselvvassdraget</t>
  </si>
  <si>
    <t>Heina</t>
  </si>
  <si>
    <t>HEINA KRAFT AS</t>
  </si>
  <si>
    <t>989469282</t>
  </si>
  <si>
    <t>104.33A</t>
  </si>
  <si>
    <t>2008-11-14T00:00:00</t>
  </si>
  <si>
    <t>[{'AdressatID': 42701, 'Driftselskap': True, 'Hovedeier': True, 'Navn': 'HEINA KRAFT AS', 'OrgNr': 989469282, 'ProsentAndel': 100.0, 'ProsentAndelDrift': 100.0}]</t>
  </si>
  <si>
    <t>[{'KdbID': 4472, 'Tittel': 'Heina kraftverk'}]</t>
  </si>
  <si>
    <t>Høvikelva</t>
  </si>
  <si>
    <t>444</t>
  </si>
  <si>
    <t>Heiåi</t>
  </si>
  <si>
    <t>019.G4</t>
  </si>
  <si>
    <t>2008-09-03T00:00:00</t>
  </si>
  <si>
    <t>[{'KdbID': 3229, 'Tittel': 'Minikraftverk i Heiåi'}]</t>
  </si>
  <si>
    <t>HEIKRAFT AS</t>
  </si>
  <si>
    <t>989243012</t>
  </si>
  <si>
    <t>016.CD3A</t>
  </si>
  <si>
    <t>2012-12-12T00:00:00</t>
  </si>
  <si>
    <t>[{'AdressatID': 43405, 'Driftselskap': True, 'Hovedeier': True, 'Navn': 'HEIKRAFT AS', 'OrgNr': 989243012, 'ProsentAndel': 100.0, 'ProsentAndelDrift': 100.0}]</t>
  </si>
  <si>
    <t>[{'KdbID': 4588, 'Tittel': 'Heiåi kraftverk (tidligere Homlid småkraftverk)'}]</t>
  </si>
  <si>
    <t>Hekni</t>
  </si>
  <si>
    <t>021.E12</t>
  </si>
  <si>
    <t>1995-11-01T00:00:00</t>
  </si>
  <si>
    <t>[{'AdressatID': 40113, 'Driftselskap': False, 'Hovedeier': False, 'Navn': 'SKAGERAK KRAFT AS', 'OrgNr': 979563531, 'ProsentAndel': 33.33, 'ProsentAndelDrift': None}, {'AdressatID': 40121, 'Driftselskap': True, 'Hovedeier': True, 'Navn': 'Å ENERGI VANNKRAFT AS', 'OrgNr': 882973972, 'ProsentAndel': 66.67, 'ProsentAndelDrift': 100.0}]</t>
  </si>
  <si>
    <t>[{'KdbID': 632, 'Tittel': 'Erverv og utbygging av Hekni kraftverk i Otra, Aust-Agder'}, {'KdbID': 745, 'Tittel': 'Øvre Otra utbyggingen - Fornyet till. til ekspr. av fallrettigheter'}, {'KdbID': 2565, 'Tittel': 'Hekni kraftverk - Endring av konsesjonsvilkår'}, {'KdbID': 4004, 'Tittel': 'Midl.t. senking inntak Hekni'}]</t>
  </si>
  <si>
    <t>Heldøla</t>
  </si>
  <si>
    <t>MORIPEN OLE</t>
  </si>
  <si>
    <t>969622122</t>
  </si>
  <si>
    <t>019.C3</t>
  </si>
  <si>
    <t>[{'AdressatID': 72562, 'Driftselskap': True, 'Hovedeier': True, 'Navn': 'MORIPEN OLE', 'OrgNr': 969622122, 'ProsentAndel': 100.0, 'ProsentAndelDrift': 100.0}]</t>
  </si>
  <si>
    <t>[{'KdbID': 3250, 'Tittel': 'Helldøla minikraftverk'}]</t>
  </si>
  <si>
    <t>Helganes</t>
  </si>
  <si>
    <t>HELGANES KRAFT AS</t>
  </si>
  <si>
    <t>927210592</t>
  </si>
  <si>
    <t>036.B11</t>
  </si>
  <si>
    <t>[{'AdressatID': 61278, 'Driftselskap': True, 'Hovedeier': True, 'Navn': 'HELGANES KRAFT AS', 'OrgNr': 927210592, 'ProsentAndel': 100.0, 'ProsentAndelDrift': 100.0}]</t>
  </si>
  <si>
    <t>[{'KdbID': 3092, 'Tittel': 'Kraftverk i Helganesåno'}]</t>
  </si>
  <si>
    <t>Helgheim</t>
  </si>
  <si>
    <t>NYDALSELVA KRAFT AS</t>
  </si>
  <si>
    <t>893040412</t>
  </si>
  <si>
    <t>084.E42</t>
  </si>
  <si>
    <t>2018-05-07T00:00:00</t>
  </si>
  <si>
    <t>[{'AdressatID': 10455, 'Driftselskap': True, 'Hovedeier': False, 'Navn': 'SOGNEKRAFT PRODUKSJON AS', 'OrgNr': 916069634, 'ProsentAndel': None, 'ProsentAndelDrift': None}, {'AdressatID': 43021, 'Driftselskap': False, 'Hovedeier': True, 'Navn': 'NYDALSELVA KRAFT AS', 'OrgNr': 893040412, 'ProsentAndel': 100.0, 'ProsentAndelDrift': 100.0}]</t>
  </si>
  <si>
    <t>[{'KdbID': 5646, 'Tittel': 'Helgheim kraftverk'}]</t>
  </si>
  <si>
    <t>Helgøy</t>
  </si>
  <si>
    <t>HELGØY ENERGI AS</t>
  </si>
  <si>
    <t>977309727</t>
  </si>
  <si>
    <t>092.52</t>
  </si>
  <si>
    <t>1997-01-15T00:00:00</t>
  </si>
  <si>
    <t>[{'AdressatID': 43379, 'Driftselskap': True, 'Hovedeier': True, 'Navn': 'HELGØY ENERGI AS', 'OrgNr': 977309727, 'ProsentAndel': 100.0, 'ProsentAndelDrift': 100.0}]</t>
  </si>
  <si>
    <t>[{'KdbID': 2343, 'Tittel': 'Minikraftverk i Strandaelva'}]</t>
  </si>
  <si>
    <t>Helgåa</t>
  </si>
  <si>
    <t>093.2C</t>
  </si>
  <si>
    <t>2019-11-19T00:00:00</t>
  </si>
  <si>
    <t>[{'KdbID': 6976, 'Tittel': 'Helgåa kraftverk'}]</t>
  </si>
  <si>
    <t>Hellandsfoss</t>
  </si>
  <si>
    <t>064.A0</t>
  </si>
  <si>
    <t>1992-06-01T00:00:00</t>
  </si>
  <si>
    <t>[{'KdbID': 910, 'Tittel': 'Utbygging av Hellandsfoss kraftverk i Modalen'}]</t>
  </si>
  <si>
    <t>Hellandsfossen</t>
  </si>
  <si>
    <t>064.A41</t>
  </si>
  <si>
    <t>1977-07-01T00:00:00</t>
  </si>
  <si>
    <t>Helle</t>
  </si>
  <si>
    <t>HELLE KRAFTVERK DA</t>
  </si>
  <si>
    <t>989264915</t>
  </si>
  <si>
    <t>Lyngdal</t>
  </si>
  <si>
    <t>023.B2A3</t>
  </si>
  <si>
    <t>[{'AdressatID': 42603, 'Driftselskap': True, 'Hovedeier': True, 'Navn': 'HELLE KRAFTVERK DA', 'OrgNr': 989264915, 'ProsentAndel': 100.0, 'ProsentAndelDrift': 100.0}]</t>
  </si>
  <si>
    <t>[{'KdbID': 4007, 'Tittel': 'Helle småkraftverk'}]</t>
  </si>
  <si>
    <t>Helle Bruk</t>
  </si>
  <si>
    <t>HELLE BRUK AS</t>
  </si>
  <si>
    <t>913403010</t>
  </si>
  <si>
    <t>017.22A</t>
  </si>
  <si>
    <t>1945-01-01T00:00:00</t>
  </si>
  <si>
    <t>[{'AdressatID': 43424, 'Driftselskap': True, 'Hovedeier': True, 'Navn': 'HELLE BRUK AS', 'OrgNr': 913403010, 'ProsentAndel': 100.0, 'ProsentAndelDrift': 100.0}]</t>
  </si>
  <si>
    <t>elv fra Hullvatnet</t>
  </si>
  <si>
    <t>Hellefoss</t>
  </si>
  <si>
    <t>HELLEFOSS KRAFT AS</t>
  </si>
  <si>
    <t>912756734</t>
  </si>
  <si>
    <t>012.B22</t>
  </si>
  <si>
    <t>1953-01-01T00:00:00</t>
  </si>
  <si>
    <t>[{'AdressatID': 10339, 'Driftselskap': False, 'Hovedeier': False, 'Navn': 'EIKER KRAFTPRODUKSJON AS', 'OrgNr': 979497563, 'ProsentAndel': 33.3, 'ProsentAndelDrift': None}, {'AdressatID': 29244, 'Driftselskap': False, 'Hovedeier': False, 'Navn': 'MODUM KRAFTPRODUKSJON KF', 'OrgNr': 971030674, 'ProsentAndel': 33.3, 'ProsentAndelDrift': None}, {'AdressatID': 40121, 'Driftselskap': True, 'Hovedeier': False, 'Navn': 'Å ENERGI VANNKRAFT AS', 'OrgNr': 882973972, 'ProsentAndel': 33.4, 'ProsentAndelDrift': None}, {'AdressatID': 40282, 'Driftselskap': False, 'Hovedeier': True, 'Navn': 'HELLEFOSS KRAFT AS', 'OrgNr': 912756734, 'ProsentAndel': None, 'ProsentAndelDrift': 100.0}]</t>
  </si>
  <si>
    <t>[{'KdbID': 7488, 'Tittel': 'Hellefoss kraftverk - Innkalling til konsesjonsbehandling'}]</t>
  </si>
  <si>
    <t>Helleren</t>
  </si>
  <si>
    <t>Tjeldsund</t>
  </si>
  <si>
    <t>189.A</t>
  </si>
  <si>
    <t>1958-11-03T00:00:00</t>
  </si>
  <si>
    <t>[{'KdbID': 947, 'Tittel': 'Sør Troms - Konsesjoner med sammenslutning - Erv. fall Hellerenelv'}, {'KdbID': 7730, 'Tittel': 'Helleren kraftverk - Innkalling til konsesjonsbehandling'}]</t>
  </si>
  <si>
    <t>Skoddebergvassdraget</t>
  </si>
  <si>
    <t>773</t>
  </si>
  <si>
    <t>Hellevang</t>
  </si>
  <si>
    <t>T D G HELLEVANG ENERGI Tor Dag Gulbrandsen</t>
  </si>
  <si>
    <t>981032365</t>
  </si>
  <si>
    <t>084.52Z</t>
  </si>
  <si>
    <t>[{'AdressatID': 63696, 'Driftselskap': True, 'Hovedeier': True, 'Navn': 'T D G HELLEVANG ENERGI Tor Dag Gulbrandsen', 'OrgNr': 981032365, 'ProsentAndel': 100.0, 'ProsentAndelDrift': 100.0}]</t>
  </si>
  <si>
    <t>[{'KdbID': 2901, 'Tittel': 'Minikraftverk i Hellevangselva'}]</t>
  </si>
  <si>
    <t>Heilevangselva</t>
  </si>
  <si>
    <t>Hellifossen</t>
  </si>
  <si>
    <t>HELLIFOSSEN KRAFT AS</t>
  </si>
  <si>
    <t>921424396</t>
  </si>
  <si>
    <t>144.4Z</t>
  </si>
  <si>
    <t>2021-03-17T00:00:00</t>
  </si>
  <si>
    <t>[{'AdressatID': 52294, 'Driftselskap': True, 'Hovedeier': True, 'Navn': 'HELLIFOSSEN KRAFT AS', 'OrgNr': 921424396, 'ProsentAndel': 100.0, 'ProsentAndelDrift': 100.0}]</t>
  </si>
  <si>
    <t>[{'KdbID': 7965, 'Tittel': 'Hellifossen kraftverk (tidl. Terråk)'}, {'KdbID': 8185, 'Tittel': 'Planendring Hellifossen kraftverk'}, {'KdbID': 8982, 'Tittel': 'Midlertidig fravik fra manøvreringsreglementet - Hellifossen\xa0kraftverk\xa0-\xa0HELLIFOSSEN KRAFT AS - Tapping under LRV ;  - 01.03.2023 til 31.03.2023- Referansenr:NWATFY'}]</t>
  </si>
  <si>
    <t>Terråkelva</t>
  </si>
  <si>
    <t>607</t>
  </si>
  <si>
    <t>Heltneelva</t>
  </si>
  <si>
    <t>HELTNEELVA KRAFT AS</t>
  </si>
  <si>
    <t>923038043</t>
  </si>
  <si>
    <t>094.6B</t>
  </si>
  <si>
    <t>2021-09-20T00:00:00</t>
  </si>
  <si>
    <t>[{'AdressatID': 53170, 'Driftselskap': True, 'Hovedeier': True, 'Navn': 'HELTNEELVA KRAFT AS', 'OrgNr': 923038043, 'ProsentAndel': 100.0, 'ProsentAndelDrift': 100.0}]</t>
  </si>
  <si>
    <t>[{'KdbID': 8496, 'Tittel': 'Heltneelva mikrokraftverk'}]</t>
  </si>
  <si>
    <t>Øyraelva</t>
  </si>
  <si>
    <t>Helveteskraft</t>
  </si>
  <si>
    <t>SÆTER BJØRN</t>
  </si>
  <si>
    <t>969087251</t>
  </si>
  <si>
    <t>015.C7</t>
  </si>
  <si>
    <t>[{'AdressatID': 51069, 'Driftselskap': True, 'Hovedeier': True, 'Navn': 'SÆTER BJØRN', 'OrgNr': 969087251, 'ProsentAndel': 100.0, 'ProsentAndelDrift': 100.0}]</t>
  </si>
  <si>
    <t>Hemsil 1</t>
  </si>
  <si>
    <t>012.CDCB2</t>
  </si>
  <si>
    <t>Hemsil 2</t>
  </si>
  <si>
    <t>Gol</t>
  </si>
  <si>
    <t>012.CD52</t>
  </si>
  <si>
    <t>[{'KdbID': 90, 'Tittel': 'Reg. av Hemsilvassdraget i Buskerud m.v.'}, {'KdbID': 3873, 'Tittel': 'Utskifting av turbiner i Hemsil II kraftstasjon'}, {'KdbID': 5404, 'Tittel': 'Revisjon av konsesjonsvilkår - Hemsil'}]</t>
  </si>
  <si>
    <t>67</t>
  </si>
  <si>
    <t>Hemså</t>
  </si>
  <si>
    <t>026.E4A</t>
  </si>
  <si>
    <t>2020-04-17T00:00:00</t>
  </si>
  <si>
    <t>[{'AdressatID': 50977, 'Driftselskap': True, 'Hovedeier': False, 'Navn': 'PROXIMA HYDROTECH AS', 'OrgNr': 918808302, 'ProsentAndel': None, 'ProsentAndelDrift': None}, {'AdressatID': 52364, 'Driftselskap': False, 'Hovedeier': True, 'Navn': 'SIRDAL KRAFT AS', 'OrgNr': 920828108, 'ProsentAndel': 100.0, 'ProsentAndelDrift': 100.0}]</t>
  </si>
  <si>
    <t>[{'KdbID': 5329, 'Tittel': 'Hemså kraftverk'}]</t>
  </si>
  <si>
    <t>Hensfoss</t>
  </si>
  <si>
    <t>012.F24</t>
  </si>
  <si>
    <t>1946-01-01T00:00:00</t>
  </si>
  <si>
    <t>[{'KdbID': 8306, 'Tittel': 'Hensfoss kraftverk - Konsesjonspliktvurdering'}]</t>
  </si>
  <si>
    <t>Herad</t>
  </si>
  <si>
    <t>HERAD KRAFT DA</t>
  </si>
  <si>
    <t>990310165</t>
  </si>
  <si>
    <t>012.CD3Z</t>
  </si>
  <si>
    <t>2008-01-03T00:00:00</t>
  </si>
  <si>
    <t>[{'AdressatID': 43646, 'Driftselskap': True, 'Hovedeier': True, 'Navn': 'HERAD KRAFT DA', 'OrgNr': 990310165, 'ProsentAndel': 100.0, 'ProsentAndelDrift': 100.0}]</t>
  </si>
  <si>
    <t>[{'KdbID': 4936, 'Tittel': 'Herad mikrokraftverk'}]</t>
  </si>
  <si>
    <t>Herand</t>
  </si>
  <si>
    <t>HERAND KRAFT AS</t>
  </si>
  <si>
    <t>991357823</t>
  </si>
  <si>
    <t>047.3A</t>
  </si>
  <si>
    <t>2021-04-21T00:00:00</t>
  </si>
  <si>
    <t>[{'AdressatID': 42601, 'Driftselskap': True, 'Hovedeier': True, 'Navn': 'HERAND KRAFT AS', 'OrgNr': 991357823, 'ProsentAndel': 100.0, 'ProsentAndelDrift': 100.0}]</t>
  </si>
  <si>
    <t>[{'KdbID': 5392, 'Tittel': 'Herand kraftverk'}]</t>
  </si>
  <si>
    <t>Storelvi</t>
  </si>
  <si>
    <t>Herje</t>
  </si>
  <si>
    <t>104.11A</t>
  </si>
  <si>
    <t>2015-05-28T00:00:00</t>
  </si>
  <si>
    <t>[{'KdbID': 4535, 'Tittel': 'Herje kraftverk'}]</t>
  </si>
  <si>
    <t>Herjeelva</t>
  </si>
  <si>
    <t>435</t>
  </si>
  <si>
    <t>Herjåa</t>
  </si>
  <si>
    <t>HERJÅA KRAFT AS</t>
  </si>
  <si>
    <t>996068935</t>
  </si>
  <si>
    <t>122.E1Z</t>
  </si>
  <si>
    <t>2012-07-17T00:00:00</t>
  </si>
  <si>
    <t>[{'AdressatID': 43631, 'Driftselskap': True, 'Hovedeier': True, 'Navn': 'HERJÅA KRAFT AS', 'OrgNr': 996068935, 'ProsentAndel': 100.0, 'ProsentAndelDrift': 100.0}]</t>
  </si>
  <si>
    <t>[{'KdbID': 5835, 'Tittel': 'Herjåa kraftverk'}]</t>
  </si>
  <si>
    <t>Herlandsfoss</t>
  </si>
  <si>
    <t>Osterøy</t>
  </si>
  <si>
    <t>060.5A1</t>
  </si>
  <si>
    <t>1995-10-14T00:00:00</t>
  </si>
  <si>
    <t>[{'KdbID': 4221, 'Tittel': 'Unntak fra kons.plikt/forkj.rett v/fusjon m/Herlandsfoss kraftverk'}]</t>
  </si>
  <si>
    <t>Hellandselva</t>
  </si>
  <si>
    <t>259</t>
  </si>
  <si>
    <t>Herva</t>
  </si>
  <si>
    <t>075.CC12</t>
  </si>
  <si>
    <t>Hesjeberg</t>
  </si>
  <si>
    <t>190.4</t>
  </si>
  <si>
    <t>2016-04-15T00:00:00</t>
  </si>
  <si>
    <t>[{'KdbID': 5500, 'Tittel': 'Hesjeberg kraftverk I'}]</t>
  </si>
  <si>
    <t>Hestdal</t>
  </si>
  <si>
    <t>HESTDAL E-VERK AS</t>
  </si>
  <si>
    <t>884198992</t>
  </si>
  <si>
    <t>131.7Z</t>
  </si>
  <si>
    <t>[{'AdressatID': 41366, 'Driftselskap': True, 'Hovedeier': True, 'Navn': 'HESTDAL E-VERK AS', 'OrgNr': 884198992, 'ProsentAndel': 100.0, 'ProsentAndelDrift': 100.0}]</t>
  </si>
  <si>
    <t>[{'KdbID': 3739, 'Tittel': 'Opprusting Hestdalen kraftverk'}]</t>
  </si>
  <si>
    <t>Hestdalselva</t>
  </si>
  <si>
    <t>533</t>
  </si>
  <si>
    <t>Hestenes</t>
  </si>
  <si>
    <t>HESTENES KRAFTVERK AS</t>
  </si>
  <si>
    <t>935189365</t>
  </si>
  <si>
    <t>086.96</t>
  </si>
  <si>
    <t>2016-07-06T00:00:00</t>
  </si>
  <si>
    <t>[{'AdressatID': 76115, 'Driftselskap': True, 'Hovedeier': True, 'Navn': 'HESTENES KRAFTVERK AS', 'OrgNr': 935189365, 'ProsentAndel': 100.0, 'ProsentAndelDrift': 100.0}]</t>
  </si>
  <si>
    <t>[{'KdbID': 4717, 'Tittel': 'Hestenes kraftverk'}]</t>
  </si>
  <si>
    <t>Hetland</t>
  </si>
  <si>
    <t>Hå</t>
  </si>
  <si>
    <t>027.6B</t>
  </si>
  <si>
    <t>1983-01-03T00:00:00</t>
  </si>
  <si>
    <t>[{'KdbID': 1637, 'Tittel': 'Regulering av Helgåen og ovf. til Ogneelven.'}, {'KdbID': 2581, 'Tittel': 'Hetland kraftverk, endring i man.regl. Holmavatn og Homsevatn og fortsatt overføring fra Hagavatn'}, {'KdbID': 3731, 'Tittel': 'Manøvreringsreglement for Homsevand og Holmevand i Helgeaaen'}, {'KdbID': 7669, 'Tittel': 'Hetland kraftverk, delvis nedleggelse av dam Hundsvatn'}]</t>
  </si>
  <si>
    <t>Ognaåni</t>
  </si>
  <si>
    <t>138</t>
  </si>
  <si>
    <t>HETLAND KRAFT AS</t>
  </si>
  <si>
    <t>992327138</t>
  </si>
  <si>
    <t>041.32Z</t>
  </si>
  <si>
    <t>2008-09-24T00:00:00</t>
  </si>
  <si>
    <t>[{'AdressatID': 42769, 'Driftselskap': True, 'Hovedeier': True, 'Navn': 'HETLAND KRAFT AS', 'OrgNr': 992327138, 'ProsentAndel': 100.0, 'ProsentAndelDrift': 100.0}]</t>
  </si>
  <si>
    <t>[{'KdbID': 4861, 'Tittel': 'Hetland minikraftverk'}]</t>
  </si>
  <si>
    <t>Ølsvågelva</t>
  </si>
  <si>
    <t>Hindbergelva</t>
  </si>
  <si>
    <t>SØRSIDA KRAFT AS</t>
  </si>
  <si>
    <t>990317135</t>
  </si>
  <si>
    <t>Inderøy</t>
  </si>
  <si>
    <t>130.4Z</t>
  </si>
  <si>
    <t>2009-01-09T00:00:00</t>
  </si>
  <si>
    <t>[{'AdressatID': 43112, 'Driftselskap': True, 'Hovedeier': True, 'Navn': 'SØRSIDA KRAFT AS', 'OrgNr': 990317135, 'ProsentAndel': 100.0, 'ProsentAndelDrift': 100.0}]</t>
  </si>
  <si>
    <t>[{'KdbID': 3358, 'Tittel': 'Minikraftverk i Hindbergelva'}]</t>
  </si>
  <si>
    <t>Sørvågelva</t>
  </si>
  <si>
    <t>Hinøgla</t>
  </si>
  <si>
    <t>Nord-Fron</t>
  </si>
  <si>
    <t>002.DFBB0</t>
  </si>
  <si>
    <t>2021-05-03T00:00:00</t>
  </si>
  <si>
    <t>[{'KdbID': 6697, 'Tittel': 'Hinøgla kraftverk'}]</t>
  </si>
  <si>
    <t>Hisvatn</t>
  </si>
  <si>
    <t>HISVATN KRAFTLAG AS</t>
  </si>
  <si>
    <t>985386706</t>
  </si>
  <si>
    <t>025.C20</t>
  </si>
  <si>
    <t>2007-01-22T00:00:00</t>
  </si>
  <si>
    <t>[{'AdressatID': 27758, 'Driftselskap': True, 'Hovedeier': True, 'Navn': 'HISVATN KRAFTLAG AS', 'OrgNr': 985386706, 'ProsentAndel': 100.0, 'ProsentAndelDrift': 100.0}]</t>
  </si>
  <si>
    <t>[{'KdbID': 2320, 'Tittel': 'Regulering og utbygging av Hisvatn og Hisåna'}]</t>
  </si>
  <si>
    <t>Hjartdøla</t>
  </si>
  <si>
    <t>016.EC1</t>
  </si>
  <si>
    <t>1958-10-17T00:00:00</t>
  </si>
  <si>
    <t>[{'KdbID': 906, 'Tittel': 'Overføring av Heiåi til Skjesvatn'}, {'KdbID': 1203, 'Tittel': 'Till. til å rå over alt vannet i Hjartdal-Tuddalsvassdr.'}, {'KdbID': 1819, 'Tittel': 'Ekspropriasjon av fallrettigh. Hjartdal- Tuddalvassdret.'}, {'KdbID': 1820, 'Tittel': 'Ekspropriasjon av eiendom for kraftverk utbygging.'}, {'KdbID': 6431, 'Tittel': 'Revisjon av konsesjonsvilkår - Hjartdøla'}]</t>
  </si>
  <si>
    <t>Hjelle</t>
  </si>
  <si>
    <t>087.D3</t>
  </si>
  <si>
    <t>2008-05-15T00:00:00</t>
  </si>
  <si>
    <t>[{'KdbID': 4198, 'Tittel': 'Hjelle kraftverk'}]</t>
  </si>
  <si>
    <t>Hjelledøla</t>
  </si>
  <si>
    <t>HJELLEDALEN KRAFTLAG AS</t>
  </si>
  <si>
    <t>988088994</t>
  </si>
  <si>
    <t>088.C21</t>
  </si>
  <si>
    <t>2006-05-12T00:00:00</t>
  </si>
  <si>
    <t>[{'AdressatID': 41481, 'Driftselskap': True, 'Hovedeier': True, 'Navn': 'HJELLEDALEN KRAFTLAG AS', 'OrgNr': 988088994, 'ProsentAndel': 100.0, 'ProsentAndelDrift': 100.0}]</t>
  </si>
  <si>
    <t>[{'KdbID': 3693, 'Tittel': 'Hjelledøla kraftverk'}]</t>
  </si>
  <si>
    <t>1993-10-01T00:00:00</t>
  </si>
  <si>
    <t>[{'KdbID': 679, 'Tittel': 'Opprusting av Hjelmeland kraftverk - erverv/ny reg.konsesjon'}, {'KdbID': 1872, 'Tittel': 'Regulering av Breilandsvatn i Hjelmelandsåna.'}, {'KdbID': 1873, 'Tittel': 'Planendring for reg. av Hjelmelandsåna.'}]</t>
  </si>
  <si>
    <t>161</t>
  </si>
  <si>
    <t>Hjertvatn</t>
  </si>
  <si>
    <t>172.B</t>
  </si>
  <si>
    <t>2024-01-24T00:00:00</t>
  </si>
  <si>
    <t>[{'KdbID': 19, 'Tittel': 'Regulering av Hjertevatn i Forsåvassdraget og overføring av Rauvatn'}, {'KdbID': 656, 'Tittel': 'Overf. av reg.kons. og bruksrett til fall Hjertevatn kraftverk'}, {'KdbID': 6311, 'Tittel': 'Fortsatt regulering av Hjertvatn, overføring av Røvatn og oppgr. av Hjertvatn kraftverk'}]</t>
  </si>
  <si>
    <t>Sørelva</t>
  </si>
  <si>
    <t>Hjorteland</t>
  </si>
  <si>
    <t>035.A2</t>
  </si>
  <si>
    <t>[{'AdressatID': 10394, 'Driftselskap': False, 'Hovedeier': False, 'Navn': 'OTRA KRAFT DA', 'OrgNr': 955007514, 'ProsentAndel': 7.3, 'ProsentAndelDrift': 7.3}, {'AdressatID': 10437, 'Driftselskap': False, 'Hovedeier': False, 'Navn': 'SUNNHORDLAND KRAFTLAG AS', 'OrgNr': 916435711, 'ProsentAndel': 2.5, 'ProsentAndelDrift': 2.5}, {'AdressatID': 40121, 'Driftselskap': False, 'Hovedeier': False, 'Navn': 'Å ENERGI VANNKRAFT AS', 'OrgNr': 882973972, 'ProsentAndel': 0.2, 'ProsentAndelDrift': 0.2}, {'AdressatID': 41005, 'Driftselskap': True, 'Hovedeier': True, 'Navn': 'STATKRAFT ENERGI AS', 'OrgNr': 987059729, 'ProsentAndel': 72.0, 'ProsentAndelDrift': 72.0}, {'AdressatID': 60547, 'Driftselskap': False, 'Hovedeier': False, 'Navn': 'LYSE KRAFT DA', 'OrgNr': 925749419, 'ProsentAndel': 18.0, 'ProsentAndelDrift': 18.0}]</t>
  </si>
  <si>
    <t>[{'KdbID': 479, 'Tittel': 'Statsreg. for utb. av Ulla-Førrevassdragene - Reguleringsbest. m.v.'}, {'KdbID': 698, 'Tittel': 'Ulla-Førrevassdragene , Statsregulering , Planendring'}, {'KdbID': 1010, 'Tittel': 'Ulla-Førre - Nytt manøvreringsreglement for Suldalslågen'}, {'KdbID': 4227, 'Tittel': 'Ulla-Førre. Manøvreringsreglement for Suldalslågen'}]</t>
  </si>
  <si>
    <t>Ulla</t>
  </si>
  <si>
    <t>Hjorteland (Fjellbergsåno)</t>
  </si>
  <si>
    <t>035.A4B</t>
  </si>
  <si>
    <t>2009-12-10T00:00:00</t>
  </si>
  <si>
    <t>[{'KdbID': 5333, 'Tittel': 'Hjorteland småkraftverk'}]</t>
  </si>
  <si>
    <t>Hjorteland (Hjortelandsåno)</t>
  </si>
  <si>
    <t>035.A6A3</t>
  </si>
  <si>
    <t>[{'KdbID': 4455, 'Tittel': 'Hjorteland minikraftverk'}]</t>
  </si>
  <si>
    <t>Hodnaberg</t>
  </si>
  <si>
    <t>VOSS ENERGI PRODUKSJON AS</t>
  </si>
  <si>
    <t>984665776</t>
  </si>
  <si>
    <t>061.D</t>
  </si>
  <si>
    <t>1953-12-19T00:00:00</t>
  </si>
  <si>
    <t>[{'AdressatID': 10444, 'Driftselskap': True, 'Hovedeier': True, 'Navn': 'VOSS ENERGI PRODUKSJON AS', 'OrgNr': 984665776, 'ProsentAndel': 100.0, 'ProsentAndelDrift': 100.0}]</t>
  </si>
  <si>
    <t>[{'KdbID': 313, 'Tittel': 'Endr. manøvreringsregl. for Bergsdalsvassdraget - minstevannf.'}, {'KdbID': 7329, 'Tittel': 'Overføring av Svartavatn til Torfinnsvatn'}, {'KdbID': 7467, 'Tittel': 'Overføring av Krokatjørna til Torfinnsvatn'}, {'KdbID': 8029, 'Tittel': 'Revisjon av konsesjonsvilkår for Bergsdals- og Torfinnsvassdragene'}]</t>
  </si>
  <si>
    <t>Hoelsfossen</t>
  </si>
  <si>
    <t>HOELSFOSSEN ELVERK AS</t>
  </si>
  <si>
    <t>988470627</t>
  </si>
  <si>
    <t>100.B0</t>
  </si>
  <si>
    <t>2007-07-09T00:00:00</t>
  </si>
  <si>
    <t>[{'AdressatID': 42870, 'Driftselskap': True, 'Hovedeier': True, 'Navn': 'HOELSFOSSEN ELVERK AS', 'OrgNr': 988470627, 'ProsentAndel': 100.0, 'ProsentAndelDrift': 100.0}]</t>
  </si>
  <si>
    <t>[{'KdbID': 3082, 'Tittel': 'Hoelsfossen minikraftverk'}]</t>
  </si>
  <si>
    <t>Valldøla</t>
  </si>
  <si>
    <t>Hofkvern</t>
  </si>
  <si>
    <t>HOFKVERN KRAFTVERK AS</t>
  </si>
  <si>
    <t>980684970</t>
  </si>
  <si>
    <t>002.G6A</t>
  </si>
  <si>
    <t>[{'AdressatID': 50372, 'Driftselskap': True, 'Hovedeier': True, 'Navn': 'HOFKVERN KRAFTVERK AS', 'OrgNr': 980684970, 'ProsentAndel': 100.0, 'ProsentAndelDrift': 100.0}]</t>
  </si>
  <si>
    <t>[{'KdbID': 2436, 'Tittel': 'Hof kraftverk'}]</t>
  </si>
  <si>
    <t>Hofsfoss</t>
  </si>
  <si>
    <t>012.F22</t>
  </si>
  <si>
    <t>[{'KdbID': 3034, 'Tittel': 'Ervervskonsesjon for fallrettigheter ved Hofsfoss kraftverk'}]</t>
  </si>
  <si>
    <t>Hogga</t>
  </si>
  <si>
    <t>016.BA8</t>
  </si>
  <si>
    <t>1987-04-01T00:00:00</t>
  </si>
  <si>
    <t>[{'KdbID': 704, 'Tittel': 'Ekspropriasjon m.v. for utbygging av Hogga Kraftverk'}, {'KdbID': 2047, 'Tittel': 'Bandaksvannene, slipningsreglement av 1890.'}]</t>
  </si>
  <si>
    <t>Hogstad</t>
  </si>
  <si>
    <t>Siljan</t>
  </si>
  <si>
    <t>015.4E2</t>
  </si>
  <si>
    <t>1913-08-01T00:00:00</t>
  </si>
  <si>
    <t>[{'KdbID': 2357, 'Tittel': 'Hogstad kraftverk, anleggskonsesjon'}, {'KdbID': 3980, 'Tittel': 'Hogstad minikraftverk'}]</t>
  </si>
  <si>
    <t>Hol 1 (Urunda)</t>
  </si>
  <si>
    <t>Hol</t>
  </si>
  <si>
    <t>012.CFD1</t>
  </si>
  <si>
    <t>1956-11-01T00:00:00</t>
  </si>
  <si>
    <t>[{'KdbID': 233, 'Tittel': 'Regulering av Holselva og Våtna, overf. av Våtna m.m. (Stadfesting)'}, {'KdbID': 1378, 'Tittel': 'Forn. av reg.till. vedk. Holsvassdraget.'}, {'KdbID': 2646, 'Tittel': 'Erverv av fallrettigheter i Holselva og Hallingdalselva'}, {'KdbID': 3088, 'Tittel': 'Revisjon av konsesjonsvilkår - Holsreguleringen'}, {'KdbID': 5075, 'Tittel': 'Oppgradering av Hol I i Urunda og Votnavassdraget'}]</t>
  </si>
  <si>
    <t>Hol 1 (Votna)</t>
  </si>
  <si>
    <t>012.CEBB</t>
  </si>
  <si>
    <t>1949-02-01T00:00:00</t>
  </si>
  <si>
    <t>[{'KdbID': 233, 'Tittel': 'Regulering av Holselva og Våtna, overf. av Våtna m.m. (Stadfesting)'}, {'KdbID': 1026, 'Tittel': 'Reg. av Holselva og Votna m.v. - Opphevelse av vilkårenes post 14'}, {'KdbID': 1378, 'Tittel': 'Forn. av reg.till. vedk. Holsvassdraget.'}, {'KdbID': 2646, 'Tittel': 'Erverv av fallrettigheter i Holselva og Hallingdalselva'}, {'KdbID': 3088, 'Tittel': 'Revisjon av konsesjonsvilkår - Holsreguleringen'}, {'KdbID': 5075, 'Tittel': 'Oppgradering av Hol I i Urunda og Votnavassdraget'}]</t>
  </si>
  <si>
    <t>76</t>
  </si>
  <si>
    <t>Hol 2</t>
  </si>
  <si>
    <t>012.CFA6</t>
  </si>
  <si>
    <t>[{'KdbID': 233, 'Tittel': 'Regulering av Holselva og Våtna, overf. av Våtna m.m. (Stadfesting)'}, {'KdbID': 2646, 'Tittel': 'Erverv av fallrettigheter i Holselva og Hallingdalselva'}, {'KdbID': 7837, 'Tittel': 'Omgjøring av konsesjon - Hovsfjorden og Holsfjorden'}]</t>
  </si>
  <si>
    <t>Hol 3</t>
  </si>
  <si>
    <t>012.CF5</t>
  </si>
  <si>
    <t>74</t>
  </si>
  <si>
    <t>Holdal</t>
  </si>
  <si>
    <t>016.BED41</t>
  </si>
  <si>
    <t>2012-10-16T00:00:00</t>
  </si>
  <si>
    <t>[{'KdbID': 4837, 'Tittel': 'Holldal kraftverk'}]</t>
  </si>
  <si>
    <t>90</t>
  </si>
  <si>
    <t>Hole</t>
  </si>
  <si>
    <t>HOLE KRAFT AS</t>
  </si>
  <si>
    <t>897706482</t>
  </si>
  <si>
    <t>098.6B0</t>
  </si>
  <si>
    <t>2013-04-24T00:00:00</t>
  </si>
  <si>
    <t>[{'AdressatID': 43353, 'Driftselskap': True, 'Hovedeier': True, 'Navn': 'HOLE KRAFT AS', 'OrgNr': 897706482, 'ProsentAndel': 100.0, 'ProsentAndelDrift': 100.0}]</t>
  </si>
  <si>
    <t>[{'KdbID': 5545, 'Tittel': 'Hole minikraftverk'}]</t>
  </si>
  <si>
    <t>Bygdaelva</t>
  </si>
  <si>
    <t>412</t>
  </si>
  <si>
    <t>Holen</t>
  </si>
  <si>
    <t>LUSTER SMÅKRAFT AS</t>
  </si>
  <si>
    <t>988913480</t>
  </si>
  <si>
    <t>077.C2Z</t>
  </si>
  <si>
    <t>2019-12-12T00:00:00</t>
  </si>
  <si>
    <t>[{'AdressatID': 41659, 'Driftselskap': True, 'Hovedeier': True, 'Navn': 'LUSTER SMÅKRAFT AS', 'OrgNr': 988913480, 'ProsentAndel': 100.0, 'ProsentAndelDrift': 100.0}]</t>
  </si>
  <si>
    <t>[{'KdbID': 4272, 'Tittel': 'Holen kraftverk'}]</t>
  </si>
  <si>
    <t>Holen III</t>
  </si>
  <si>
    <t>021.GB12B</t>
  </si>
  <si>
    <t>1987-01-27T00:00:00</t>
  </si>
  <si>
    <t>[{'KdbID': 214, 'Tittel': 'Øvre Otra utbyggingen - Ytterligere regulering, overf. og erverv'}]</t>
  </si>
  <si>
    <t>Holen I-II</t>
  </si>
  <si>
    <t>1981-11-21T00:00:00</t>
  </si>
  <si>
    <t>[{'KdbID': 214, 'Tittel': 'Øvre Otra utbyggingen - Ytterligere regulering, overf. og erverv'}, {'KdbID': 745, 'Tittel': 'Øvre Otra utbyggingen - Fornyet till. til ekspr. av fallrettigheter'}]</t>
  </si>
  <si>
    <t>Holmane</t>
  </si>
  <si>
    <t>HOLMANE KRAFTVERK ANS</t>
  </si>
  <si>
    <t>987031115</t>
  </si>
  <si>
    <t>030.2A2A1</t>
  </si>
  <si>
    <t>[{'AdressatID': 43013, 'Driftselskap': True, 'Hovedeier': True, 'Navn': 'HOLMANE KRAFTVERK ANS', 'OrgNr': 987031115, 'ProsentAndel': 100.0, 'ProsentAndelDrift': 100.0}]</t>
  </si>
  <si>
    <t>[{'KdbID': 3585, 'Tittel': 'Veen mikrokraftverk'}]</t>
  </si>
  <si>
    <t>Holmbekken</t>
  </si>
  <si>
    <t>FLORHOLMEN BIRGER A</t>
  </si>
  <si>
    <t>969183161</t>
  </si>
  <si>
    <t>124.A12</t>
  </si>
  <si>
    <t>[{'AdressatID': 61353, 'Driftselskap': True, 'Hovedeier': True, 'Navn': 'FLORHOLMEN BIRGER A', 'OrgNr': 969183161, 'ProsentAndel': 100.0, 'ProsentAndelDrift': 100.0}]</t>
  </si>
  <si>
    <t>[{'KdbID': 2274, 'Tittel': 'Mikrokraftverk i Holmbekken-vassdraget'}]</t>
  </si>
  <si>
    <t>Holmem</t>
  </si>
  <si>
    <t>HOLMEM KRAFT AS</t>
  </si>
  <si>
    <t>891287232</t>
  </si>
  <si>
    <t>2009-02-21T00:00:00</t>
  </si>
  <si>
    <t>[{'AdressatID': 43266, 'Driftselskap': True, 'Hovedeier': True, 'Navn': 'HOLMEM KRAFT AS', 'OrgNr': 891287232, 'ProsentAndel': 100.0, 'ProsentAndelDrift': 100.0}]</t>
  </si>
  <si>
    <t>[{'KdbID': 4822, 'Tittel': 'Holmem minikraftverk'}]</t>
  </si>
  <si>
    <t>Holmen</t>
  </si>
  <si>
    <t>HOLMEN KRAFT AS</t>
  </si>
  <si>
    <t>989342053</t>
  </si>
  <si>
    <t>071.AA</t>
  </si>
  <si>
    <t>2016-05-21T00:00:00</t>
  </si>
  <si>
    <t>[{'AdressatID': 10382, 'Driftselskap': True, 'Hovedeier': False, 'Navn': 'TINFOS AS', 'OrgNr': 916763476, 'ProsentAndel': None, 'ProsentAndelDrift': None}, {'AdressatID': 43003, 'Driftselskap': False, 'Hovedeier': True, 'Navn': 'HOLMEN KRAFT AS', 'OrgNr': 989342053, 'ProsentAndel': 100.0, 'ProsentAndelDrift': 100.0}]</t>
  </si>
  <si>
    <t>[{'KdbID': 5845, 'Tittel': 'Holmen kraftverk, Jordalen'}, {'KdbID': 7473, 'Tittel': 'Endring av manøvreringsreglement for Holmen kraftverk'}]</t>
  </si>
  <si>
    <t>Nærøydalselvi</t>
  </si>
  <si>
    <t>289</t>
  </si>
  <si>
    <t>Holsbru</t>
  </si>
  <si>
    <t>074.CAZ</t>
  </si>
  <si>
    <t>2012-03-28T00:00:00</t>
  </si>
  <si>
    <t>[{'KdbID': 4251, 'Tittel': 'Holsbru kraftverk / Fortsatt drift i gamle Tyin kraftverk'}, {'KdbID': 6446, 'Tittel': 'Planendring Holsbruvatn/fortsatt drift i gamle Tyin kr.v. i Årdal'}]</t>
  </si>
  <si>
    <t>302</t>
  </si>
  <si>
    <t>Holsen</t>
  </si>
  <si>
    <t>HOLSEN KRAFT NORDDØLA AS</t>
  </si>
  <si>
    <t>995332744</t>
  </si>
  <si>
    <t>084.CC</t>
  </si>
  <si>
    <t>2017-04-12T00:00:00</t>
  </si>
  <si>
    <t>[{'AdressatID': 50732, 'Driftselskap': True, 'Hovedeier': True, 'Navn': 'HOLSEN KRAFT NORDDØLA AS', 'OrgNr': 995332744, 'ProsentAndel': 100.0, 'ProsentAndelDrift': 100.0}]</t>
  </si>
  <si>
    <t>[{'KdbID': 5032, 'Tittel': 'Holsen småkraftverk'}]</t>
  </si>
  <si>
    <t>Holsfossen</t>
  </si>
  <si>
    <t>002.DDB3</t>
  </si>
  <si>
    <t>2014-02-07T00:00:00</t>
  </si>
  <si>
    <t>[{'KdbID': 5014, 'Tittel': 'Holsfossen kraftverk'}, {'KdbID': 6845, 'Tittel': 'Holsfossen kraftverk - planendring'}]</t>
  </si>
  <si>
    <t>Holt</t>
  </si>
  <si>
    <t>016.AC2B</t>
  </si>
  <si>
    <t>2023-06-25T00:00:00</t>
  </si>
  <si>
    <t>[{'KdbID': 6765, 'Tittel': 'Holt kraftverk'}]</t>
  </si>
  <si>
    <t>Hommafossen</t>
  </si>
  <si>
    <t>HESKESTAD KRAFT AS</t>
  </si>
  <si>
    <t>989945696</t>
  </si>
  <si>
    <t>026.4F</t>
  </si>
  <si>
    <t>2009-11-26T00:00:00</t>
  </si>
  <si>
    <t>[{'AdressatID': 43134, 'Driftselskap': True, 'Hovedeier': True, 'Navn': 'HESKESTAD KRAFT AS', 'OrgNr': 989945696, 'ProsentAndel': 100.0, 'ProsentAndelDrift': 100.0}]</t>
  </si>
  <si>
    <t>[{'KdbID': 4483, 'Tittel': 'Hommafossen minikraftverk'}]</t>
  </si>
  <si>
    <t>Sokno</t>
  </si>
  <si>
    <t>134</t>
  </si>
  <si>
    <t>Hommelfoss</t>
  </si>
  <si>
    <t>067.3A0</t>
  </si>
  <si>
    <t>1986-02-26T00:00:00</t>
  </si>
  <si>
    <t>[{'KdbID': 198, 'Tittel': 'Erverv og reg. av Matre- og Haugsdalsvassdragene'}]</t>
  </si>
  <si>
    <t>Matrevassdraget</t>
  </si>
  <si>
    <t>266</t>
  </si>
  <si>
    <t>Hommsåne</t>
  </si>
  <si>
    <t>021.F50</t>
  </si>
  <si>
    <t>2016-05-10T00:00:00</t>
  </si>
  <si>
    <t>[{'KdbID': 5308, 'Tittel': 'Hommsåne kraftverk'}, {'KdbID': 7240, 'Tittel': 'Planendring Hommsåne kraftverk'}]</t>
  </si>
  <si>
    <t>Hongset Røye</t>
  </si>
  <si>
    <t>HAGEN ODD</t>
  </si>
  <si>
    <t>969227061</t>
  </si>
  <si>
    <t>148.2Z</t>
  </si>
  <si>
    <t>2012-06-20T00:00:00</t>
  </si>
  <si>
    <t>[{'AdressatID': 25903, 'Driftselskap': True, 'Hovedeier': True, 'Navn': 'HAGEN ODD', 'OrgNr': 969227061, 'ProsentAndel': 100.0, 'ProsentAndelDrift': 100.0}]</t>
  </si>
  <si>
    <t>[{'KdbID': 2927, 'Tittel': 'Odd Hagen, vannuttak fra Fuglvatn til røyeoppdr.'}]</t>
  </si>
  <si>
    <t>Sausvatn-vassdraget</t>
  </si>
  <si>
    <t>Honnefoss</t>
  </si>
  <si>
    <t>027.1C2</t>
  </si>
  <si>
    <t>1956-02-07T00:00:00</t>
  </si>
  <si>
    <t>[{'KdbID': 837, 'Tittel': 'Reg. av Revsvatn og Grønnevatn i Hellelandsvassdr. - overføring'}, {'KdbID': 1089, 'Tittel': 'Påbygging av inntaksdam til Honnefoss kraftst.'}, {'KdbID': 8689, 'Tittel': 'Midlertidig senkning under LRV - inntaksmagasin Honnefoss\xa0kraftverk\xa0Referansenr:UWCXXB'}]</t>
  </si>
  <si>
    <t>125.4A</t>
  </si>
  <si>
    <t>[{'KdbID': 3303, 'Tittel': 'Mikrokraftverk i Hopla'}]</t>
  </si>
  <si>
    <t>Hopland</t>
  </si>
  <si>
    <t>HOPLAND KRAFT AS</t>
  </si>
  <si>
    <t>813266652</t>
  </si>
  <si>
    <t>089.12Z</t>
  </si>
  <si>
    <t>2016-12-06T00:00:00</t>
  </si>
  <si>
    <t>[{'AdressatID': 43900, 'Driftselskap': True, 'Hovedeier': True, 'Navn': 'HOPLAND KRAFT AS', 'OrgNr': 813266652, 'ProsentAndel': 100.0, 'ProsentAndelDrift': 100.0}]</t>
  </si>
  <si>
    <t>[{'KdbID': 5213, 'Tittel': 'Hopland kraftverk'}]</t>
  </si>
  <si>
    <t>Hoplandselva</t>
  </si>
  <si>
    <t>HOPSELVA KRAFTVERK AS</t>
  </si>
  <si>
    <t>990712603</t>
  </si>
  <si>
    <t>055.3Z</t>
  </si>
  <si>
    <t>2010-05-30T00:00:00</t>
  </si>
  <si>
    <t>[{'AdressatID': 42729, 'Driftselskap': True, 'Hovedeier': True, 'Navn': 'HOPSELVA KRAFTVERK AS', 'OrgNr': 990712603, 'ProsentAndel': 100.0, 'ProsentAndelDrift': 100.0}]</t>
  </si>
  <si>
    <t>[{'KdbID': 4948, 'Tittel': 'Hopselva kraftverk'}]</t>
  </si>
  <si>
    <t>245</t>
  </si>
  <si>
    <t>Hopsfossen</t>
  </si>
  <si>
    <t>HOPSFOSSEN AS</t>
  </si>
  <si>
    <t>915242715</t>
  </si>
  <si>
    <t>056.3A</t>
  </si>
  <si>
    <t>[{'AdressatID': 50279, 'Driftselskap': True, 'Hovedeier': True, 'Navn': 'HOPSFOSSEN AS', 'OrgNr': 915242715, 'ProsentAndel': 100.0, 'ProsentAndelDrift': 100.0}]</t>
  </si>
  <si>
    <t>Nesttunvassdraget</t>
  </si>
  <si>
    <t>Horga</t>
  </si>
  <si>
    <t>SIGDAL ENERGI</t>
  </si>
  <si>
    <t>971030631</t>
  </si>
  <si>
    <t>012.BB42</t>
  </si>
  <si>
    <t>1990-11-01T00:00:00</t>
  </si>
  <si>
    <t>[{'AdressatID': 40532, 'Driftselskap': True, 'Hovedeier': False, 'Navn': 'KRAFTIA TJENESTER AS', 'OrgNr': 980341232, 'ProsentAndel': None, 'ProsentAndelDrift': None}, {'AdressatID': 40556, 'Driftselskap': False, 'Hovedeier': True, 'Navn': 'SIGDAL ENERGI', 'OrgNr': 971030631, 'ProsentAndel': 100.0, 'ProsentAndelDrift': 100.0}]</t>
  </si>
  <si>
    <t>Horka</t>
  </si>
  <si>
    <t>AKERSHUS MILJØKRAFT AS</t>
  </si>
  <si>
    <t>982910013</t>
  </si>
  <si>
    <t>Gjerdrum</t>
  </si>
  <si>
    <t>002.CAAB</t>
  </si>
  <si>
    <t>[{'AdressatID': 43840, 'Driftselskap': True, 'Hovedeier': True, 'Navn': 'AKERSHUS MILJØKRAFT AS', 'OrgNr': 982910013, 'ProsentAndel': 100.0, 'ProsentAndelDrift': 100.0}]</t>
  </si>
  <si>
    <t>Horneelva</t>
  </si>
  <si>
    <t>082.32Z</t>
  </si>
  <si>
    <t>[{'KdbID': 2897, 'Tittel': 'Mikrokraftverk i Horneelva'}]</t>
  </si>
  <si>
    <t>Lona</t>
  </si>
  <si>
    <t>Horpedal</t>
  </si>
  <si>
    <t>HORPEDAL KRAFT AS</t>
  </si>
  <si>
    <t>928603008</t>
  </si>
  <si>
    <t>078.2A1Z</t>
  </si>
  <si>
    <t>2004-01-13T00:00:00</t>
  </si>
  <si>
    <t>[{'AdressatID': 63108, 'Driftselskap': True, 'Hovedeier': True, 'Navn': 'HORPEDAL KRAFT AS', 'OrgNr': 928603008, 'ProsentAndel': 100.0, 'ProsentAndelDrift': 100.0}]</t>
  </si>
  <si>
    <t>[{'KdbID': 3278, 'Tittel': 'Horpedal Kraftverk'}, {'KdbID': 7333, 'Tittel': 'Horpedal kraftverk - økt slukeevne'}]</t>
  </si>
  <si>
    <t>317</t>
  </si>
  <si>
    <t>Hovatn</t>
  </si>
  <si>
    <t>021.DB</t>
  </si>
  <si>
    <t>[{'KdbID': 624, 'Tittel': 'Overføring av deler av Heisvassdraget til Hovatn, Aust-Agder'}, {'KdbID': 745, 'Tittel': 'Øvre Otra utbyggingen - Fornyet till. til ekspr. av fallrettigheter'}, {'KdbID': 4087, 'Tittel': 'Forhåndstiltredelse for kanalisering i Hovatn'}]</t>
  </si>
  <si>
    <t>Hove</t>
  </si>
  <si>
    <t>070.6A</t>
  </si>
  <si>
    <t>1969-12-09T00:00:00</t>
  </si>
  <si>
    <t>[{'AdressatID': 10455, 'Driftselskap': False, 'Hovedeier': False, 'Navn': 'SOGNEKRAFT PRODUKSJON AS', 'OrgNr': 916069634, 'ProsentAndel': 12.0, 'ProsentAndelDrift': 12.0}, {'AdressatID': 41005, 'Driftselskap': True, 'Hovedeier': True, 'Navn': 'STATKRAFT ENERGI AS', 'OrgNr': 987059729, 'ProsentAndel': 88.0, 'ProsentAndelDrift': 88.0}]</t>
  </si>
  <si>
    <t>[{'KdbID': 186, 'Tittel': 'Erv. av fallrett. i Vikja. Ytt. reg. mv i Arnafjordvassdraget'}, {'KdbID': 187, 'Tittel': 'Ytt. reg. og overføringer i Arnafjordvassdraget'}, {'KdbID': 956, 'Tittel': 'Statsregulering i Arnafjordvassdraget m.v.'}, {'KdbID': 7530, 'Tittel': 'Revisjon av konsesjonsvilkår for Arnafjord- og Vikvassdraga'}]</t>
  </si>
  <si>
    <t>Hopra</t>
  </si>
  <si>
    <t>285</t>
  </si>
  <si>
    <t>Hovland</t>
  </si>
  <si>
    <t>085.3B</t>
  </si>
  <si>
    <t>2012-02-28T00:00:00</t>
  </si>
  <si>
    <t>[{'KdbID': 4291, 'Tittel': 'Hovland kraftverk'}]</t>
  </si>
  <si>
    <t>Hovlandselva</t>
  </si>
  <si>
    <t>350</t>
  </si>
  <si>
    <t>Hovuduk</t>
  </si>
  <si>
    <t>HOVUDUK KRAFTVERK AS</t>
  </si>
  <si>
    <t>889553782</t>
  </si>
  <si>
    <t>016.CBAB</t>
  </si>
  <si>
    <t>[{'AdressatID': 42580, 'Driftselskap': True, 'Hovedeier': True, 'Navn': 'HOVUDUK KRAFTVERK AS', 'OrgNr': 889553782, 'ProsentAndel': 100.0, 'ProsentAndelDrift': 100.0}]</t>
  </si>
  <si>
    <t>[{'KdbID': 3261, 'Tittel': 'Mikrokraftverk Hovuddukfossen'}]</t>
  </si>
  <si>
    <t>Hugla</t>
  </si>
  <si>
    <t>070.AZ</t>
  </si>
  <si>
    <t>2004-11-29T00:00:00</t>
  </si>
  <si>
    <t>[{'KdbID': 3859, 'Tittel': 'Hugla kraftverk'}]</t>
  </si>
  <si>
    <t>Viksvassdraget</t>
  </si>
  <si>
    <t>Hulbak</t>
  </si>
  <si>
    <t>2001-12-31T00:00:00</t>
  </si>
  <si>
    <t>[{'KdbID': 2866, 'Tittel': 'Hulebakbekken mikrokraftverk'}]</t>
  </si>
  <si>
    <t>Humberset</t>
  </si>
  <si>
    <t>HUMBERSET OLAV</t>
  </si>
  <si>
    <t>969126591</t>
  </si>
  <si>
    <t>[{'AdressatID': 25634, 'Driftselskap': True, 'Hovedeier': True, 'Navn': 'HUMBERSET OLAV', 'OrgNr': 969126591, 'ProsentAndel': 100.0, 'ProsentAndelDrift': 100.0}]</t>
  </si>
  <si>
    <t>Hunderfossen</t>
  </si>
  <si>
    <t>Lillehammer</t>
  </si>
  <si>
    <t>002.DE4</t>
  </si>
  <si>
    <t>1963-11-29T00:00:00</t>
  </si>
  <si>
    <t>[{'KdbID': 192, 'Tittel': 'Ombygging av Hunderfossen - Ensbyfallene'}, {'KdbID': 2069, 'Tittel': 'Hunderfossen Ensbyfallene, endr. av manøvreringsregl.'}, {'KdbID': 2544, 'Tittel': 'Endring av manøvreringsregl. Hunderfossen kraftverk'}, {'KdbID': 9050, 'Tittel': 'Midlertidig fravik fra manøvreringsreglementet - Hunderfossen\xa0kraftverk\xa0-\xa0HAFSLUND ECO VANNKRAFT AS - Tapping under LRV ;  - 03.05.2023 til 04.05.2023- Referansenr:ACLZYP'}, {'KdbID': 9731, 'Tittel': 'Midlertidig fravik fra manøvreringsreglementet -  Hunderfossen kraftverk -  08.09.2025 til 20.10.2025'}, {'KdbID': 9772, 'Tittel': 'Midlertidig fravik fra manøvreringsreglementet - Hunderfossen\xa0kraftverk\xa0- 20.10.2025 til 15.11.2025'}]</t>
  </si>
  <si>
    <t>Hundseid</t>
  </si>
  <si>
    <t>JENS M HUNDSEID</t>
  </si>
  <si>
    <t>971196181</t>
  </si>
  <si>
    <t>038.B</t>
  </si>
  <si>
    <t>[{'AdressatID': 50094, 'Driftselskap': True, 'Hovedeier': True, 'Navn': 'JENS M HUNDSEID', 'OrgNr': 971196181, 'ProsentAndel': 100.0, 'ProsentAndelDrift': 100.0}]</t>
  </si>
  <si>
    <t>[{'KdbID': 3946, 'Tittel': 'Hunseid mikrokraftverk'}]</t>
  </si>
  <si>
    <t>Vikadalselva</t>
  </si>
  <si>
    <t>Hundtjønnsbekken</t>
  </si>
  <si>
    <t>020.BB1</t>
  </si>
  <si>
    <t>[{'KdbID': 2753, 'Tittel': 'Hundtjønnsbekken krv (Uldal mikrokraftverk)'}]</t>
  </si>
  <si>
    <t>Hunnevatn</t>
  </si>
  <si>
    <t>030.2C</t>
  </si>
  <si>
    <t>1983-01-01T00:00:00</t>
  </si>
  <si>
    <t>[{'KdbID': 752, 'Tittel': 'Overføring av Hunnedalsfeltet til Siravassdraget'}]</t>
  </si>
  <si>
    <t>Hunsfoss</t>
  </si>
  <si>
    <t>021.A310</t>
  </si>
  <si>
    <t>1926-01-01T00:00:00</t>
  </si>
  <si>
    <t>[{'KdbID': 650, 'Tittel': 'Erverv av fallrettigheter i Hunsfoss i Otra'}, {'KdbID': 2614, 'Tittel': 'Opprusting av Hunsfoss kraftverk'}, {'KdbID': 7068, 'Tittel': 'Oppgradering av Hunsfoss Vest'}]</t>
  </si>
  <si>
    <t>Hurunda</t>
  </si>
  <si>
    <t>HURUNDA KRAFT AS</t>
  </si>
  <si>
    <t>987777702</t>
  </si>
  <si>
    <t>121.C2</t>
  </si>
  <si>
    <t>2006-09-11T00:00:00</t>
  </si>
  <si>
    <t>[{'AdressatID': 42702, 'Driftselskap': True, 'Hovedeier': True, 'Navn': 'HURUNDA KRAFT AS', 'OrgNr': 987777702, 'ProsentAndel': 100.0, 'ProsentAndelDrift': 100.0}]</t>
  </si>
  <si>
    <t>[{'KdbID': 3500, 'Tittel': 'Hurunda kraftverk'}]</t>
  </si>
  <si>
    <t>Husbyelva</t>
  </si>
  <si>
    <t>NORDVOLL ERNST HENRY</t>
  </si>
  <si>
    <t>969119773</t>
  </si>
  <si>
    <t>Nesna</t>
  </si>
  <si>
    <t>158.52</t>
  </si>
  <si>
    <t>[{'AdressatID': 50097, 'Driftselskap': True, 'Hovedeier': True, 'Navn': 'NORDVOLL ERNST HENRY', 'OrgNr': 969119773, 'ProsentAndel': 100.0, 'ProsentAndelDrift': 100.0}]</t>
  </si>
  <si>
    <t>[{'KdbID': 2536, 'Tittel': 'Mikrokraftverk i Husbyelva'}]</t>
  </si>
  <si>
    <t>Husefest</t>
  </si>
  <si>
    <t>OTTO ULLEVÅLSETER</t>
  </si>
  <si>
    <t>991809341</t>
  </si>
  <si>
    <t>085.63Z</t>
  </si>
  <si>
    <t>2014-04-04T00:00:00</t>
  </si>
  <si>
    <t>[{'AdressatID': 50354, 'Driftselskap': True, 'Hovedeier': True, 'Navn': 'OTTO ULLEVÅLSETER', 'OrgNr': 991809341, 'ProsentAndel': 100.0, 'ProsentAndelDrift': 100.0}]</t>
  </si>
  <si>
    <t>[{'KdbID': 3643, 'Tittel': 'Husefest mikrokraftverk'}]</t>
  </si>
  <si>
    <t>Husefestelva</t>
  </si>
  <si>
    <t>Husstøl</t>
  </si>
  <si>
    <t>HUSSTØL KRAFTVERK AS</t>
  </si>
  <si>
    <t>916612699</t>
  </si>
  <si>
    <t>035.2A1</t>
  </si>
  <si>
    <t>2013-09-01T00:00:00</t>
  </si>
  <si>
    <t>[{'AdressatID': 52146, 'Driftselskap': True, 'Hovedeier': True, 'Navn': 'HUSSTØL KRAFTVERK AS', 'OrgNr': 916612699, 'ProsentAndel': 100.0, 'ProsentAndelDrift': 100.0}]</t>
  </si>
  <si>
    <t>[{'KdbID': 5155, 'Tittel': 'Husstøl minikraftverk'}]</t>
  </si>
  <si>
    <t>Hustveit</t>
  </si>
  <si>
    <t>PER BAKKEDAL</t>
  </si>
  <si>
    <t>969444844</t>
  </si>
  <si>
    <t>038.2B</t>
  </si>
  <si>
    <t>2014-12-22T00:00:00</t>
  </si>
  <si>
    <t>[{'AdressatID': 53279, 'Driftselskap': True, 'Hovedeier': True, 'Navn': 'PER BAKKEDAL', 'OrgNr': 969444844, 'ProsentAndel': 100.0, 'ProsentAndelDrift': 100.0}]</t>
  </si>
  <si>
    <t>[{'KdbID': 4366, 'Tittel': 'Hustveit mikrokraftverk'}]</t>
  </si>
  <si>
    <t>Hustveitelva</t>
  </si>
  <si>
    <t>174</t>
  </si>
  <si>
    <t>Husvollåe</t>
  </si>
  <si>
    <t>HUSVOLLÅE KRAFT AS</t>
  </si>
  <si>
    <t>924791438</t>
  </si>
  <si>
    <t>016.G52A2A0</t>
  </si>
  <si>
    <t>2022-05-24T00:00:00</t>
  </si>
  <si>
    <t>[{'AdressatID': 60886, 'Driftselskap': True, 'Hovedeier': True, 'Navn': 'HUSVOLLÅE KRAFT AS', 'OrgNr': 924791438, 'ProsentAndel': 100.0, 'ProsentAndelDrift': 100.0}]</t>
  </si>
  <si>
    <t>[{'KdbID': 6096, 'Tittel': 'Husvollåe kraftverk'}]</t>
  </si>
  <si>
    <t>Hyelva</t>
  </si>
  <si>
    <t>O DRAGE AS</t>
  </si>
  <si>
    <t>984892780</t>
  </si>
  <si>
    <t>084.7B4C</t>
  </si>
  <si>
    <t>[{'AdressatID': 43300, 'Driftselskap': True, 'Hovedeier': True, 'Navn': 'O DRAGE AS', 'OrgNr': 984892780, 'ProsentAndel': 100.0, 'ProsentAndelDrift': 100.0}]</t>
  </si>
  <si>
    <t>[{'KdbID': 3156, 'Tittel': 'Hyelva minikraftverk'}]</t>
  </si>
  <si>
    <t>Nausta</t>
  </si>
  <si>
    <t>Hylen</t>
  </si>
  <si>
    <t>036.B23</t>
  </si>
  <si>
    <t>1980-08-04T00:00:00</t>
  </si>
  <si>
    <t>[{'KdbID': 479, 'Tittel': 'Statsreg. for utb. av Ulla-Førrevassdragene - Reguleringsbest. m.v.'}, {'KdbID': 698, 'Tittel': 'Ulla-Førrevassdragene , Statsregulering , Planendring'}, {'KdbID': 1010, 'Tittel': 'Ulla-Førre - Nytt manøvreringsreglement for Suldalslågen'}, {'KdbID': 1032, 'Tittel': 'Ulla-Førrevassdr. - Midlertidig endr. man.regl. / Hylen kraftverk'}, {'KdbID': 4227, 'Tittel': 'Ulla-Førre. Manøvreringsreglement for Suldalslågen'}, {'KdbID': 9657, 'Tittel': 'Søknad - Midlertidig fravik fra manøvreringsreglementet - Hylen\xa0kraftverk\xa0-\xa0STATKRAFT ENERGI AS - Fravik fra minstevannføring;Annet;  - 17.07.2025 til 30.10.2025- Referansenr:DUCIYK'}]</t>
  </si>
  <si>
    <t>Hylla</t>
  </si>
  <si>
    <t>Engerdal</t>
  </si>
  <si>
    <t>311.DB33</t>
  </si>
  <si>
    <t>1986-11-01T00:00:00</t>
  </si>
  <si>
    <t>[{'KdbID': 362, 'Tittel': 'Erverv av bruksrett til fall samt ytterligere regulering av Lille Hyllsjø og regulering av Hundsjø mv.'}, {'KdbID': 3004, 'Tittel': 'Endring av kons,vilkår, Brandals-/Tussavdr., Sagnfossen, Hylla'}, {'KdbID': 7708, 'Tittel': 'Erverv av fallrettigheter til Hylla kraftverk'}]</t>
  </si>
  <si>
    <t>Trysilelva</t>
  </si>
  <si>
    <t>979</t>
  </si>
  <si>
    <t>Hynna</t>
  </si>
  <si>
    <t>HYNNA KRAFT AS</t>
  </si>
  <si>
    <t>987934441</t>
  </si>
  <si>
    <t>123.D5Z</t>
  </si>
  <si>
    <t>2013-05-07T00:00:00</t>
  </si>
  <si>
    <t>[{'AdressatID': 43175, 'Driftselskap': True, 'Hovedeier': True, 'Navn': 'HYNNA KRAFT AS', 'OrgNr': 987934441, 'ProsentAndel': 100.0, 'ProsentAndelDrift': 100.0}]</t>
  </si>
  <si>
    <t>[{'KdbID': 4571, 'Tittel': 'Hynna Kraftverk'}]</t>
  </si>
  <si>
    <t>Høgefoss</t>
  </si>
  <si>
    <t>019.E2</t>
  </si>
  <si>
    <t>[{'KdbID': 1835, 'Tittel': 'Oppdemming av Sandarhylen og Kjørullvatnet i Nissedal.'}, {'KdbID': 7883, 'Tittel': 'O/U Høgefoss kraftverk'}]</t>
  </si>
  <si>
    <t>Høgfallet</t>
  </si>
  <si>
    <t>002.DD2A</t>
  </si>
  <si>
    <t>1989-01-01T00:00:00</t>
  </si>
  <si>
    <t>Høgfoss</t>
  </si>
  <si>
    <t>012.H3Z</t>
  </si>
  <si>
    <t>1916-09-09T00:00:00</t>
  </si>
  <si>
    <t>Hølera</t>
  </si>
  <si>
    <t>012.HA0</t>
  </si>
  <si>
    <t>2013-08-26T00:00:00</t>
  </si>
  <si>
    <t>[{'KdbID': 6783, 'Tittel': 'Hølera kraftverk (tidl. Olmhusfallet minikraftverk)'}]</t>
  </si>
  <si>
    <t>Hølseter</t>
  </si>
  <si>
    <t>Flesberg</t>
  </si>
  <si>
    <t>015.F4C</t>
  </si>
  <si>
    <t>[{'KdbID': 180, 'Tittel': 'Reg. av Gjuva, Vrenga og Høymyrelv m.v. i Buskerud'}]</t>
  </si>
  <si>
    <t>Hønefoss</t>
  </si>
  <si>
    <t>RINGERIKSKRAFT PRODUKSJON AS</t>
  </si>
  <si>
    <t>987293586</t>
  </si>
  <si>
    <t>012.F21</t>
  </si>
  <si>
    <t>1920-01-01T00:00:00</t>
  </si>
  <si>
    <t>[{'AdressatID': 25361, 'Driftselskap': True, 'Hovedeier': True, 'Navn': 'RINGERIKSKRAFT PRODUKSJON AS', 'OrgNr': 987293586, 'ProsentAndel': 100.0, 'ProsentAndelDrift': 100.0}]</t>
  </si>
  <si>
    <t>Høyanger K5A</t>
  </si>
  <si>
    <t>079.7A</t>
  </si>
  <si>
    <t>1965-06-30T00:00:00</t>
  </si>
  <si>
    <t>[{'KdbID': 385, 'Tittel': 'Regulering av Gautingdalsvassdraget i Høyanger'}, {'KdbID': 8993, 'Tittel': 'Midlertidig fravik fra manøvreringsreglementet - Høyanger K5A\xa0kraftverk\xa0-\xa0STATKRAFT ENERGI AS - Tapping under LRV ;  - 13.03.2023 til 14.04.2023- Referansenr:MXAJTU'}, {'KdbID': 9623, 'Tittel': 'Søknad - Midlertidig fråvik frå manøvreringsreglementet - Høyanger K5A\xa0kraftverk\xa0-\xa0STATKRAFT ENERGI AS - Tapping under LRV ;  - 05.05.2025 til 20.05.2025- Referansenr:KDXBYH'}]</t>
  </si>
  <si>
    <t>Øyrelva</t>
  </si>
  <si>
    <t>Høyanger K5B</t>
  </si>
  <si>
    <t>079.7B</t>
  </si>
  <si>
    <t>[{'KdbID': 385, 'Tittel': 'Regulering av Gautingdalsvassdraget i Høyanger'}]</t>
  </si>
  <si>
    <t>326</t>
  </si>
  <si>
    <t>Høydal</t>
  </si>
  <si>
    <t>HØYDAL KRAFTVERK AS</t>
  </si>
  <si>
    <t>979355548</t>
  </si>
  <si>
    <t>094.42D</t>
  </si>
  <si>
    <t>[{'AdressatID': 43378, 'Driftselskap': True, 'Hovedeier': True, 'Navn': 'HØYDAL KRAFTVERK AS', 'OrgNr': 979355548, 'ProsentAndel': 100.0, 'ProsentAndelDrift': 100.0}]</t>
  </si>
  <si>
    <t>Høylandsfoss</t>
  </si>
  <si>
    <t>025.3A2</t>
  </si>
  <si>
    <t>1948-01-01T00:00:00</t>
  </si>
  <si>
    <t>[{'KdbID': 500, 'Tittel': 'Reg. av Høylandsbotn i Fedavassdraget'}, {'KdbID': 1868, 'Tittel': 'Regulering av Høylandsbotn i Fedaelv.'}, {'KdbID': 2415, 'Tittel': 'Approb.forkjøpsrett erv. av Høylandsfoss kr.v'}, {'KdbID': 2578, 'Tittel': 'Erverv av fall og overf.reg.kons - Høylandsfoss'}]</t>
  </si>
  <si>
    <t>Håen</t>
  </si>
  <si>
    <t>TRØNDERENERGI KRAFT AS</t>
  </si>
  <si>
    <t>878631072</t>
  </si>
  <si>
    <t>122.AB</t>
  </si>
  <si>
    <t>1966-11-10T00:00:00</t>
  </si>
  <si>
    <t>[{'AdressatID': 27503, 'Driftselskap': True, 'Hovedeier': True, 'Navn': 'TRØNDERENERGI KRAFT AS', 'OrgNr': 878631072, 'ProsentAndel': 100.0, 'ProsentAndelDrift': 100.0}]</t>
  </si>
  <si>
    <t>[{'KdbID': 280, 'Tittel': 'Regulering av Håen i Lundesokna og reg. og overf. av Holtsjøen'}, {'KdbID': 1741, 'Tittel': 'Ekspropriasjon av grunn og rettigh. for Håen-kraftverk.'}, {'KdbID': 1934, 'Tittel': 'Ekspropriasjon av fallrettigheter i Lundesokna.'}, {'KdbID': 6812, 'Tittel': 'Revisjon av konsesjonsvilkår for reguleringer i Lundesokna og Holta'}]</t>
  </si>
  <si>
    <t>Håfoss</t>
  </si>
  <si>
    <t>HÅFOSS KRAFTVERK AS</t>
  </si>
  <si>
    <t>925316792</t>
  </si>
  <si>
    <t>042.3A</t>
  </si>
  <si>
    <t>2022-01-18T00:00:00</t>
  </si>
  <si>
    <t>[{'AdressatID': 61365, 'Driftselskap': True, 'Hovedeier': True, 'Navn': 'HÅFOSS KRAFTVERK AS', 'OrgNr': 925316792, 'ProsentAndel': 100.0, 'ProsentAndelDrift': 100.0}]</t>
  </si>
  <si>
    <t>[{'KdbID': 4532, 'Tittel': 'Håfoss kraftverk'}, {'KdbID': 8429, 'Tittel': 'Håfoss kraftverk - planendring'}]</t>
  </si>
  <si>
    <t>Hågjøla</t>
  </si>
  <si>
    <t>HÅGJØLA MIKROKRAFTVERK DA</t>
  </si>
  <si>
    <t>989425056</t>
  </si>
  <si>
    <t>087.5Z</t>
  </si>
  <si>
    <t>2007-05-28T00:00:00</t>
  </si>
  <si>
    <t>[{'AdressatID': 43362, 'Driftselskap': True, 'Hovedeier': True, 'Navn': 'HÅGJØLA MIKROKRAFTVERK DA', 'OrgNr': 989425056, 'ProsentAndel': 100.0, 'ProsentAndelDrift': 100.0}]</t>
  </si>
  <si>
    <t>[{'KdbID': 4458, 'Tittel': 'Hågjøla mikrokraftverk'}]</t>
  </si>
  <si>
    <t>Håkvik</t>
  </si>
  <si>
    <t>174.1B2</t>
  </si>
  <si>
    <t>1954-08-31T00:00:00</t>
  </si>
  <si>
    <t>[{'KdbID': 846, 'Tittel': 'Regulering av Håkvikvassdraget'}, {'KdbID': 847, 'Tittel': 'Ytterligere regulering av Håkvikvassdraget'}, {'KdbID': 9065, 'Tittel': 'Midlertidig fravik fra manøvreringsreglementet - Håkvik\xa0kraftverk\xa0-\xa0NORDKRAFT MAGASIN AS - Annet;  - 01.05.2023 til 10.05.2023- Referansenr:ZEANNA'}, {'KdbID': 9387, 'Tittel': 'Midlertidig fravik fra manøvreringsreglementet - Håkvik\xa0kraftverk\xa0-\xa0NORDKRAFT MAGASIN AS - Annet;  - 01.05.2024 til 15.05.2024- Referansenr:KYZGKH'}]</t>
  </si>
  <si>
    <t>Håkvikelva</t>
  </si>
  <si>
    <t>739</t>
  </si>
  <si>
    <t>Hålandsfoss</t>
  </si>
  <si>
    <t>082.5A1</t>
  </si>
  <si>
    <t>1955-07-01T00:00:00</t>
  </si>
  <si>
    <t>[{'KdbID': 58, 'Tittel': 'Ytterligere regulering av Strandevatn i Sogn og Fjordane'}, {'KdbID': 344, 'Tittel': 'Regulering av Strandevatnet i Nordre Bergenhus Amt'}, {'KdbID': 2031, 'Tittel': 'Oppr/utv. Hålandsfoss Kraftstasjon'}]</t>
  </si>
  <si>
    <t>Hålandsvika</t>
  </si>
  <si>
    <t>Sokndal</t>
  </si>
  <si>
    <t>026.4B1DB</t>
  </si>
  <si>
    <t>2023-01-25T00:00:00</t>
  </si>
  <si>
    <t>[{'KdbID': 8256, 'Tittel': 'Hålandvika kraftverk'}]</t>
  </si>
  <si>
    <t>Håra</t>
  </si>
  <si>
    <t>HÅRA KRAFT AS</t>
  </si>
  <si>
    <t>899065522</t>
  </si>
  <si>
    <t>036.E4A0</t>
  </si>
  <si>
    <t>2014-04-29T00:00:00</t>
  </si>
  <si>
    <t>[{'AdressatID': 43674, 'Driftselskap': True, 'Hovedeier': True, 'Navn': 'HÅRA KRAFT AS', 'OrgNr': 899065522, 'ProsentAndel': 100.0, 'ProsentAndelDrift': 100.0}]</t>
  </si>
  <si>
    <t>[{'KdbID': 5070, 'Tittel': 'Håra Kraftverk'}]</t>
  </si>
  <si>
    <t>Hårstadbekken</t>
  </si>
  <si>
    <t>135.D21</t>
  </si>
  <si>
    <t>[{'KdbID': 2341, 'Tittel': 'Mikrokraftverk i Hårstadbekken'}]</t>
  </si>
  <si>
    <t>Håvardsvatn</t>
  </si>
  <si>
    <t>049.BC2</t>
  </si>
  <si>
    <t>2006-09-13T00:00:00</t>
  </si>
  <si>
    <t>[{'KdbID': 3970, 'Tittel': 'Håvardsvatn kraftverk'}]</t>
  </si>
  <si>
    <t>Tysso</t>
  </si>
  <si>
    <t>214</t>
  </si>
  <si>
    <t>Håverstad</t>
  </si>
  <si>
    <t>Åseral</t>
  </si>
  <si>
    <t>022.D80</t>
  </si>
  <si>
    <t>[{'KdbID': 1250, 'Tittel': 'Fornyelse av reg. av Ørevatn.'}, {'KdbID': 6246, 'Tittel': 'Opprusting aggregat 1 Høverstad kraftverk'}]</t>
  </si>
  <si>
    <t>Håvik</t>
  </si>
  <si>
    <t>HÅVIK LARS</t>
  </si>
  <si>
    <t>869484032</t>
  </si>
  <si>
    <t>094.43</t>
  </si>
  <si>
    <t>[{'AdressatID': 51494, 'Driftselskap': True, 'Hovedeier': True, 'Navn': 'HÅVIK LARS', 'OrgNr': 869484032, 'ProsentAndel': 100.0, 'ProsentAndelDrift': 100.0}]</t>
  </si>
  <si>
    <t>Ilaget</t>
  </si>
  <si>
    <t>ILAGET ENERGI AS</t>
  </si>
  <si>
    <t>990311390</t>
  </si>
  <si>
    <t>[{'AdressatID': 43610, 'Driftselskap': True, 'Hovedeier': True, 'Navn': 'ILAGET ENERGI AS', 'OrgNr': 990311390, 'ProsentAndel': 100.0, 'ProsentAndelDrift': 100.0}]</t>
  </si>
  <si>
    <t>[{'KdbID': 4661, 'Tittel': 'Tveitelva småkraftverk'}]</t>
  </si>
  <si>
    <t>Ildgrubfossen</t>
  </si>
  <si>
    <t>156.AB2</t>
  </si>
  <si>
    <t>1950-07-01T00:00:00</t>
  </si>
  <si>
    <t>[{'KdbID': 884, 'Tittel': 'Erverv av fall i Tverråvassdraget og reg. av Rauvatn mv. - Ildgrubfossen '}, {'KdbID': 2468, 'Tittel': 'Erverv av fallrett i Tverråga / regulering av Rauvatn - omgjøring til tidsubegrenset'}, {'KdbID': 6482, 'Tittel': 'Regulering av Tverråvassdraget - Rauvatn, Tverrvatn og Øvre Sauvatn - Ildgrubfossen kraftverk'}, {'KdbID': 6484, 'Tittel': 'Ildgrubfossen kraftverk - skifte av turbin'}]</t>
  </si>
  <si>
    <t>Imsland</t>
  </si>
  <si>
    <t>2010-05-05T00:00:00</t>
  </si>
  <si>
    <t>[{'KdbID': 4393, 'Tittel': 'Imsland småkraftverk'}]</t>
  </si>
  <si>
    <t>Indre Fossen</t>
  </si>
  <si>
    <t>[{'KdbID': 2089, 'Tittel': 'Mikrokraftverk i Indrefossen'}]</t>
  </si>
  <si>
    <t>Indre Norddal</t>
  </si>
  <si>
    <t>MAGNE NORDDAL</t>
  </si>
  <si>
    <t>982965616</t>
  </si>
  <si>
    <t>2008-07-09T00:00:00</t>
  </si>
  <si>
    <t>[{'AdressatID': 43468, 'Driftselskap': True, 'Hovedeier': True, 'Navn': 'MAGNE NORDDAL', 'OrgNr': 982965616, 'ProsentAndel': 100.0, 'ProsentAndelDrift': 100.0}]</t>
  </si>
  <si>
    <t>[{'KdbID': 7197, 'Tittel': 'Indre Norddal kraft'}]</t>
  </si>
  <si>
    <t>Indrebø</t>
  </si>
  <si>
    <t>087.B1A</t>
  </si>
  <si>
    <t>2010-04-15T00:00:00</t>
  </si>
  <si>
    <t>[{'AdressatID': 43021, 'Driftselskap': True, 'Hovedeier': True, 'Navn': 'NYDALSELVA KRAFT AS', 'OrgNr': 893040412, 'ProsentAndel': 100.0, 'ProsentAndelDrift': 100.0}]</t>
  </si>
  <si>
    <t>[{'KdbID': 4542, 'Tittel': 'Indrebø minikraftverk'}]</t>
  </si>
  <si>
    <t>Indreitselva</t>
  </si>
  <si>
    <t>INDREITSELVA MINIKRAFTVERK AS</t>
  </si>
  <si>
    <t>890786332</t>
  </si>
  <si>
    <t>112.5</t>
  </si>
  <si>
    <t>2008-04-25T00:00:00</t>
  </si>
  <si>
    <t>[{'AdressatID': 42958, 'Driftselskap': True, 'Hovedeier': True, 'Navn': 'INDREITSELVA MINIKRAFTVERK AS', 'OrgNr': 890786332, 'ProsentAndel': 100.0, 'ProsentAndelDrift': 100.0}]</t>
  </si>
  <si>
    <t>[{'KdbID': 2479, 'Tittel': 'Minikraftverk i Indreitelva'}, {'KdbID': 4965, 'Tittel': 'Indreitselva minikraftverk'}]</t>
  </si>
  <si>
    <t>Ingstad</t>
  </si>
  <si>
    <t>INGSTAD KRAFT AS</t>
  </si>
  <si>
    <t>989840762</t>
  </si>
  <si>
    <t>124.B0</t>
  </si>
  <si>
    <t>2007-02-09T00:00:00</t>
  </si>
  <si>
    <t>[{'AdressatID': 43625, 'Driftselskap': True, 'Hovedeier': True, 'Navn': 'INGSTAD KRAFT AS', 'OrgNr': 989840762, 'ProsentAndel': 100.0, 'ProsentAndelDrift': 100.0}]</t>
  </si>
  <si>
    <t>[{'KdbID': 4146, 'Tittel': 'Ingstad mikrokraftverk'}]</t>
  </si>
  <si>
    <t>Innset</t>
  </si>
  <si>
    <t>196.AC8</t>
  </si>
  <si>
    <t>1960-02-01T00:00:00</t>
  </si>
  <si>
    <t>[{'KdbID': 743, 'Tittel': 'Overdragelse av reguleringstillatelser m.v. - Troms kraftforsyning'}, {'KdbID': 870, 'Tittel': 'Regulering av Altevatn'}, {'KdbID': 871, 'Tittel': 'Statsreg. av Altevatn og overf. av Salvasskarelv til Altevatn'}, {'KdbID': 872, 'Tittel': 'Overf. av Mouldajokka og Irggasjaurie til Altevatn'}]</t>
  </si>
  <si>
    <t>Innvik</t>
  </si>
  <si>
    <t>INNVIK KRAFTVERK AS</t>
  </si>
  <si>
    <t>988300306</t>
  </si>
  <si>
    <t>2007-04-15T00:00:00</t>
  </si>
  <si>
    <t>[{'AdressatID': 41223, 'Driftselskap': True, 'Hovedeier': True, 'Navn': 'INNVIK KRAFTVERK AS', 'OrgNr': 988300306, 'ProsentAndel': 100.0, 'ProsentAndelDrift': 100.0}]</t>
  </si>
  <si>
    <t>[{'KdbID': 2888, 'Tittel': 'Innvik kraftverk'}]</t>
  </si>
  <si>
    <t>370</t>
  </si>
  <si>
    <t>Istad</t>
  </si>
  <si>
    <t>105.3A0</t>
  </si>
  <si>
    <t>1919-01-01T00:00:00</t>
  </si>
  <si>
    <t>[{'KdbID': 62, 'Tittel': 'Regulering av Istadvassdraget, reg. og overf. av Skaldlielv'}, {'KdbID': 184, 'Tittel': 'Ytterligere regulering av Trollvatn i Istadvassdraget'}, {'KdbID': 6653, 'Tittel': 'Istad kraftverk'}]</t>
  </si>
  <si>
    <t>Olteråa</t>
  </si>
  <si>
    <t>Isvatn</t>
  </si>
  <si>
    <t>[{'KdbID': 2711, 'Tittel': 'Reg./overf. m.v. Isvatn, Lille Isvatn, Trolldalselva, Rundtuvvatn'}]</t>
  </si>
  <si>
    <t>Iungsdalshytta</t>
  </si>
  <si>
    <t>DEN NORSKE TURISTFORENING OSLO OG OMEGN</t>
  </si>
  <si>
    <t>940698332</t>
  </si>
  <si>
    <t>012.CFBG2</t>
  </si>
  <si>
    <t>2017-09-01T00:00:00</t>
  </si>
  <si>
    <t>[{'AdressatID': 50607, 'Driftselskap': True, 'Hovedeier': True, 'Navn': 'DEN NORSKE TURISTFORENING OSLO OG OMEGN', 'OrgNr': 940698332, 'ProsentAndel': 100.0, 'ProsentAndelDrift': 100.0}]</t>
  </si>
  <si>
    <t>[{'KdbID': 6776, 'Tittel': 'Iungsdalen mikrokraftverk'}]</t>
  </si>
  <si>
    <t>021.B1</t>
  </si>
  <si>
    <t>[{'KdbID': 1865, 'Tittel': 'Erverv av Grunn og rettigheter for utb. av Ivelandsfossen'}, {'KdbID': 4391, 'Tittel': 'Utvidelse av Iveland kraftverk'}]</t>
  </si>
  <si>
    <t>Jardøla</t>
  </si>
  <si>
    <t>JARDØLA KRAFT AS</t>
  </si>
  <si>
    <t>990960453</t>
  </si>
  <si>
    <t>087.A1Z</t>
  </si>
  <si>
    <t>2008-10-16T00:00:00</t>
  </si>
  <si>
    <t>[{'AdressatID': 42923, 'Driftselskap': True, 'Hovedeier': True, 'Navn': 'JARDØLA KRAFT AS', 'OrgNr': 990960453, 'ProsentAndel': 100.0, 'ProsentAndelDrift': 100.0}]</t>
  </si>
  <si>
    <t>[{'KdbID': 517, 'Tittel': 'Jardøla kraftverk'}]</t>
  </si>
  <si>
    <t>Jarlshaug</t>
  </si>
  <si>
    <t>JARLSHAUG KRAFT AS</t>
  </si>
  <si>
    <t>892401322</t>
  </si>
  <si>
    <t>055.AZ</t>
  </si>
  <si>
    <t>[{'AdressatID': 43110, 'Driftselskap': True, 'Hovedeier': True, 'Navn': 'JARLSHAUG KRAFT AS', 'OrgNr': 892401322, 'ProsentAndel': 100.0, 'ProsentAndelDrift': 100.0}]</t>
  </si>
  <si>
    <t>[{'KdbID': 3561, 'Tittel': 'Jarlshaug minikraftverk'}]</t>
  </si>
  <si>
    <t>Joka</t>
  </si>
  <si>
    <t>071.2Z</t>
  </si>
  <si>
    <t>[{'KdbID': 3564, 'Tittel': 'Joka kraftverk'}]</t>
  </si>
  <si>
    <t>287</t>
  </si>
  <si>
    <t>Jora</t>
  </si>
  <si>
    <t>JORA KRAFTVERK AS</t>
  </si>
  <si>
    <t>989251090</t>
  </si>
  <si>
    <t>121.B32</t>
  </si>
  <si>
    <t>2008-01-10T00:00:00</t>
  </si>
  <si>
    <t>[{'AdressatID': 43269, 'Driftselskap': True, 'Hovedeier': True, 'Navn': 'JORA KRAFTVERK AS', 'OrgNr': 989251090, 'ProsentAndel': 100.0, 'ProsentAndelDrift': 100.0}]</t>
  </si>
  <si>
    <t>[{'KdbID': 2839, 'Tittel': 'Jora minikraftverk'}]</t>
  </si>
  <si>
    <t>Jorda</t>
  </si>
  <si>
    <t>JORDA KRAFT AS</t>
  </si>
  <si>
    <t>998817374</t>
  </si>
  <si>
    <t>002.DG1Z</t>
  </si>
  <si>
    <t>2012-07-07T00:00:00</t>
  </si>
  <si>
    <t>[{'AdressatID': 43675, 'Driftselskap': True, 'Hovedeier': True, 'Navn': 'JORDA KRAFT AS', 'OrgNr': 998817374, 'ProsentAndel': 100.0, 'ProsentAndelDrift': 100.0}]</t>
  </si>
  <si>
    <t>[{'KdbID': 6785, 'Tittel': 'Jorda kraftverk'}]</t>
  </si>
  <si>
    <t>Jordal</t>
  </si>
  <si>
    <t>109.3Z</t>
  </si>
  <si>
    <t>2006-04-01T00:00:00</t>
  </si>
  <si>
    <t>[{'KdbID': 3468, 'Tittel': 'Ryssdal og Jordal kraftverk'}]</t>
  </si>
  <si>
    <t>Jordalselva</t>
  </si>
  <si>
    <t>445</t>
  </si>
  <si>
    <t>JORDALSKRAFT AS</t>
  </si>
  <si>
    <t>984992807</t>
  </si>
  <si>
    <t>[{'AdressatID': 43314, 'Driftselskap': True, 'Hovedeier': True, 'Navn': 'JORDALSKRAFT AS', 'OrgNr': 984992807, 'ProsentAndel': 100.0, 'ProsentAndelDrift': 100.0}]</t>
  </si>
  <si>
    <t>[{'KdbID': 2810, 'Tittel': 'Minikraftverk i Jordalselva'}]</t>
  </si>
  <si>
    <t>078.4A</t>
  </si>
  <si>
    <t>2018-02-02T00:00:00</t>
  </si>
  <si>
    <t>[{'KdbID': 4246, 'Tittel': 'Jordal kraftverk'}]</t>
  </si>
  <si>
    <t>Jorddalselvi</t>
  </si>
  <si>
    <t>323</t>
  </si>
  <si>
    <t>Jordalen</t>
  </si>
  <si>
    <t>JORDALEN KRAFTLAG AS</t>
  </si>
  <si>
    <t>985704562</t>
  </si>
  <si>
    <t>071.AAZ</t>
  </si>
  <si>
    <t>2005-01-26T00:00:00</t>
  </si>
  <si>
    <t>[{'AdressatID': 42880, 'Driftselskap': True, 'Hovedeier': True, 'Navn': 'JORDALEN KRAFTLAG AS', 'OrgNr': 985704562, 'ProsentAndel': 100.0, 'ProsentAndelDrift': 100.0}]</t>
  </si>
  <si>
    <t>[{'KdbID': 3206, 'Tittel': 'Jordalen minikraftverk'}]</t>
  </si>
  <si>
    <t>Jordalen 2</t>
  </si>
  <si>
    <t>071.AA3</t>
  </si>
  <si>
    <t>2017-05-11T00:00:00</t>
  </si>
  <si>
    <t>[{'KdbID': 4839, 'Tittel': 'Jordalen Kraftverk'}]</t>
  </si>
  <si>
    <t>Jostedal</t>
  </si>
  <si>
    <t>076.D10</t>
  </si>
  <si>
    <t>1989-12-01T00:00:00</t>
  </si>
  <si>
    <t>[{'KdbID': 660, 'Tittel': 'Jostedalsvassdraget, Ekspropriasjon av fallrettigheter'}, {'KdbID': 702, 'Tittel': 'Statsregulering for utbygging av Jostedalsvassdraget'}, {'KdbID': 9197, 'Tittel': 'Revisjon av konsesjonsvilkår for Jostedalsvassdraget'}]</t>
  </si>
  <si>
    <t>Jukla</t>
  </si>
  <si>
    <t>046.4BA</t>
  </si>
  <si>
    <t>1974-06-16T00:00:00</t>
  </si>
  <si>
    <t>[{'AdressatID': 40113, 'Driftselskap': False, 'Hovedeier': False, 'Navn': 'SKAGERAK KRAFT AS', 'OrgNr': 979563531, 'ProsentAndel': 14.94, 'ProsentAndelDrift': 14.94}, {'AdressatID': 41005, 'Driftselskap': True, 'Hovedeier': True, 'Navn': 'STATKRAFT ENERGI AS', 'OrgNr': 987059729, 'ProsentAndel': 85.06, 'ProsentAndelDrift': 85.06}]</t>
  </si>
  <si>
    <t>[{'KdbID': 713, 'Tittel': 'Statsregulering av Maurangervassdraget - Endring av manøvr.regl.'}, {'KdbID': 868, 'Tittel': 'Statsregulering av Maurangervassdragene m.v.'}]</t>
  </si>
  <si>
    <t>Øyreselva</t>
  </si>
  <si>
    <t>Julfoss</t>
  </si>
  <si>
    <t>JULFOSS KRAFTVERK AS</t>
  </si>
  <si>
    <t>929170288</t>
  </si>
  <si>
    <t>124.A1A</t>
  </si>
  <si>
    <t>2009-11-28T00:00:00</t>
  </si>
  <si>
    <t>[{'AdressatID': 63651, 'Driftselskap': True, 'Hovedeier': True, 'Navn': 'JULFOSS KRAFTVERK AS', 'OrgNr': 929170288, 'ProsentAndel': 100.0, 'ProsentAndelDrift': 100.0}]</t>
  </si>
  <si>
    <t>[{'KdbID': 4088, 'Tittel': 'Julfoss kraftverk'}]</t>
  </si>
  <si>
    <t>Julskaret</t>
  </si>
  <si>
    <t>SELBU ENERGIVERK AS</t>
  </si>
  <si>
    <t>980498646</t>
  </si>
  <si>
    <t>123.B7CC</t>
  </si>
  <si>
    <t>1968-08-31T00:00:00</t>
  </si>
  <si>
    <t>[{'AdressatID': 10517, 'Driftselskap': True, 'Hovedeier': True, 'Navn': 'SELBU ENERGIVERK AS', 'OrgNr': 980498646, 'ProsentAndel': 100.0, 'ProsentAndelDrift': 100.0}]</t>
  </si>
  <si>
    <t>[{'KdbID': 365, 'Tittel': 'Overføring av Nåla til Sørungen, bygging av Julskaret kraftverk'}]</t>
  </si>
  <si>
    <t>Juvet</t>
  </si>
  <si>
    <t>JUVET KRAFT AS</t>
  </si>
  <si>
    <t>879757762</t>
  </si>
  <si>
    <t>019.DCAA</t>
  </si>
  <si>
    <t>2002-05-24T00:00:00</t>
  </si>
  <si>
    <t>[{'AdressatID': 43843, 'Driftselskap': True, 'Hovedeier': True, 'Navn': 'JUVET KRAFT AS', 'OrgNr': 879757762, 'ProsentAndel': 100.0, 'ProsentAndelDrift': 100.0}]</t>
  </si>
  <si>
    <t>[{'KdbID': 2486, 'Tittel': 'Minikraftverk Gjuvåi, opprusting av gl. verk'}]</t>
  </si>
  <si>
    <t>Juvfossen</t>
  </si>
  <si>
    <t>098.3Z</t>
  </si>
  <si>
    <t>2002-04-17T00:00:00</t>
  </si>
  <si>
    <t>[{'KdbID': 1773, 'Tittel': 'Opprusting av Juvfossen kraftverk'}]</t>
  </si>
  <si>
    <t>Juvsbekken</t>
  </si>
  <si>
    <t>015.JC12</t>
  </si>
  <si>
    <t>[{'KdbID': 2292, 'Tittel': 'Mikrokraftverk Juvsbekken'}]</t>
  </si>
  <si>
    <t>JØLSTRA KRAFT DA</t>
  </si>
  <si>
    <t>921989121</t>
  </si>
  <si>
    <t>084.D1</t>
  </si>
  <si>
    <t>[{'AdressatID': 25445, 'Driftselskap': True, 'Hovedeier': False, 'Navn': 'EVINY FORNYBAR AS', 'OrgNr': 876944642, 'ProsentAndel': 50.0, 'ProsentAndelDrift': None}, {'AdressatID': 25454, 'Driftselskap': False, 'Hovedeier': False, 'Navn': 'SFE AS', 'OrgNr': 984882106, 'ProsentAndel': 50.0, 'ProsentAndelDrift': None}, {'AdressatID': 52532, 'Driftselskap': False, 'Hovedeier': True, 'Navn': 'JØLSTRA KRAFT DA', 'OrgNr': 921989121, 'ProsentAndel': None, 'ProsentAndelDrift': 100.0}]</t>
  </si>
  <si>
    <t>[{'KdbID': 5885, 'Tittel': 'Jølstra kraftverk (Sunnfjord Energi)'}]</t>
  </si>
  <si>
    <t>Jølstraholmen</t>
  </si>
  <si>
    <t>JØLSTRAHOLMEN KRAFTVERK AS</t>
  </si>
  <si>
    <t>983082106</t>
  </si>
  <si>
    <t>084.D6</t>
  </si>
  <si>
    <t>[{'AdressatID': 62857, 'Driftselskap': True, 'Hovedeier': True, 'Navn': 'JØLSTRAHOLMEN KRAFTVERK AS', 'OrgNr': 983082106, 'ProsentAndel': 100.0, 'ProsentAndelDrift': 100.0}]</t>
  </si>
  <si>
    <t>[{'KdbID': 2912, 'Tittel': 'Jølstraholmen minikraftverk'}]</t>
  </si>
  <si>
    <t>Jølåna</t>
  </si>
  <si>
    <t>JØLÅNA KRAFT AS</t>
  </si>
  <si>
    <t>994276484</t>
  </si>
  <si>
    <t>089.14</t>
  </si>
  <si>
    <t>2011-11-10T00:00:00</t>
  </si>
  <si>
    <t>[{'AdressatID': 43092, 'Driftselskap': True, 'Hovedeier': True, 'Navn': 'JØLÅNA KRAFT AS', 'OrgNr': 994276484, 'ProsentAndel': 100.0, 'ProsentAndelDrift': 100.0}]</t>
  </si>
  <si>
    <t>[{'KdbID': 5413, 'Tittel': 'Jølåna småkraftverk'}]</t>
  </si>
  <si>
    <t>Jønnhalt</t>
  </si>
  <si>
    <t>Ringebu</t>
  </si>
  <si>
    <t>002.DF1B0</t>
  </si>
  <si>
    <t>2022-11-01T00:00:00</t>
  </si>
  <si>
    <t>[{'KdbID': 8565, 'Tittel': 'Mikrokraftverk ved Jønnhalt i Ringebu'}]</t>
  </si>
  <si>
    <t>Jørnevikelva</t>
  </si>
  <si>
    <t>062.B10</t>
  </si>
  <si>
    <t>2024-11-29T00:00:00</t>
  </si>
  <si>
    <t>[{'KdbID': 3889, 'Tittel': 'Jørnevikelvi kraftverk'}]</t>
  </si>
  <si>
    <t>Jørundland</t>
  </si>
  <si>
    <t>019.CB40</t>
  </si>
  <si>
    <t>1970-10-02T00:00:00</t>
  </si>
  <si>
    <t>[{'KdbID': 784, 'Tittel': 'Regulering av Nesvatn'}, {'KdbID': 785, 'Tittel': 'Overføringer m.v. i Gjøvdalsvassdraget for utb. av Jørundland kr.v.'}, {'KdbID': 9424, 'Tittel': 'Midlertidig fravik fra lavvannføring for Nesvatn/Jørundland\xa0kraftverk\xa0i perioden 30.08-04.10 2024'}]</t>
  </si>
  <si>
    <t>Jøssang</t>
  </si>
  <si>
    <t>032.A</t>
  </si>
  <si>
    <t>2010-12-09T00:00:00</t>
  </si>
  <si>
    <t>[{'KdbID': 4074, 'Tittel': 'Jøssang kraftverk'}, {'KdbID': 5462, 'Tittel': 'Overføring av Solheimsåna til Jøssang kraftverk'}, {'KdbID': 7554, 'Tittel': 'Omgjøring av konsesjon - retting av manøvreringsreglement - Dalavatn i Jørpelandsåna'}]</t>
  </si>
  <si>
    <t>Jøssingfjord</t>
  </si>
  <si>
    <t>TITANIA AS</t>
  </si>
  <si>
    <t>916769318</t>
  </si>
  <si>
    <t>026.3B</t>
  </si>
  <si>
    <t>[{'AdressatID': 11978, 'Driftselskap': True, 'Hovedeier': True, 'Navn': 'TITANIA AS', 'OrgNr': 916769318, 'ProsentAndel': 100.0, 'ProsentAndelDrift': 100.0}]</t>
  </si>
  <si>
    <t>[{'KdbID': 4658, 'Tittel': 'Jøssingfjord kraftverk'}]</t>
  </si>
  <si>
    <t>Loneelva</t>
  </si>
  <si>
    <t>133</t>
  </si>
  <si>
    <t>Jåstad</t>
  </si>
  <si>
    <t>2010-06-23T00:00:00</t>
  </si>
  <si>
    <t>[{'KdbID': 5162, 'Tittel': 'Indre Jåstadelva &amp; Kvernhusbekken minikraftverk'}]</t>
  </si>
  <si>
    <t>Kaggefoss</t>
  </si>
  <si>
    <t>012.CA4</t>
  </si>
  <si>
    <t>1951-01-01T00:00:00</t>
  </si>
  <si>
    <t>[{'KdbID': 337, 'Tittel': 'Regulering av Krøderen - Endring av manøvreringsreglementet'}, {'KdbID': 8672, 'Tittel': 'Ekspropriasjon til utbygging av Kaggefoss og Kistefoss i Snarumselva'}, {'KdbID': 8673, 'Tittel': 'Utbygging av Kaggefoss og Kistefoss i Snarumselva'}]</t>
  </si>
  <si>
    <t>Kaldestad</t>
  </si>
  <si>
    <t>KVAM KRAFTVERK AS</t>
  </si>
  <si>
    <t>979599684</t>
  </si>
  <si>
    <t>052.72Z</t>
  </si>
  <si>
    <t>1936-01-01T00:00:00</t>
  </si>
  <si>
    <t>[{'AdressatID': 29094, 'Driftselskap': True, 'Hovedeier': True, 'Navn': 'KVAM KRAFTVERK AS', 'OrgNr': 979599684, 'ProsentAndel': 100.0, 'ProsentAndelDrift': 100.0}]</t>
  </si>
  <si>
    <t>[{'KdbID': 141, 'Tittel': 'Regulering av Kaldestadvassdraget i Hardanger'}, {'KdbID': 578, 'Tittel': 'Overføring av Lysenelva, regulering av Finnhellervatn, Hordaland'}]</t>
  </si>
  <si>
    <t>Kaldestadelvi</t>
  </si>
  <si>
    <t>237</t>
  </si>
  <si>
    <t>061.C</t>
  </si>
  <si>
    <t>1964-11-05T00:00:00</t>
  </si>
  <si>
    <t>[{'KdbID': 313, 'Tittel': 'Endr. manøvreringsregl. for Bergsdalsvassdraget - minstevannf.'}, {'KdbID': 8029, 'Tittel': 'Revisjon av konsesjonsvilkår for Bergsdals- og Torfinnsvassdragene'}, {'KdbID': 9066, 'Tittel': 'Midlertidig fravik fra manøvreringsreglementet - Kaldestad\xa0kraftverk\xa0-\xa0EVINY FORNYBAR AS - Annet;  - 06.05.2023 til 12.05.2023- Referansenr:PNFFKO'}]</t>
  </si>
  <si>
    <t>Kaldheim Bruk</t>
  </si>
  <si>
    <t>041.AA1A</t>
  </si>
  <si>
    <t>Kaldsåni</t>
  </si>
  <si>
    <t>021.J8</t>
  </si>
  <si>
    <t>[{'KdbID': 5754, 'Tittel': 'Kaldsåni kraftverk'}]</t>
  </si>
  <si>
    <t>Kaldåga</t>
  </si>
  <si>
    <t>152.2C</t>
  </si>
  <si>
    <t>1958-11-12T00:00:00</t>
  </si>
  <si>
    <t>[{'KdbID': 851, 'Tittel': 'Erverv og reg. av Kaldåga m.v.'}, {'KdbID': 9570, 'Tittel': 'Søknad - Midlertidig fravik fra manøvreringsreglementet - Kaldåga\xa0kraftverk\xa0-\xa0HELGELAND KRAFT VANNKRAFT AS - Tapping under LRV ;  - 01.03.2025 til 11.04.2025- Referansenr:WXFLJC'}, {'KdbID': 9827, 'Tittel': 'Søknad - Midlertidig fravik fra manøvreringsreglementet - Kaldåga\xa0kraftverk\xa0-\xa0HELGELAND KRAFT VANNKRAFT AS - Tapping under LRV ;  - 02.03.2026 til 20.03.2026- Referansenr:KTEZNS'}]</t>
  </si>
  <si>
    <t>Drevja</t>
  </si>
  <si>
    <t>637</t>
  </si>
  <si>
    <t>173.310</t>
  </si>
  <si>
    <t>2019-12-04T00:00:00</t>
  </si>
  <si>
    <t>[{'KdbID': 5826, 'Tittel': 'Kaldåga kraftverk'}]</t>
  </si>
  <si>
    <t>Kaldåna</t>
  </si>
  <si>
    <t>KALDÅNA KRAFT AS</t>
  </si>
  <si>
    <t>911931931</t>
  </si>
  <si>
    <t>037.5B</t>
  </si>
  <si>
    <t>2014-12-17T00:00:00</t>
  </si>
  <si>
    <t>[{'AdressatID': 50063, 'Driftselskap': True, 'Hovedeier': True, 'Navn': 'KALDÅNA KRAFT AS', 'OrgNr': 911931931, 'ProsentAndel': 100.0, 'ProsentAndelDrift': 100.0}]</t>
  </si>
  <si>
    <t>[{'KdbID': 5326, 'Tittel': 'Kaldåna småkraftverk'}]</t>
  </si>
  <si>
    <t>Tysselandselva</t>
  </si>
  <si>
    <t>171</t>
  </si>
  <si>
    <t>Kaldåni</t>
  </si>
  <si>
    <t>JENNY KRISTINA SELSVIK MÅKESTAD</t>
  </si>
  <si>
    <t>932869217</t>
  </si>
  <si>
    <t>048.21</t>
  </si>
  <si>
    <t>[{'AdressatID': 69455, 'Driftselskap': True, 'Hovedeier': True, 'Navn': 'JENNY KRISTINA SELSVIK MÅKESTAD', 'OrgNr': 932869217, 'ProsentAndel': 100.0, 'ProsentAndelDrift': 100.0}]</t>
  </si>
  <si>
    <t>[{'KdbID': 3568, 'Tittel': 'Kaldåni mikrokraftverk'}]</t>
  </si>
  <si>
    <t>Kalsabø</t>
  </si>
  <si>
    <t>TORSTEIN MIKAL BRATLAND</t>
  </si>
  <si>
    <t>980139131</t>
  </si>
  <si>
    <t>036.D1</t>
  </si>
  <si>
    <t>[{'AdressatID': 27577, 'Driftselskap': True, 'Hovedeier': True, 'Navn': 'TORSTEIN MIKAL BRATLAND', 'OrgNr': 980139131, 'ProsentAndel': 100.0, 'ProsentAndelDrift': 100.0}]</t>
  </si>
  <si>
    <t>[{'KdbID': 2622, 'Tittel': 'Kalsbø mikrokraftverk'}]</t>
  </si>
  <si>
    <t>Kalvedalen</t>
  </si>
  <si>
    <t>012.LE1</t>
  </si>
  <si>
    <t>1967-12-17T00:00:00</t>
  </si>
  <si>
    <t>[{'KdbID': 256, 'Tittel': 'Regulering av Sendebotntjern i Vang'}, {'KdbID': 465, 'Tittel': 'Overføring av Rysna og Mugna, Bygging av Kalvedalen kraftverk'}, {'KdbID': 798, 'Tittel': 'Regulering av Olevatn og Fleinsendin i Raudøla'}, {'KdbID': 799, 'Tittel': 'Ytt. reg. av Olevatn i Raudøla'}]</t>
  </si>
  <si>
    <t>Kalvåa</t>
  </si>
  <si>
    <t>KRISTIAN STOKKE</t>
  </si>
  <si>
    <t>971499176</t>
  </si>
  <si>
    <t>123.D11Z</t>
  </si>
  <si>
    <t>[{'AdressatID': 60437, 'Driftselskap': True, 'Hovedeier': True, 'Navn': 'KRISTIAN STOKKE', 'OrgNr': 971499176, 'ProsentAndel': 100.0, 'ProsentAndelDrift': 100.0}]</t>
  </si>
  <si>
    <t>[{'KdbID': 2291, 'Tittel': 'Minikraftverk i Kalvåa'}]</t>
  </si>
  <si>
    <t>Kambe Kraft</t>
  </si>
  <si>
    <t>041.A0</t>
  </si>
  <si>
    <t>[{'KdbID': 3080, 'Tittel': 'Kambe mikrokraftverk'}]</t>
  </si>
  <si>
    <t>Kammerfoss</t>
  </si>
  <si>
    <t>017.A0</t>
  </si>
  <si>
    <t>[{'KdbID': 687, 'Tittel': 'Erverv og drift av Kammerfos Kraftverk i Kragerøvassdraget'}, {'KdbID': 2746, 'Tittel': 'Ervervskonsesjon for Kammerfoss kraftverk'}]</t>
  </si>
  <si>
    <t>Kanalen</t>
  </si>
  <si>
    <t>083.C4</t>
  </si>
  <si>
    <t>[{'KdbID': 4065, 'Tittel': 'Kanalen mikrokraftverk'}]</t>
  </si>
  <si>
    <t>Kandal</t>
  </si>
  <si>
    <t>KANDAL KRAFTVERK AS</t>
  </si>
  <si>
    <t>925797553</t>
  </si>
  <si>
    <t>087.B13</t>
  </si>
  <si>
    <t>2009-10-15T00:00:00</t>
  </si>
  <si>
    <t>[{'AdressatID': 61175, 'Driftselskap': True, 'Hovedeier': True, 'Navn': 'KANDAL KRAFTVERK AS', 'OrgNr': 925797553, 'ProsentAndel': 100.0, 'ProsentAndelDrift': 100.0}]</t>
  </si>
  <si>
    <t>[{'KdbID': 4509, 'Tittel': 'Kandal kraftverk'}]</t>
  </si>
  <si>
    <t>Kangsliåga</t>
  </si>
  <si>
    <t>155.4A0</t>
  </si>
  <si>
    <t>2010-06-01T00:00:00</t>
  </si>
  <si>
    <t>[{'KdbID': 4425, 'Tittel': 'Kangsliåga kraftverk'}]</t>
  </si>
  <si>
    <t>Kanndalen</t>
  </si>
  <si>
    <t>2012-01-18T00:00:00</t>
  </si>
  <si>
    <t>[{'KdbID': 4598, 'Tittel': 'Kanndalen kraftverk'}]</t>
  </si>
  <si>
    <t>Karstad</t>
  </si>
  <si>
    <t>KARSTAD MINIKRAFTVERK AS</t>
  </si>
  <si>
    <t>992353732</t>
  </si>
  <si>
    <t>083.E0</t>
  </si>
  <si>
    <t>2009-04-01T00:00:00</t>
  </si>
  <si>
    <t>[{'AdressatID': 43360, 'Driftselskap': True, 'Hovedeier': True, 'Navn': 'KARSTAD MINIKRAFTVERK AS', 'OrgNr': 992353732, 'ProsentAndel': 100.0, 'ProsentAndelDrift': 100.0}]</t>
  </si>
  <si>
    <t>[{'KdbID': 5332, 'Tittel': 'Karstad minikraftverk'}]</t>
  </si>
  <si>
    <t>Kastdalen</t>
  </si>
  <si>
    <t>052.51A</t>
  </si>
  <si>
    <t>1969-01-01T00:00:00</t>
  </si>
  <si>
    <t>Kaupanger</t>
  </si>
  <si>
    <t>KAUPANGER ENERGI AS</t>
  </si>
  <si>
    <t>990784779</t>
  </si>
  <si>
    <t>077.1A</t>
  </si>
  <si>
    <t>[{'AdressatID': 42721, 'Driftselskap': True, 'Hovedeier': True, 'Navn': 'KAUPANGER ENERGI AS', 'OrgNr': 990784779, 'ProsentAndel': 100.0, 'ProsentAndelDrift': 100.0}]</t>
  </si>
  <si>
    <t>Kaupangerelvi</t>
  </si>
  <si>
    <t>314</t>
  </si>
  <si>
    <t>Kaupanger 3</t>
  </si>
  <si>
    <t>077.1B</t>
  </si>
  <si>
    <t>2010-04-12T00:00:00</t>
  </si>
  <si>
    <t>[{'KdbID': 4665, 'Tittel': 'Kaupanger 3 og 4 kraftverk (K3/K4)'}]</t>
  </si>
  <si>
    <t>Kildal</t>
  </si>
  <si>
    <t>KILDAL KRAFT AS</t>
  </si>
  <si>
    <t>915443249</t>
  </si>
  <si>
    <t>159.92Z</t>
  </si>
  <si>
    <t>2021-10-22T00:00:00</t>
  </si>
  <si>
    <t>[{'AdressatID': 61594, 'Driftselskap': True, 'Hovedeier': True, 'Navn': 'KILDAL KRAFT AS', 'OrgNr': 915443249, 'ProsentAndel': 100.0, 'ProsentAndelDrift': 100.0}]</t>
  </si>
  <si>
    <t>[{'KdbID': 7438, 'Tittel': 'Kildal Kraftverk'}]</t>
  </si>
  <si>
    <t>Kildalselva</t>
  </si>
  <si>
    <t>Kildalen</t>
  </si>
  <si>
    <t>Nordreisa</t>
  </si>
  <si>
    <t>208.AA1</t>
  </si>
  <si>
    <t>1960-09-18T00:00:00</t>
  </si>
  <si>
    <t>[{'KdbID': 292, 'Tittel': 'Regulering av Kildalsvassdraget i Nordreisa'}]</t>
  </si>
  <si>
    <t>Reisavassdraget</t>
  </si>
  <si>
    <t>825</t>
  </si>
  <si>
    <t>Kilsti</t>
  </si>
  <si>
    <t>[{'KdbID': 2363, 'Tittel': 'Mikrokraftverk Kilsti'}]</t>
  </si>
  <si>
    <t>Kinnali</t>
  </si>
  <si>
    <t>KINNALI KRAFT AS</t>
  </si>
  <si>
    <t>993528315</t>
  </si>
  <si>
    <t>050.1AZ</t>
  </si>
  <si>
    <t>[{'AdressatID': 53116, 'Driftselskap': True, 'Hovedeier': True, 'Navn': 'KINNALI KRAFT AS', 'OrgNr': 993528315, 'ProsentAndel': 100.0, 'ProsentAndelDrift': 100.0}]</t>
  </si>
  <si>
    <t>[{'KdbID': 2110, 'Tittel': 'Mikrokraftverk - Vivippo i Kinso'}]</t>
  </si>
  <si>
    <t>Kinso</t>
  </si>
  <si>
    <t>Kinnali II</t>
  </si>
  <si>
    <t>Kinnforsen</t>
  </si>
  <si>
    <t>155.3Z</t>
  </si>
  <si>
    <t>2014-08-15T00:00:00</t>
  </si>
  <si>
    <t>[{'KdbID': 5092, 'Tittel': 'Kinnforsen kraftverk'}]</t>
  </si>
  <si>
    <t>Kvassteinåga</t>
  </si>
  <si>
    <t>647</t>
  </si>
  <si>
    <t>050.1B2</t>
  </si>
  <si>
    <t>2016-03-31T00:00:00</t>
  </si>
  <si>
    <t>[{'KdbID': 2645, 'Tittel': 'Kinso kraftverk øking av slukeevnen'}]</t>
  </si>
  <si>
    <t>218</t>
  </si>
  <si>
    <t>Kistafossen</t>
  </si>
  <si>
    <t>Rødøy</t>
  </si>
  <si>
    <t>159.52B</t>
  </si>
  <si>
    <t>2008-03-06T00:00:00</t>
  </si>
  <si>
    <t>[{'KdbID': 4102, 'Tittel': 'Kistafossen kraftverk'}]</t>
  </si>
  <si>
    <t>Østerdalselva</t>
  </si>
  <si>
    <t>668</t>
  </si>
  <si>
    <t>Kiste</t>
  </si>
  <si>
    <t>015.4C</t>
  </si>
  <si>
    <t>1917-02-25T00:00:00</t>
  </si>
  <si>
    <t>Kistefoss I</t>
  </si>
  <si>
    <t>1942-01-01T00:00:00</t>
  </si>
  <si>
    <t>[{'AdressatID': 11909, 'Driftselskap': False, 'Hovedeier': True, 'Navn': 'AS RANDSFJORD TREMASSE- &amp; PAPIRFABRIKK', 'OrgNr': 915297331, 'ProsentAndel': None, 'ProsentAndelDrift': 100.0}, {'AdressatID': 25361, 'Driftselskap': False, 'Hovedeier': False, 'Navn': 'RINGERIKSKRAFT PRODUKSJON AS', 'OrgNr': 987293586, 'ProsentAndel': 50.0, 'ProsentAndelDrift': None}, {'AdressatID': 25551, 'Driftselskap': True, 'Hovedeier': False, 'Navn': 'HADELAND KRAFTPRODUKSJON AS', 'OrgNr': 976465792, 'ProsentAndel': 50.0, 'ProsentAndelDrift': None}]</t>
  </si>
  <si>
    <t>[{'KdbID': 1789, 'Tittel': 'Erverv av fallrettigheter i Viulfoss, Kistefoss, Askerudfoss, Bergerfoss'}]</t>
  </si>
  <si>
    <t>Kistefoss II</t>
  </si>
  <si>
    <t>1955-01-01T00:00:00</t>
  </si>
  <si>
    <t>Kittilsviken</t>
  </si>
  <si>
    <t>KITTILSVIKEN KRAFTVERK AS</t>
  </si>
  <si>
    <t>989736744</t>
  </si>
  <si>
    <t>012.CB7B</t>
  </si>
  <si>
    <t>2007-05-02T00:00:00</t>
  </si>
  <si>
    <t>[{'AdressatID': 42433, 'Driftselskap': True, 'Hovedeier': True, 'Navn': 'KITTILSVIKEN KRAFTVERK AS', 'OrgNr': 989736744, 'ProsentAndel': 100.0, 'ProsentAndelDrift': 100.0}]</t>
  </si>
  <si>
    <t>[{'KdbID': 4237, 'Tittel': 'Kittilsviken småkraftverk'}]</t>
  </si>
  <si>
    <t>Kjela</t>
  </si>
  <si>
    <t>016.BEE2</t>
  </si>
  <si>
    <t>1979-06-30T00:00:00</t>
  </si>
  <si>
    <t>[{'KdbID': 669, 'Tittel': 'Tokke-Vinje vassdraget - Endring av man.regl. for Kjela kraftverk'}, {'KdbID': 909, 'Tittel': 'Statsreg. m.v. av Tokke-Vinjevassdraget'}, {'KdbID': 913, 'Tittel': 'Ytt. statsreg. av Tokke-Vinjevassdraget'}, {'KdbID': 1129, 'Tittel': 'Statsreg. av Tokke-Vinjevassdraget - Disp. vilkår'}, {'KdbID': 1145, 'Tittel': 'Statsreg. Tokke-Vinjevassdraget - Manøvreringsregl. ytt. reg.'}, {'KdbID': 1774, 'Tittel': 'Kjela kraftverk - Fastsettelse av nytt man.regl.'}, {'KdbID': 9534, 'Tittel': 'Søknad - Midlertidig fravik fra manøvreringsreglementet - Kjela\xa0kraftverk\xa0-\xa0STATKRAFT ENERGI AS - Fravik fra minstevannføring;Annet;  - 24.02.2025 til 28.04.2025- Referansenr:DFNACK'}]</t>
  </si>
  <si>
    <t>82</t>
  </si>
  <si>
    <t>Kjeldalselva</t>
  </si>
  <si>
    <t>KJELDALSELVA KRAFT AS</t>
  </si>
  <si>
    <t>997092864</t>
  </si>
  <si>
    <t>204.7</t>
  </si>
  <si>
    <t>2020-06-05T00:00:00</t>
  </si>
  <si>
    <t>[{'AdressatID': 43794, 'Driftselskap': True, 'Hovedeier': False, 'Navn': 'CLEMENS KRAFT AS', 'OrgNr': 912511480, 'ProsentAndel': None, 'ProsentAndelDrift': None}, {'AdressatID': 50352, 'Driftselskap': False, 'Hovedeier': True, 'Navn': 'KJELDALSELVA KRAFT AS', 'OrgNr': 997092864, 'ProsentAndel': 100.0, 'ProsentAndelDrift': 100.0}]</t>
  </si>
  <si>
    <t>[{'KdbID': 4748, 'Tittel': 'Kjeldalselva kraftverk'}]</t>
  </si>
  <si>
    <t>Kjeldebekken</t>
  </si>
  <si>
    <t>BOTNAKRAFT AS</t>
  </si>
  <si>
    <t>921676786</t>
  </si>
  <si>
    <t>[{'AdressatID': 60260, 'Driftselskap': True, 'Hovedeier': True, 'Navn': 'BOTNAKRAFT AS', 'OrgNr': 921676786, 'ProsentAndel': 100.0, 'ProsentAndelDrift': 100.0}]</t>
  </si>
  <si>
    <t>[{'KdbID': 2298, 'Tittel': 'Minikrv Kjeldebekken og Nipefossen'}]</t>
  </si>
  <si>
    <t>Kjeldåga</t>
  </si>
  <si>
    <t>KJELDÅGA MINIKRAFTVERK AS</t>
  </si>
  <si>
    <t>927375540</t>
  </si>
  <si>
    <t>161.F22</t>
  </si>
  <si>
    <t>2004-01-26T00:00:00</t>
  </si>
  <si>
    <t>[{'AdressatID': 61621, 'Driftselskap': True, 'Hovedeier': True, 'Navn': 'KJELDÅGA MINIKRAFTVERK AS', 'OrgNr': 927375540, 'ProsentAndel': 100.0, 'ProsentAndelDrift': 100.0}]</t>
  </si>
  <si>
    <t>[{'KdbID': 2933, 'Tittel': 'Kjeldåga minikraftverk'}]</t>
  </si>
  <si>
    <t>684</t>
  </si>
  <si>
    <t>Kjensvatn</t>
  </si>
  <si>
    <t>155.4E</t>
  </si>
  <si>
    <t>2014-07-24T00:00:00</t>
  </si>
  <si>
    <t>[{'KdbID': 3535, 'Tittel': 'Reg/overf. Durmålsvatn, Gråfjellbekken, erv, Kjensvatn kraftverk'}]</t>
  </si>
  <si>
    <t>653</t>
  </si>
  <si>
    <t>Kjerringnes</t>
  </si>
  <si>
    <t>KJERRINGNES KRAFT AS</t>
  </si>
  <si>
    <t>915148360</t>
  </si>
  <si>
    <t>077.C22</t>
  </si>
  <si>
    <t>2021-10-01T00:00:00</t>
  </si>
  <si>
    <t>[{'AdressatID': 51030, 'Driftselskap': False, 'Hovedeier': True, 'Navn': 'KJERRINGNES KRAFT AS', 'OrgNr': 915148360, 'ProsentAndel': 100.0, 'ProsentAndelDrift': 100.0}, {'AdressatID': 52024, 'Driftselskap': True, 'Hovedeier': False, 'Navn': 'CAPTIVA ASSET MANAGEMENT AS', 'OrgNr': 991840192, 'ProsentAndel': None, 'ProsentAndelDrift': None}]</t>
  </si>
  <si>
    <t>[{'KdbID': 6375, 'Tittel': 'Kjerringnes kraftverk'}]</t>
  </si>
  <si>
    <t>Kjeråa</t>
  </si>
  <si>
    <t>KJERÅA KRAFTVERK AS</t>
  </si>
  <si>
    <t>929056019</t>
  </si>
  <si>
    <t>Namsskogan</t>
  </si>
  <si>
    <t>139.F1Z</t>
  </si>
  <si>
    <t>2023-12-11T00:00:00</t>
  </si>
  <si>
    <t>[{'AdressatID': 52060, 'Driftselskap': True, 'Hovedeier': False, 'Navn': 'LOCUS HYDRO AS', 'OrgNr': 920176321, 'ProsentAndel': None, 'ProsentAndelDrift': None}, {'AdressatID': 65092, 'Driftselskap': False, 'Hovedeier': True, 'Navn': 'KJERÅA KRAFTVERK AS', 'OrgNr': 929056019, 'ProsentAndel': 100.0, 'ProsentAndelDrift': 100.0}]</t>
  </si>
  <si>
    <t>[{'KdbID': 5597, 'Tittel': 'Kjeråa kraftverk'}]</t>
  </si>
  <si>
    <t>Kjetland</t>
  </si>
  <si>
    <t>KJETLAND KRAFT AS</t>
  </si>
  <si>
    <t>982066948</t>
  </si>
  <si>
    <t>067.2A1A</t>
  </si>
  <si>
    <t>[{'AdressatID': 41089, 'Driftselskap': True, 'Hovedeier': True, 'Navn': 'KJETLAND KRAFT AS', 'OrgNr': 982066948, 'ProsentAndel': 100.0, 'ProsentAndelDrift': 100.0}]</t>
  </si>
  <si>
    <t>[{'KdbID': 3198, 'Tittel': 'Kjetland kraftverk'}]</t>
  </si>
  <si>
    <t>Kjosfoss</t>
  </si>
  <si>
    <t>BANE NOR SF</t>
  </si>
  <si>
    <t>917082308</t>
  </si>
  <si>
    <t>072.2C</t>
  </si>
  <si>
    <t>1944-01-01T00:00:00</t>
  </si>
  <si>
    <t>[{'AdressatID': 50455, 'Driftselskap': True, 'Hovedeier': True, 'Navn': 'BANE NOR SF', 'OrgNr': 917082308, 'ProsentAndel': 100.0, 'ProsentAndelDrift': 100.0}]</t>
  </si>
  <si>
    <t>[{'KdbID': 288, 'Tittel': 'Statsregulering av Klevevatn i Flåmselva'}, {'KdbID': 290, 'Tittel': 'Statsregulering av Seltuftvatn i Flåmselva'}, {'KdbID': 311, 'Tittel': 'Statsregulering av Reinungavatn i Flåmselven'}, {'KdbID': 324, 'Tittel': 'Erverv av statens fallretter i Flåmselva, (og i Sira-K. kdb:2056)'}]</t>
  </si>
  <si>
    <t>Flåmselvi</t>
  </si>
  <si>
    <t>292</t>
  </si>
  <si>
    <t>Kjærnes</t>
  </si>
  <si>
    <t>RUSTAD ENERGI AS</t>
  </si>
  <si>
    <t>891671172</t>
  </si>
  <si>
    <t>307.3BG2A</t>
  </si>
  <si>
    <t>2009-12-07T00:00:00</t>
  </si>
  <si>
    <t>[{'AdressatID': 42700, 'Driftselskap': True, 'Hovedeier': True, 'Navn': 'RUSTAD ENERGI AS', 'OrgNr': 891671172, 'ProsentAndel': 100.0, 'ProsentAndelDrift': 100.0}]</t>
  </si>
  <si>
    <t>[{'KdbID': 2687, 'Tittel': 'Minikraftverk i Litlelva'}, {'KdbID': 7057, 'Tittel': 'Kjærnes minikraftverk'}]</t>
  </si>
  <si>
    <t>Kjøljua</t>
  </si>
  <si>
    <t>012.EDAA</t>
  </si>
  <si>
    <t>1990-02-15T00:00:00</t>
  </si>
  <si>
    <t>[{'KdbID': 644, 'Tittel': 'Utbygging av Dokkavassdraget, erverv, regulering, utbygging m.v.'}]</t>
  </si>
  <si>
    <t>Kjølvik</t>
  </si>
  <si>
    <t>JOHANNES KJØLVIK</t>
  </si>
  <si>
    <t>877374262</t>
  </si>
  <si>
    <t>037.6Z</t>
  </si>
  <si>
    <t>2010-10-18T00:00:00</t>
  </si>
  <si>
    <t>[{'AdressatID': 43248, 'Driftselskap': True, 'Hovedeier': True, 'Navn': 'JOHANNES KJØLVIK', 'OrgNr': 877374262, 'ProsentAndel': 100.0, 'ProsentAndelDrift': 100.0}]</t>
  </si>
  <si>
    <t>[{'KdbID': 7642, 'Tittel': 'Kjølvik minikraftverk'}]</t>
  </si>
  <si>
    <t>Kjørstad</t>
  </si>
  <si>
    <t>KJØRSTAD KRAFT AS</t>
  </si>
  <si>
    <t>993846570</t>
  </si>
  <si>
    <t>089.4Z</t>
  </si>
  <si>
    <t>2016-06-21T00:00:00</t>
  </si>
  <si>
    <t>[{'AdressatID': 43317, 'Driftselskap': True, 'Hovedeier': True, 'Navn': 'KJØRSTAD KRAFT AS', 'OrgNr': 993846570, 'ProsentAndel': 100.0, 'ProsentAndelDrift': 100.0}]</t>
  </si>
  <si>
    <t>[{'KdbID': 5240, 'Tittel': 'Kjørstad kraftverk'}]</t>
  </si>
  <si>
    <t>Hjalma</t>
  </si>
  <si>
    <t>Kjøsnesfjorden</t>
  </si>
  <si>
    <t>2010-04-17T00:00:00</t>
  </si>
  <si>
    <t>[{'KdbID': 2463, 'Tittel': 'Reg./ovf. og bygging av Kjøsnesfjorden kraftverk'}, {'KdbID': 5071, 'Tittel': 'Kjøsnesfjorden kraftverk'}]</t>
  </si>
  <si>
    <t>Kjøsstånå</t>
  </si>
  <si>
    <t>MIKROKRAFT AS</t>
  </si>
  <si>
    <t>972415952</t>
  </si>
  <si>
    <t>[{'AdressatID': 40276, 'Driftselskap': True, 'Hovedeier': True, 'Navn': 'MIKROKRAFT AS', 'OrgNr': 972415952, 'ProsentAndel': 100.0, 'ProsentAndelDrift': 100.0}]</t>
  </si>
  <si>
    <t>[{'KdbID': 2172, 'Tittel': 'Mikrokraftverk Kjøssåna'}]</t>
  </si>
  <si>
    <t>Klauva</t>
  </si>
  <si>
    <t>KLAUVA KRAFT AS</t>
  </si>
  <si>
    <t>811605352</t>
  </si>
  <si>
    <t>085.522Z</t>
  </si>
  <si>
    <t>2025-04-07T00:00:00</t>
  </si>
  <si>
    <t>[{'AdressatID': 40545, 'Driftselskap': True, 'Hovedeier': False, 'Navn': 'FORTE VANNKRAFT AS', 'OrgNr': 975964825, 'ProsentAndel': None, 'ProsentAndelDrift': None}, {'AdressatID': 65061, 'Driftselskap': False, 'Hovedeier': True, 'Navn': 'KLAUVA KRAFT AS', 'OrgNr': 811605352, 'ProsentAndel': 100.0, 'ProsentAndelDrift': 100.0}]</t>
  </si>
  <si>
    <t>[{'KdbID': 6293, 'Tittel': 'Klauva kraftverk'}]</t>
  </si>
  <si>
    <t>Klauveelva</t>
  </si>
  <si>
    <t>353</t>
  </si>
  <si>
    <t>Kleiva</t>
  </si>
  <si>
    <t>037.DA</t>
  </si>
  <si>
    <t>2009-12-22T00:00:00</t>
  </si>
  <si>
    <t>[{'AdressatID': 12698, 'Driftselskap': True, 'Hovedeier': True, 'Navn': 'Aktieselskabet Saudefaldene', 'OrgNr': 915729290, 'ProsentAndel': 100.0, 'ProsentAndelDrift': 100.0}]</t>
  </si>
  <si>
    <t>[{'KdbID': 4676, 'Tittel': 'Annanut og Kleiva småkraftverk'}, {'KdbID': 9037, 'Tittel': 'Midlertidig fravik fra manøvreringsreglementet - Kleiva\xa0kraftverk\xa0-\xa0Aktieselskabet Saudefaldene - Tapping under LRV ;  - 10.04.2023 til 30.04.2023- Referansenr:ROODNK'}]</t>
  </si>
  <si>
    <t>Kleivan</t>
  </si>
  <si>
    <t>KVIKRAFT AS</t>
  </si>
  <si>
    <t>988498297</t>
  </si>
  <si>
    <t>2021-12-28T00:00:00</t>
  </si>
  <si>
    <t>[{'AdressatID': 40261, 'Driftselskap': True, 'Hovedeier': False, 'Navn': 'DALANE KRAFT AS', 'OrgNr': 982388406, 'ProsentAndel': None, 'ProsentAndelDrift': None}, {'AdressatID': 41381, 'Driftselskap': False, 'Hovedeier': True, 'Navn': 'KVIKRAFT AS', 'OrgNr': 988498297, 'ProsentAndel': 100.0, 'ProsentAndelDrift': 100.0}]</t>
  </si>
  <si>
    <t>[{'KdbID': 5190, 'Tittel': 'Kleivan Kraftverk'}]</t>
  </si>
  <si>
    <t>Kleivane</t>
  </si>
  <si>
    <t>KLEIVANE KRAFT AS</t>
  </si>
  <si>
    <t>985638144</t>
  </si>
  <si>
    <t>036.A1A0</t>
  </si>
  <si>
    <t>2004-02-02T00:00:00</t>
  </si>
  <si>
    <t>[{'AdressatID': 43494, 'Driftselskap': True, 'Hovedeier': True, 'Navn': 'KLEIVANE KRAFT AS', 'OrgNr': 985638144, 'ProsentAndel': 100.0, 'ProsentAndelDrift': 100.0}]</t>
  </si>
  <si>
    <t>[{'KdbID': 3542, 'Tittel': 'Kleivane minikraftverk'}]</t>
  </si>
  <si>
    <t>KLEIVANE ENERGI DA</t>
  </si>
  <si>
    <t>997676289</t>
  </si>
  <si>
    <t>055.C4</t>
  </si>
  <si>
    <t>2008-04-17T00:00:00</t>
  </si>
  <si>
    <t>[{'AdressatID': 43495, 'Driftselskap': True, 'Hovedeier': True, 'Navn': 'KLEIVANE ENERGI DA', 'OrgNr': 997676289, 'ProsentAndel': 100.0, 'ProsentAndelDrift': 100.0}]</t>
  </si>
  <si>
    <t>[{'KdbID': 4819, 'Tittel': 'Kleivane mikrokraftverk'}]</t>
  </si>
  <si>
    <t>Kleivelvi</t>
  </si>
  <si>
    <t>062.FC2</t>
  </si>
  <si>
    <t>2024-04-09T00:00:00</t>
  </si>
  <si>
    <t>[{'KdbID': 7088, 'Tittel': 'Kleivelvi kraftverk'}]</t>
  </si>
  <si>
    <t>Klosterfoss</t>
  </si>
  <si>
    <t>SKIEN KRAFTPRODUKSJON AS</t>
  </si>
  <si>
    <t>985316406</t>
  </si>
  <si>
    <t>016.A2</t>
  </si>
  <si>
    <t>1969-12-27T00:00:00</t>
  </si>
  <si>
    <t>[{'AdressatID': 40267, 'Driftselskap': True, 'Hovedeier': True, 'Navn': 'SKIEN KRAFTPRODUKSJON AS', 'OrgNr': 985316406, 'ProsentAndel': 100.0, 'ProsentAndelDrift': 100.0}]</t>
  </si>
  <si>
    <t>[{'KdbID': 812, 'Tittel': 'Erverv av Klosterfossen i Skien'}, {'KdbID': 2088, 'Tittel': 'Unntak fra konsesjonsplikt ved erverv av fallr. i Klosterfossen.'}, {'KdbID': 6788, 'Tittel': 'Klosterfoss kraftverk, opprusting og utvidelse'}]</t>
  </si>
  <si>
    <t>Klubbatjern</t>
  </si>
  <si>
    <t>031.221B</t>
  </si>
  <si>
    <t>[{'KdbID': 506, 'Tittel': 'Erverv og regulering av Flørlivassdraget'}]</t>
  </si>
  <si>
    <t>elv fra Krokavatnet</t>
  </si>
  <si>
    <t>Kløvkraft</t>
  </si>
  <si>
    <t>KLØVKRAFT AS</t>
  </si>
  <si>
    <t>897861712</t>
  </si>
  <si>
    <t>2013-06-17T00:00:00</t>
  </si>
  <si>
    <t>[{'AdressatID': 25473, 'Driftselskap': True, 'Hovedeier': True, 'Navn': 'KLØVKRAFT AS', 'OrgNr': 897861712, 'ProsentAndel': 100.0, 'ProsentAndelDrift': 100.0}]</t>
  </si>
  <si>
    <t>[{'KdbID': 5857, 'Tittel': 'Kløvkraft'}]</t>
  </si>
  <si>
    <t>Kløvtveit</t>
  </si>
  <si>
    <t>068.6Z</t>
  </si>
  <si>
    <t>2006-03-22T00:00:00</t>
  </si>
  <si>
    <t>[{'KdbID': 560, 'Tittel': 'Regulering av Kløvtveitvassdraget og Yndesdalsvassdraget'}, {'KdbID': 3151, 'Tittel': 'Planendring for reg. av Kløvtveitvassdraget og Yndesdalsvassdraget'}]</t>
  </si>
  <si>
    <t>Klyvtveitelva</t>
  </si>
  <si>
    <t>268</t>
  </si>
  <si>
    <t>Knutfoss</t>
  </si>
  <si>
    <t>139.C1A</t>
  </si>
  <si>
    <t>2010-04-26T00:00:00</t>
  </si>
  <si>
    <t>[{'KdbID': 4203, 'Tittel': 'Knutfoss kraftverk'}]</t>
  </si>
  <si>
    <t>Koabekken</t>
  </si>
  <si>
    <t>127.10</t>
  </si>
  <si>
    <t>[{'KdbID': 2465, 'Tittel': 'Mikrokraftverk i Koabekken'}]</t>
  </si>
  <si>
    <t>Kobbelv</t>
  </si>
  <si>
    <t>167.B0</t>
  </si>
  <si>
    <t>1987-03-05T00:00:00</t>
  </si>
  <si>
    <t>[{'AdressatID': 41005, 'Driftselskap': True, 'Hovedeier': True, 'Navn': 'STATKRAFT ENERGI AS', 'OrgNr': 987059729, 'ProsentAndel': 82.5, 'ProsentAndelDrift': 82.5}, {'AdressatID': 42851, 'Driftselskap': False, 'Hovedeier': False, 'Navn': 'NORDKRAFT MAGASIN AS', 'OrgNr': 928657213, 'ProsentAndel': 17.5, 'ProsentAndelDrift': 17.5}]</t>
  </si>
  <si>
    <t>[{'KdbID': 688, 'Tittel': 'Statsregulering og utbygging av Kobbelvvassdraget m.v.'}, {'KdbID': 942, 'Tittel': 'Kobbelvutbyggingen - Tilleggsoverføring'}]</t>
  </si>
  <si>
    <t>Kobbelvvassdraget</t>
  </si>
  <si>
    <t>713</t>
  </si>
  <si>
    <t>Kobbholm</t>
  </si>
  <si>
    <t>TINFOS AS</t>
  </si>
  <si>
    <t>916763476</t>
  </si>
  <si>
    <t>Sør-Varanger</t>
  </si>
  <si>
    <t>247.7Z</t>
  </si>
  <si>
    <t>2010-12-10T00:00:00</t>
  </si>
  <si>
    <t>[{'AdressatID': 10382, 'Driftselskap': True, 'Hovedeier': True, 'Navn': 'TINFOS AS', 'OrgNr': 916763476, 'ProsentAndel': 100.0, 'ProsentAndelDrift': 100.0}]</t>
  </si>
  <si>
    <t>[{'KdbID': 5244, 'Tittel': 'Kobbholm kraftverk'}]</t>
  </si>
  <si>
    <t>Kobholmelva</t>
  </si>
  <si>
    <t>948</t>
  </si>
  <si>
    <t>Kolfossen</t>
  </si>
  <si>
    <t>094.4C</t>
  </si>
  <si>
    <t>[{'KdbID': 2483, 'Tittel': 'Ervervskonsesjon på Kopa og Kolfossen'}, {'KdbID': 7397, 'Tittel': 'Revisjon av konsesjonsvilkår - regulering av Mørevassdraget'}]</t>
  </si>
  <si>
    <t>Austefjordvassdraget</t>
  </si>
  <si>
    <t>394</t>
  </si>
  <si>
    <t>Kolsvik</t>
  </si>
  <si>
    <t>1979-09-25T00:00:00</t>
  </si>
  <si>
    <t>[{'AdressatID': 42662, 'Driftselskap': False, 'Hovedeier': False, 'Navn': 'NTE ENERGI AS', 'OrgNr': 988340715, 'ProsentAndel': 50.0, 'ProsentAndelDrift': 50.0}, {'AdressatID': 51392, 'Driftselskap': True, 'Hovedeier': True, 'Navn': 'HELGELAND KRAFT VANNKRAFT AS', 'OrgNr': 917424896, 'ProsentAndel': 50.0, 'ProsentAndelDrift': 50.0}]</t>
  </si>
  <si>
    <t>[{'KdbID': 403, 'Tittel': 'Erverv og regulering av Åbjøravassdraget m.v.'}, {'KdbID': 2677, 'Tittel': 'Kolsvik kraftverk - overføring av Kalklavdalsvatn og 2 bekker til'}]</t>
  </si>
  <si>
    <t>Kongsfjord</t>
  </si>
  <si>
    <t>Berlevåg</t>
  </si>
  <si>
    <t>236.AA4Z</t>
  </si>
  <si>
    <t>[{'KdbID': 319, 'Tittel': 'Kongsfjordvassdraget - bruksrett og fornyet reguleringskonsesjon'}, {'KdbID': 3038, 'Tittel': 'Kongsfjordvassdraget - endring vilkår reg./overf. 1994'}]</t>
  </si>
  <si>
    <t>Kongsfjordvassdraget</t>
  </si>
  <si>
    <t>913</t>
  </si>
  <si>
    <t>Kongsfoss</t>
  </si>
  <si>
    <t>012.BA22</t>
  </si>
  <si>
    <t>2004-05-01T00:00:00</t>
  </si>
  <si>
    <t>[{'KdbID': 3314, 'Tittel': 'Nytt Kongsfoss kraftverk'}]</t>
  </si>
  <si>
    <t>Kongsmarka</t>
  </si>
  <si>
    <t>Vågan</t>
  </si>
  <si>
    <t>65</t>
  </si>
  <si>
    <t>179.4B</t>
  </si>
  <si>
    <t>[{'KdbID': 1964, 'Tittel': 'Opprusting Kongsmarka Kraftstasjon'}]</t>
  </si>
  <si>
    <t>Kongselva</t>
  </si>
  <si>
    <t>751</t>
  </si>
  <si>
    <t>002.F1</t>
  </si>
  <si>
    <t>1975-07-01T00:00:00</t>
  </si>
  <si>
    <t>[{'KdbID': 55, 'Tittel': 'Erverv og ekspr. for bygging av Kongsvinger kr.v. - Ytterl. erverv'}, {'KdbID': 396, 'Tittel': 'Erverv, ekspropr. m.v. for bygging av Kongsvinger kraftverk'}, {'KdbID': 4850, 'Tittel': 'Utvidelse av Kongsvinger kraftverk - Nytt aggregat'}]</t>
  </si>
  <si>
    <t>Kopa</t>
  </si>
  <si>
    <t>094.4D</t>
  </si>
  <si>
    <t>1937-01-01T00:00:00</t>
  </si>
  <si>
    <t>Koparvike</t>
  </si>
  <si>
    <t>KOPARVIKE KRAFT AS</t>
  </si>
  <si>
    <t>984867301</t>
  </si>
  <si>
    <t>012.J20</t>
  </si>
  <si>
    <t>2003-09-09T00:00:00</t>
  </si>
  <si>
    <t>[{'AdressatID': 43128, 'Driftselskap': True, 'Hovedeier': True, 'Navn': 'KOPARVIKE KRAFT AS', 'OrgNr': 984867301, 'ProsentAndel': 100.0, 'ProsentAndelDrift': 100.0}]</t>
  </si>
  <si>
    <t>[{'KdbID': 2883, 'Tittel': 'Koparvike minikraftverk'}]</t>
  </si>
  <si>
    <t>Krogseth</t>
  </si>
  <si>
    <t>Krogstadelva</t>
  </si>
  <si>
    <t>196.AB2Z</t>
  </si>
  <si>
    <t>2012-10-15T00:00:00</t>
  </si>
  <si>
    <t>[{'KdbID': 4880, 'Tittel': 'Krogstadelva kraftverk'}]</t>
  </si>
  <si>
    <t>Kroka</t>
  </si>
  <si>
    <t>ODDBJØRN KROKA</t>
  </si>
  <si>
    <t>990146225</t>
  </si>
  <si>
    <t>046.22Z</t>
  </si>
  <si>
    <t>2008-09-30T00:00:00</t>
  </si>
  <si>
    <t>[{'AdressatID': 42507, 'Driftselskap': True, 'Hovedeier': True, 'Navn': 'ODDBJØRN KROKA', 'OrgNr': 990146225, 'ProsentAndel': 100.0, 'ProsentAndelDrift': 100.0}]</t>
  </si>
  <si>
    <t>[{'KdbID': 4698, 'Tittel': 'Krokakraft minikraftverk'}]</t>
  </si>
  <si>
    <t>Krokaelva</t>
  </si>
  <si>
    <t>Krokevatn</t>
  </si>
  <si>
    <t>067.3DB2</t>
  </si>
  <si>
    <t>[{'KdbID': 5344, 'Tittel': 'Krokevatn kraftverk'}]</t>
  </si>
  <si>
    <t>Krokvatn</t>
  </si>
  <si>
    <t>Moskenes</t>
  </si>
  <si>
    <t>181.4Z</t>
  </si>
  <si>
    <t>[{'KdbID': 938, 'Tittel': 'Erv. Tennesfoss og Krokfoss samt reg. Tennesvatn og Krokvatn'}, {'KdbID': 1241, 'Tittel': 'Erverv av Tennesfossen, reg. Tennesvatn og Krokvatn'}, {'KdbID': 1307, 'Tittel': 'Erverv av Krokfossen i Moskenes.'}, {'KdbID': 1845, 'Tittel': 'Erv. fall/overf. av reg.kons. i Tennes- Krokfoss- og Solbjørnv.'}]</t>
  </si>
  <si>
    <t>Tenneselva</t>
  </si>
  <si>
    <t>754</t>
  </si>
  <si>
    <t>Krossdalselvi</t>
  </si>
  <si>
    <t>KROSSDALSELVI KRAFT AS</t>
  </si>
  <si>
    <t>921045468</t>
  </si>
  <si>
    <t>047.2B5</t>
  </si>
  <si>
    <t>2023-05-30T00:00:00</t>
  </si>
  <si>
    <t>[{'AdressatID': 50347, 'Driftselskap': True, 'Hovedeier': False, 'Navn': 'BLÅFALL AS', 'OrgNr': 914546702, 'ProsentAndel': None, 'ProsentAndelDrift': None}, {'AdressatID': 53090, 'Driftselskap': False, 'Hovedeier': True, 'Navn': 'KROSSDALSELVI KRAFT AS', 'OrgNr': 921045468, 'ProsentAndel': 100.0, 'ProsentAndelDrift': 100.0}]</t>
  </si>
  <si>
    <t>[{'KdbID': 6377, 'Tittel': 'Krossdalselvi kraftverk'}]</t>
  </si>
  <si>
    <t>Krutlet</t>
  </si>
  <si>
    <t>Krutvatnet</t>
  </si>
  <si>
    <t>Hattfjelldal</t>
  </si>
  <si>
    <t>155.D7A</t>
  </si>
  <si>
    <t>[{'KdbID': 3174, 'Tittel': 'Mikrokraftverk i Krutvatnet'}]</t>
  </si>
  <si>
    <t>Kråkenes</t>
  </si>
  <si>
    <t>084.612Z</t>
  </si>
  <si>
    <t>2007-08-28T00:00:00</t>
  </si>
  <si>
    <t>[{'KdbID': 4218, 'Tittel': 'Kråkenes kraftverk'}]</t>
  </si>
  <si>
    <t>Kråkeneselva</t>
  </si>
  <si>
    <t>Kuli</t>
  </si>
  <si>
    <t>026.DE</t>
  </si>
  <si>
    <t>[{'KdbID': 1075, 'Tittel': 'Reg. av Kulivatn i Finsåvassdraget'}, {'KdbID': 6758, 'Tittel': 'Revisjon av konsesjonsvilkår - Finså'}]</t>
  </si>
  <si>
    <t>Kulu</t>
  </si>
  <si>
    <t>LHI SOLARWIND HYDRO KULU 2642 AS</t>
  </si>
  <si>
    <t>891936532</t>
  </si>
  <si>
    <t>Ål</t>
  </si>
  <si>
    <t>012.CF422</t>
  </si>
  <si>
    <t>2014-06-16T00:00:00</t>
  </si>
  <si>
    <t>[{'AdressatID': 43790, 'Driftselskap': True, 'Hovedeier': True, 'Navn': 'LHI SOLARWIND HYDRO KULU 2642 AS', 'OrgNr': 891936532, 'ProsentAndel': 100.0, 'ProsentAndelDrift': 100.0}]</t>
  </si>
  <si>
    <t>[{'KdbID': 5377, 'Tittel': 'Kulu kraftverk'}]</t>
  </si>
  <si>
    <t>Kupe</t>
  </si>
  <si>
    <t>KUPE KRAFTVERK AS</t>
  </si>
  <si>
    <t>988228982</t>
  </si>
  <si>
    <t>085.610</t>
  </si>
  <si>
    <t>2017-05-24T00:00:00</t>
  </si>
  <si>
    <t>[{'AdressatID': 41246, 'Driftselskap': False, 'Hovedeier': True, 'Navn': 'KUPE KRAFTVERK AS', 'OrgNr': 988228982, 'ProsentAndel': 100.0, 'ProsentAndelDrift': 100.0}, {'AdressatID': 50977, 'Driftselskap': True, 'Hovedeier': False, 'Navn': 'PROXIMA HYDROTECH AS', 'OrgNr': 918808302, 'ProsentAndel': None, 'ProsentAndelDrift': None}]</t>
  </si>
  <si>
    <t>[{'KdbID': 4879, 'Tittel': 'Kupe kraftverk (Storelva)'}]</t>
  </si>
  <si>
    <t>354</t>
  </si>
  <si>
    <t>Kupekraft</t>
  </si>
  <si>
    <t>KUPEKRAFT AS</t>
  </si>
  <si>
    <t>922953244</t>
  </si>
  <si>
    <t>084.E4C</t>
  </si>
  <si>
    <t>2022-08-08T00:00:00</t>
  </si>
  <si>
    <t>[{'AdressatID': 43794, 'Driftselskap': True, 'Hovedeier': False, 'Navn': 'CLEMENS KRAFT AS', 'OrgNr': 912511480, 'ProsentAndel': None, 'ProsentAndelDrift': None}, {'AdressatID': 53160, 'Driftselskap': False, 'Hovedeier': True, 'Navn': 'KUPEKRAFT AS', 'OrgNr': 922953244, 'ProsentAndel': 100.0, 'ProsentAndelDrift': 100.0}]</t>
  </si>
  <si>
    <t>[{'KdbID': 5649, 'Tittel': 'Kupekraft kraftverk'}]</t>
  </si>
  <si>
    <t>Kuråsfoss</t>
  </si>
  <si>
    <t>REN RØROS STRØM AS</t>
  </si>
  <si>
    <t>919884428</t>
  </si>
  <si>
    <t>Røros</t>
  </si>
  <si>
    <t>002.R62</t>
  </si>
  <si>
    <t>1952-04-06T00:00:00</t>
  </si>
  <si>
    <t>[{'AdressatID': 51364, 'Driftselskap': True, 'Hovedeier': True, 'Navn': 'REN RØROS STRØM AS', 'OrgNr': 919884428, 'ProsentAndel': 100.0, 'ProsentAndelDrift': 100.0}]</t>
  </si>
  <si>
    <t>[{'KdbID': 628, 'Tittel': 'Erverv av Kuråsfallene mv. - Endring av vilkår'}, {'KdbID': 789, 'Tittel': 'Erverv av Kuråsfossen og Kuråsfallene m.v.'}, {'KdbID': 1334, 'Tittel': 'Innløsning og erverv av fall i Kuråsfallene.'}, {'KdbID': 1942, 'Tittel': 'Inntaksdam for Kuråsfoss kraftverk 2'}]</t>
  </si>
  <si>
    <t>Kvalvaag</t>
  </si>
  <si>
    <t>KVALVAAG VANN OG KRAFT AS</t>
  </si>
  <si>
    <t>892333912</t>
  </si>
  <si>
    <t>109.11A</t>
  </si>
  <si>
    <t>2010-04-22T00:00:00</t>
  </si>
  <si>
    <t>[{'AdressatID': 42698, 'Driftselskap': True, 'Hovedeier': True, 'Navn': 'KVALVAAG VANN OG KRAFT AS', 'OrgNr': 892333912, 'ProsentAndel': 100.0, 'ProsentAndelDrift': 100.0}]</t>
  </si>
  <si>
    <t>[{'KdbID': 4217, 'Tittel': 'Kvalvaag minikraftverk'}]</t>
  </si>
  <si>
    <t>Kvalvågelva</t>
  </si>
  <si>
    <t>Kvamselva</t>
  </si>
  <si>
    <t>083.2Z</t>
  </si>
  <si>
    <t>2016-06-09T00:00:00</t>
  </si>
  <si>
    <t>[{'KdbID': 4882, 'Tittel': 'Kvamselva kraftverk'}]</t>
  </si>
  <si>
    <t>Fauskeelva</t>
  </si>
  <si>
    <t>Kvangreelva</t>
  </si>
  <si>
    <t>KVANGREELVA KRAFTVERK AS</t>
  </si>
  <si>
    <t>993021180</t>
  </si>
  <si>
    <t>085.4E</t>
  </si>
  <si>
    <t>[{'AdressatID': 42944, 'Driftselskap': True, 'Hovedeier': True, 'Navn': 'KVANGREELVA KRAFTVERK AS', 'OrgNr': 993021180, 'ProsentAndel': 100.0, 'ProsentAndelDrift': 100.0}]</t>
  </si>
  <si>
    <t>[{'KdbID': 2886, 'Tittel': 'Minikraftverk Grøndalen'}]</t>
  </si>
  <si>
    <t>Kvanndal</t>
  </si>
  <si>
    <t>036.BBA</t>
  </si>
  <si>
    <t>1967-01-01T00:00:00</t>
  </si>
  <si>
    <t>[{'AdressatID': 10282, 'Driftselskap': True, 'Hovedeier': False, 'Navn': 'HYDRO ENERGI AS', 'OrgNr': 930187240, 'ProsentAndel': None, 'ProsentAndelDrift': None}, {'AdressatID': 10405, 'Driftselskap': False, 'Hovedeier': False, 'Navn': 'RØLDAL-SULDAL KRAFT AS', 'OrgNr': 915569501, 'ProsentAndel': 100.0, 'ProsentAndelDrift': None}, {'AdressatID': 24453, 'Driftselskap': False, 'Hovedeier': False, 'Navn': 'Norsk Hydro ASA', 'OrgNr': 914778271, 'ProsentAndel': None, 'ProsentAndelDrift': None}, {'AdressatID': 60547, 'Driftselskap': False, 'Hovedeier': True, 'Navn': 'LYSE KRAFT DA', 'OrgNr': 925749419, 'ProsentAndel': None, 'ProsentAndelDrift': 100.0}]</t>
  </si>
  <si>
    <t>[{'KdbID': 916, 'Tittel': 'Overføring av Havreåi m.v. i Røldal-Suldalvassdragene'}, {'KdbID': 1052, 'Tittel': 'Reg. av Røldal-Suldalsvassdraget - Planendring'}, {'KdbID': 8571, 'Tittel': 'Revisjon av konsesjonsvilkår - Røldal-Suldalsvassdragene'}]</t>
  </si>
  <si>
    <t>Kvannvatn</t>
  </si>
  <si>
    <t>KVANNVATN KRAFT AS</t>
  </si>
  <si>
    <t>882370542</t>
  </si>
  <si>
    <t>156.D2A</t>
  </si>
  <si>
    <t>2008-06-23T00:00:00</t>
  </si>
  <si>
    <t>[{'AdressatID': 40938, 'Driftselskap': False, 'Hovedeier': True, 'Navn': 'KVANNVATN KRAFT AS', 'OrgNr': 882370542, 'ProsentAndel': 100.0, 'ProsentAndelDrift': 100.0}, {'AdressatID': 50288, 'Driftselskap': True, 'Hovedeier': False, 'Navn': 'NORDKRAFT ENERGIDRIFT AS', 'OrgNr': 916116993, 'ProsentAndel': None, 'ProsentAndelDrift': None}]</t>
  </si>
  <si>
    <t>[{'KdbID': 4094, 'Tittel': 'Reg. av Kvannevann og utvidelse av Sagelva 1 og 2'}, {'KdbID': 7264, 'Tittel': 'Endring av sagelva, Sagelva 2 og Kvannvatnet kraftverk'}]</t>
  </si>
  <si>
    <t>Kvarv</t>
  </si>
  <si>
    <t>ISE ENTREPRENØR AS</t>
  </si>
  <si>
    <t>914385342</t>
  </si>
  <si>
    <t>166.6A</t>
  </si>
  <si>
    <t>[{'AdressatID': 50129, 'Driftselskap': True, 'Hovedeier': True, 'Navn': 'ISE ENTREPRENØR AS', 'OrgNr': 914385342, 'ProsentAndel': 100.0, 'ProsentAndelDrift': 100.0}]</t>
  </si>
  <si>
    <t>[{'KdbID': 6741, 'Tittel': 'Oppgradering av aggregat i Kvarv kraftverk '}]</t>
  </si>
  <si>
    <t>Kvarvelva</t>
  </si>
  <si>
    <t>712</t>
  </si>
  <si>
    <t>155.3A</t>
  </si>
  <si>
    <t>2011-08-25T00:00:00</t>
  </si>
  <si>
    <t>[{'KdbID': 5550, 'Tittel': 'Kvassteinåga kraftverk'}]</t>
  </si>
  <si>
    <t>Kveaså</t>
  </si>
  <si>
    <t>021.F3</t>
  </si>
  <si>
    <t>2011-11-01T00:00:00</t>
  </si>
  <si>
    <t>[{'KdbID': 2548, 'Tittel': 'Kveasåni småkraftverk'}]</t>
  </si>
  <si>
    <t>Kvemma</t>
  </si>
  <si>
    <t>KVEMMA KRAFT AS</t>
  </si>
  <si>
    <t>911959178</t>
  </si>
  <si>
    <t>073.B5</t>
  </si>
  <si>
    <t>2015-06-30T00:00:00</t>
  </si>
  <si>
    <t>[{'AdressatID': 43787, 'Driftselskap': True, 'Hovedeier': True, 'Navn': 'KVEMMA KRAFT AS', 'OrgNr': 911959178, 'ProsentAndel': 100.0, 'ProsentAndelDrift': 100.0}]</t>
  </si>
  <si>
    <t>[{'KdbID': 6106, 'Tittel': 'Kvemma kraftverk'}]</t>
  </si>
  <si>
    <t>Kvemma minikraftverk</t>
  </si>
  <si>
    <t>073.AAB</t>
  </si>
  <si>
    <t>[{'KdbID': 3890, 'Tittel': 'Minikraftverk i Kvemma'}]</t>
  </si>
  <si>
    <t>Kvennhusbekken</t>
  </si>
  <si>
    <t>124.A2Z</t>
  </si>
  <si>
    <t>[{'KdbID': 2560, 'Tittel': 'Mikrokraftverk i Kvennbekken'}]</t>
  </si>
  <si>
    <t>Kvennhusåi</t>
  </si>
  <si>
    <t>KVENNHUSÅI KRAFTVERK AS</t>
  </si>
  <si>
    <t>979490364</t>
  </si>
  <si>
    <t>1999-03-20T00:00:00</t>
  </si>
  <si>
    <t>[{'AdressatID': 43842, 'Driftselskap': True, 'Hovedeier': True, 'Navn': 'KVENNHUSÅI KRAFTVERK AS', 'OrgNr': 979490364, 'ProsentAndel': 100.0, 'ProsentAndelDrift': 100.0}]</t>
  </si>
  <si>
    <t>[{'KdbID': 2120, 'Tittel': 'Minikraftverk i Kvennhusåi'}]</t>
  </si>
  <si>
    <t>Kvennhølet</t>
  </si>
  <si>
    <t>015.G3</t>
  </si>
  <si>
    <t>[{'KdbID': 3551, 'Tittel': 'Kvennhølet mikrokraftverk'}]</t>
  </si>
  <si>
    <t>Kvennåi</t>
  </si>
  <si>
    <t>016.BB2</t>
  </si>
  <si>
    <t>2025-08-01T00:00:00</t>
  </si>
  <si>
    <t>[{'KdbID': 8338, 'Tittel': 'Kvennåi kraftverk'}]</t>
  </si>
  <si>
    <t>Kvernerud</t>
  </si>
  <si>
    <t>KONGSBERG ENERGISELSKAP AS</t>
  </si>
  <si>
    <t>863956692</t>
  </si>
  <si>
    <t>015.C6A</t>
  </si>
  <si>
    <t>2008-06-01T00:00:00</t>
  </si>
  <si>
    <t>[{'AdressatID': 40335, 'Driftselskap': True, 'Hovedeier': True, 'Navn': 'KONGSBERG ENERGISELSKAP AS', 'OrgNr': 863956692, 'ProsentAndel': 100.0, 'ProsentAndelDrift': 100.0}]</t>
  </si>
  <si>
    <t>[{'KdbID': 9036, 'Tittel': 'Kvernrud kraftverk utvidelse'}]</t>
  </si>
  <si>
    <t>Kvernfallet</t>
  </si>
  <si>
    <t>002.JBA32</t>
  </si>
  <si>
    <t>1936-11-15T00:00:00</t>
  </si>
  <si>
    <t>[{'KdbID': 492, 'Tittel': 'Erverv av Osfallet og Kvernefallet i Aamodt'}]</t>
  </si>
  <si>
    <t>Kvernfossen</t>
  </si>
  <si>
    <t>KVERNFOSSEN KRAFT AS</t>
  </si>
  <si>
    <t>996632326</t>
  </si>
  <si>
    <t>080.4D</t>
  </si>
  <si>
    <t>2021-06-02T00:00:00</t>
  </si>
  <si>
    <t>[{'AdressatID': 43794, 'Driftselskap': True, 'Hovedeier': False, 'Navn': 'CLEMENS KRAFT AS', 'OrgNr': 912511480, 'ProsentAndel': None, 'ProsentAndelDrift': None}, {'AdressatID': 53054, 'Driftselskap': False, 'Hovedeier': True, 'Navn': 'KVERNFOSSEN KRAFT AS', 'OrgNr': 996632326, 'ProsentAndel': 100.0, 'ProsentAndelDrift': 100.0}]</t>
  </si>
  <si>
    <t>[{'KdbID': 6195, 'Tittel': 'Kvernfossen kraftverk'}]</t>
  </si>
  <si>
    <t>Kvernhusbekken</t>
  </si>
  <si>
    <t>129.2Z</t>
  </si>
  <si>
    <t>2007-04-18T00:00:00</t>
  </si>
  <si>
    <t>[{'KdbID': 3978, 'Tittel': 'Kveinhusbekken mikrokraftverk'}]</t>
  </si>
  <si>
    <t>Mollelva</t>
  </si>
  <si>
    <t>Kvernhusdalsbekken</t>
  </si>
  <si>
    <t>MYKLAND OLE ALBERT</t>
  </si>
  <si>
    <t>974401118</t>
  </si>
  <si>
    <t>021.A72</t>
  </si>
  <si>
    <t>[{'AdressatID': 51051, 'Driftselskap': True, 'Hovedeier': True, 'Navn': 'MYKLAND OLE ALBERT', 'OrgNr': 974401118, 'ProsentAndel': 100.0, 'ProsentAndelDrift': 100.0}]</t>
  </si>
  <si>
    <t>[{'KdbID': 2055, 'Tittel': 'Mikrokraftverk i Kvennhusdalsbekken'}]</t>
  </si>
  <si>
    <t>Kvernhuselva</t>
  </si>
  <si>
    <t>084.5B</t>
  </si>
  <si>
    <t>[{'KdbID': 2914, 'Tittel': 'Minikraftverk i Kvernuselva'}]</t>
  </si>
  <si>
    <t>069.3A2</t>
  </si>
  <si>
    <t>[{'KdbID': 4504, 'Tittel': 'Kvernhuselva kraftverk'}]</t>
  </si>
  <si>
    <t>Kvernhusfossen</t>
  </si>
  <si>
    <t>017.3Z</t>
  </si>
  <si>
    <t>Kjølbrønnselva</t>
  </si>
  <si>
    <t>KVERNHUSFOSS KRAFTVERK AS</t>
  </si>
  <si>
    <t>976627172</t>
  </si>
  <si>
    <t>[{'AdressatID': 50091, 'Driftselskap': True, 'Hovedeier': True, 'Navn': 'KVERNHUSFOSS KRAFTVERK AS', 'OrgNr': 976627172, 'ProsentAndel': 100.0, 'ProsentAndelDrift': 100.0}]</t>
  </si>
  <si>
    <t>[{'KdbID': 2602, 'Tittel': 'Minikraftverik Grøneng'}]</t>
  </si>
  <si>
    <t>TERRÅK KRAFTVERK AS</t>
  </si>
  <si>
    <t>926308661</t>
  </si>
  <si>
    <t>144.4A</t>
  </si>
  <si>
    <t>2021-12-17T00:00:00</t>
  </si>
  <si>
    <t>[{'AdressatID': 63031, 'Driftselskap': True, 'Hovedeier': True, 'Navn': 'TERRÅK KRAFTVERK AS', 'OrgNr': 926308661, 'ProsentAndel': 100.0, 'ProsentAndelDrift': 100.0}]</t>
  </si>
  <si>
    <t>[{'KdbID': 8035, 'Tittel': 'Kvernhusfossen småkraftverk'}]</t>
  </si>
  <si>
    <t>Kverninga</t>
  </si>
  <si>
    <t>KVERNINGA KRAFTVERK AS</t>
  </si>
  <si>
    <t>929537157</t>
  </si>
  <si>
    <t>002.JE7Z</t>
  </si>
  <si>
    <t>2013-09-26T00:00:00</t>
  </si>
  <si>
    <t>[{'AdressatID': 63687, 'Driftselskap': True, 'Hovedeier': True, 'Navn': 'KVERNINGA KRAFTVERK AS', 'OrgNr': 929537157, 'ProsentAndel': 100.0, 'ProsentAndelDrift': 100.0}]</t>
  </si>
  <si>
    <t>[{'KdbID': 5535, 'Tittel': 'Kverninga kraftverk'}]</t>
  </si>
  <si>
    <t>Kvernstad</t>
  </si>
  <si>
    <t>KVERNSTAD KRAFT AS</t>
  </si>
  <si>
    <t>989761927</t>
  </si>
  <si>
    <t>119.11Z</t>
  </si>
  <si>
    <t>2008-11-03T00:00:00</t>
  </si>
  <si>
    <t>[{'AdressatID': 42865, 'Driftselskap': True, 'Hovedeier': True, 'Navn': 'KVERNSTAD KRAFT AS', 'OrgNr': 989761927, 'ProsentAndel': 100.0, 'ProsentAndelDrift': 100.0}]</t>
  </si>
  <si>
    <t>[{'KdbID': 3028, 'Tittel': 'Kvernstad kraftverk'}, {'KdbID': 5406, 'Tittel': 'Kvernstad Kraft -  planendringssøknad'}]</t>
  </si>
  <si>
    <t>Haugelva</t>
  </si>
  <si>
    <t>479</t>
  </si>
  <si>
    <t>Kvernstufossen</t>
  </si>
  <si>
    <t>002.CAAA0</t>
  </si>
  <si>
    <t>Kvernåi</t>
  </si>
  <si>
    <t>Lesja</t>
  </si>
  <si>
    <t>002.DK0</t>
  </si>
  <si>
    <t>2017-05-04T00:00:00</t>
  </si>
  <si>
    <t>[{'KdbID': 5984, 'Tittel': 'Kvernåi kraftverk'}, {'KdbID': 7725, 'Tittel': 'Kvernåi kraftverk - planendring, endra inntaksplassering'}]</t>
  </si>
  <si>
    <t>Kvilldal</t>
  </si>
  <si>
    <t>036.B121</t>
  </si>
  <si>
    <t>1981-12-11T00:00:00</t>
  </si>
  <si>
    <t>MK HELGELAND AS</t>
  </si>
  <si>
    <t>988038628</t>
  </si>
  <si>
    <t>Lurøy</t>
  </si>
  <si>
    <t>157.70</t>
  </si>
  <si>
    <t>2006-10-16T00:00:00</t>
  </si>
  <si>
    <t>[{'AdressatID': 43459, 'Driftselskap': True, 'Hovedeier': True, 'Navn': 'MK HELGELAND AS', 'OrgNr': 988038628, 'ProsentAndel': 100.0, 'ProsentAndelDrift': 100.0}]</t>
  </si>
  <si>
    <t>[{'KdbID': 7033, 'Tittel': 'Kvina kraftverk'}]</t>
  </si>
  <si>
    <t>Kvinen</t>
  </si>
  <si>
    <t>026.H3B</t>
  </si>
  <si>
    <t>1981-11-01T00:00:00</t>
  </si>
  <si>
    <t>[{'KdbID': 92, 'Tittel': 'Sira-Kvina - Erverv og reg. av Øvre Kvina, Kvinen kraftverk'}, {'KdbID': 918, 'Tittel': 'Reguleringer og overføringer i Sira-Kvinavassdragene'}, {'KdbID': 2056, 'Tittel': 'Erv. av 3,3 av statens prosentand. i Sira-Kvina krv.'}, {'KdbID': 9006, 'Tittel': 'Midlertidig fravik fra manøvreringsreglementet - Ognhellervatn 03.09.23-25.09.23'}]</t>
  </si>
  <si>
    <t>025.B2Z</t>
  </si>
  <si>
    <t>2006-11-07T00:00:00</t>
  </si>
  <si>
    <t>[{'KdbID': 3870, 'Tittel': 'Nytt Kvinesdal kraftverk'}]</t>
  </si>
  <si>
    <t>Kvitefella</t>
  </si>
  <si>
    <t>KVITEFELLA KRAFT AS</t>
  </si>
  <si>
    <t>986616535</t>
  </si>
  <si>
    <t>087.11Z</t>
  </si>
  <si>
    <t>2005-02-09T00:00:00</t>
  </si>
  <si>
    <t>[{'AdressatID': 42450, 'Driftselskap': True, 'Hovedeier': True, 'Navn': 'KVITEFELLA KRAFT AS', 'OrgNr': 986616535, 'ProsentAndel': 100.0, 'ProsentAndelDrift': 100.0}]</t>
  </si>
  <si>
    <t>[{'KdbID': 2950, 'Tittel': 'Kvitefella kraftverk'}]</t>
  </si>
  <si>
    <t>372</t>
  </si>
  <si>
    <t>Kvitelva</t>
  </si>
  <si>
    <t>PELTON AS</t>
  </si>
  <si>
    <t>918609881</t>
  </si>
  <si>
    <t>053.42</t>
  </si>
  <si>
    <t>[{'AdressatID': 50677, 'Driftselskap': True, 'Hovedeier': True, 'Navn': 'PELTON AS', 'OrgNr': 918609881, 'ProsentAndel': 100.0, 'ProsentAndelDrift': 100.0}]</t>
  </si>
  <si>
    <t>[{'KdbID': 4627, 'Tittel': 'Kvitelva minikraftverk'}]</t>
  </si>
  <si>
    <t>Kvitfossen</t>
  </si>
  <si>
    <t>179.33A</t>
  </si>
  <si>
    <t>[{'KdbID': 856, 'Tittel': 'Reg. av Kvitfosselv samt overf. fra Myrbekkelv til Nedre Kvitfossv.'}, {'KdbID': 1244, 'Tittel': 'Reg. Øvre og Nedre Kvitfossvatn.'}]</t>
  </si>
  <si>
    <t>Kvitforselva</t>
  </si>
  <si>
    <t>Kvitingen</t>
  </si>
  <si>
    <t>TELEMARK ENERGI PRODUKSJON AS</t>
  </si>
  <si>
    <t>963022158</t>
  </si>
  <si>
    <t>Midt-Telemark</t>
  </si>
  <si>
    <t>016.CA10</t>
  </si>
  <si>
    <t>[{'AdressatID': 10366, 'Driftselskap': True, 'Hovedeier': True, 'Navn': 'TELEMARK ENERGI PRODUKSJON AS', 'OrgNr': 963022158, 'ProsentAndel': 100.0, 'ProsentAndelDrift': 100.0}]</t>
  </si>
  <si>
    <t>Kvitno</t>
  </si>
  <si>
    <t>KVITNO KRAFT AS</t>
  </si>
  <si>
    <t>995703963</t>
  </si>
  <si>
    <t>048.3Z</t>
  </si>
  <si>
    <t>2015-06-23T00:00:00</t>
  </si>
  <si>
    <t>[{'AdressatID': 43783, 'Driftselskap': True, 'Hovedeier': True, 'Navn': 'KVITNO KRAFT AS', 'OrgNr': 995703963, 'ProsentAndel': 100.0, 'ProsentAndelDrift': 100.0}]</t>
  </si>
  <si>
    <t>[{'KdbID': 4834, 'Tittel': 'Kvitno kraftverk'}]</t>
  </si>
  <si>
    <t>Byteselvi</t>
  </si>
  <si>
    <t>210</t>
  </si>
  <si>
    <t>Kvittingen</t>
  </si>
  <si>
    <t>055.D2A</t>
  </si>
  <si>
    <t>1984-11-01T00:00:00</t>
  </si>
  <si>
    <t>[{'KdbID': 677, 'Tittel': 'Reg. og utb. av Kvittingen kraftverk, Samnangervassdr.'}, {'KdbID': 1206, 'Tittel': 'Ny konsesjon for Samnangervassdraget'}, {'KdbID': 7764, 'Tittel': 'Samnangervassdraget - Fastsettelse av minstevannføring'}, {'KdbID': 9519, 'Tittel': 'Søknad - Midlertidig fravik fra manøvreringsreglementet - Kvittingen\xa0kraftverk\xa0-\xa0EVINY FORNYBAR AS - Tapping under LRV ;  - 16.06.2025 til 30.09.2026- Referansenr:OXHWGR'}]</t>
  </si>
  <si>
    <t>Kvitvella</t>
  </si>
  <si>
    <t>KVITVELLA ELECTRISITETSVERK AS</t>
  </si>
  <si>
    <t>997434072</t>
  </si>
  <si>
    <t>012.LA2</t>
  </si>
  <si>
    <t>[{'AdressatID': 43627, 'Driftselskap': True, 'Hovedeier': True, 'Navn': 'KVITVELLA ELECTRISITETSVERK AS', 'OrgNr': 997434072, 'ProsentAndel': 100.0, 'ProsentAndelDrift': 100.0}]</t>
  </si>
  <si>
    <t>[{'KdbID': 5324, 'Tittel': 'Kvitvella Electrisitetsverk i Kvitvella-fossen'}]</t>
  </si>
  <si>
    <t>Kvitåi</t>
  </si>
  <si>
    <t>016.H2B</t>
  </si>
  <si>
    <t>2019-04-10T00:00:00</t>
  </si>
  <si>
    <t>[{'KdbID': 6141, 'Tittel': 'Kvitåi kraftverk'}]</t>
  </si>
  <si>
    <t>Kviven</t>
  </si>
  <si>
    <t>KVIVEN KRAFT AS</t>
  </si>
  <si>
    <t>987200715</t>
  </si>
  <si>
    <t>2006-02-01T00:00:00</t>
  </si>
  <si>
    <t>[{'AdressatID': 42472, 'Driftselskap': True, 'Hovedeier': True, 'Navn': 'KVIVEN KRAFT AS', 'OrgNr': 987200715, 'ProsentAndel': 100.0, 'ProsentAndelDrift': 100.0}]</t>
  </si>
  <si>
    <t>[{'KdbID': 4805, 'Tittel': 'Kviven kraftverk'}]</t>
  </si>
  <si>
    <t>Kvænangsbotn</t>
  </si>
  <si>
    <t>209.4Z</t>
  </si>
  <si>
    <t>1965-10-28T00:00:00</t>
  </si>
  <si>
    <t>[{'KdbID': 414, 'Tittel': 'Erverv av bruksrett og overf., utbygging av Småvatna kraftverk'}, {'KdbID': 829, 'Tittel': 'Erverv og regulering av Abujåkka m.v. i Troms fylke'}, {'KdbID': 4387, 'Tittel': 'Fornyet tillatelse til overføring av Boulanjokka til Lassajavrri'}, {'KdbID': 7546, 'Tittel': 'Revisjon av konsesjonsvilkår - Kvænangen'}]</t>
  </si>
  <si>
    <t>Kvævebekken</t>
  </si>
  <si>
    <t>KVÆVEBEKKEN 2 AS</t>
  </si>
  <si>
    <t>926185896</t>
  </si>
  <si>
    <t>026.J3</t>
  </si>
  <si>
    <t>2022-12-21T00:00:00</t>
  </si>
  <si>
    <t>[{'AdressatID': 53027, 'Driftselskap': True, 'Hovedeier': False, 'Navn': 'FOSSBERG KRAFT AS', 'OrgNr': 920721087, 'ProsentAndel': None, 'ProsentAndelDrift': None}, {'AdressatID': 60755, 'Driftselskap': False, 'Hovedeier': True, 'Navn': 'KVÆVEBEKKEN 2 AS', 'OrgNr': 926185896, 'ProsentAndel': 100.0, 'ProsentAndelDrift': 100.0}]</t>
  </si>
  <si>
    <t>[{'KdbID': 5441, 'Tittel': 'Kvævebekken kraftverk'}]</t>
  </si>
  <si>
    <t>Kvåle</t>
  </si>
  <si>
    <t>075.5A0</t>
  </si>
  <si>
    <t>2009-05-06T00:00:00</t>
  </si>
  <si>
    <t>[{'KdbID': 4093, 'Tittel': 'Kvåle kraftverk'}]</t>
  </si>
  <si>
    <t>Dalsdalselvi</t>
  </si>
  <si>
    <t>309</t>
  </si>
  <si>
    <t>Kvåmm</t>
  </si>
  <si>
    <t>016.BG12</t>
  </si>
  <si>
    <t>[{'KdbID': 2859, 'Tittel': 'Mikrokraftverk i Kvåmsbekken'}]</t>
  </si>
  <si>
    <t>Kylland</t>
  </si>
  <si>
    <t>KYLLAND KRAFT AS</t>
  </si>
  <si>
    <t>991336699</t>
  </si>
  <si>
    <t>022.D7</t>
  </si>
  <si>
    <t>2010-08-24T00:00:00</t>
  </si>
  <si>
    <t>[{'AdressatID': 42633, 'Driftselskap': True, 'Hovedeier': True, 'Navn': 'KYLLAND KRAFT AS', 'OrgNr': 991336699, 'ProsentAndel': 100.0, 'ProsentAndelDrift': 100.0}]</t>
  </si>
  <si>
    <t>[{'KdbID': 4842, 'Tittel': 'Kylland småkraftverk'}]</t>
  </si>
  <si>
    <t>Kyrkjevollgrova</t>
  </si>
  <si>
    <t>KYRKJEVOLLGROVA SMÅSTØYT DA</t>
  </si>
  <si>
    <t>993605204</t>
  </si>
  <si>
    <t>095.BA</t>
  </si>
  <si>
    <t>2010-02-15T00:00:00</t>
  </si>
  <si>
    <t>[{'AdressatID': 42930, 'Driftselskap': True, 'Hovedeier': True, 'Navn': 'KYRKJEVOLLGROVA SMÅSTØYT DA', 'OrgNr': 993605204, 'ProsentAndel': 100.0, 'ProsentAndelDrift': 100.0}]</t>
  </si>
  <si>
    <t>[{'KdbID': 5116, 'Tittel': 'Kyrkjevollgrova minikraftverk'}]</t>
  </si>
  <si>
    <t>Kysinga</t>
  </si>
  <si>
    <t>112.CA4A</t>
  </si>
  <si>
    <t>2010-04-30T00:00:00</t>
  </si>
  <si>
    <t>[{'KdbID': 4637, 'Tittel': 'Kysinga kraftverk'}]</t>
  </si>
  <si>
    <t>Kåven</t>
  </si>
  <si>
    <t>211.7A</t>
  </si>
  <si>
    <t>[{'KdbID': 2708, 'Tittel': 'Ny regulerings- og bruksrettskonsesjon Kåven krafverk'}, {'KdbID': 2709, 'Tittel': 'Forlenging av konsesjon for Kåven'}]</t>
  </si>
  <si>
    <t>Kovelva</t>
  </si>
  <si>
    <t>846</t>
  </si>
  <si>
    <t>Laksen</t>
  </si>
  <si>
    <t>149.5C</t>
  </si>
  <si>
    <t>2012-01-09T00:00:00</t>
  </si>
  <si>
    <t>[{'KdbID': 2712, 'Tittel': 'Laksen kraftverk'}]</t>
  </si>
  <si>
    <t>Lakshola</t>
  </si>
  <si>
    <t>SISO ENERGI AS</t>
  </si>
  <si>
    <t>986530673</t>
  </si>
  <si>
    <t>166.5A0</t>
  </si>
  <si>
    <t>1999-12-01T00:00:00</t>
  </si>
  <si>
    <t>[{'AdressatID': 41108, 'Driftselskap': True, 'Hovedeier': True, 'Navn': 'SISO ENERGI AS', 'OrgNr': 986530673, 'ProsentAndel': 100.0, 'ProsentAndelDrift': 100.0}]</t>
  </si>
  <si>
    <t>[{'KdbID': 591, 'Tittel': 'Erverv og regulering av Faulvatnet i Sørfold (Laksågavassdraget)'}]</t>
  </si>
  <si>
    <t>Laksåga</t>
  </si>
  <si>
    <t>711</t>
  </si>
  <si>
    <t>Landakraft</t>
  </si>
  <si>
    <t>LANDAKRAFT AS</t>
  </si>
  <si>
    <t>980713830</t>
  </si>
  <si>
    <t>2010-06-09T00:00:00</t>
  </si>
  <si>
    <t>[{'AdressatID': 41204, 'Driftselskap': True, 'Hovedeier': True, 'Navn': 'LANDAKRAFT AS', 'OrgNr': 980713830, 'ProsentAndel': 100.0, 'ProsentAndelDrift': 100.0}]</t>
  </si>
  <si>
    <t>[{'KdbID': 2969, 'Tittel': 'Landa kraftverk'}]</t>
  </si>
  <si>
    <t>Langdalselva</t>
  </si>
  <si>
    <t>210.3A</t>
  </si>
  <si>
    <t>[{'KdbID': 4525, 'Tittel': 'Langdalselva kraftverk'}]</t>
  </si>
  <si>
    <t>839</t>
  </si>
  <si>
    <t>Langedal</t>
  </si>
  <si>
    <t>LANGEDAL KRAFT AS</t>
  </si>
  <si>
    <t>915341500</t>
  </si>
  <si>
    <t>085.C1A</t>
  </si>
  <si>
    <t>2018-08-22T00:00:00</t>
  </si>
  <si>
    <t>[{'AdressatID': 50087, 'Driftselskap': True, 'Hovedeier': True, 'Navn': 'LANGEDAL KRAFT AS', 'OrgNr': 915341500, 'ProsentAndel': 100.0, 'ProsentAndelDrift': 100.0}]</t>
  </si>
  <si>
    <t>[{'KdbID': 5724, 'Tittel': 'Langedal kraftverk'}]</t>
  </si>
  <si>
    <t>Langedalen</t>
  </si>
  <si>
    <t>LITLEBØ KRAFT AS</t>
  </si>
  <si>
    <t>992530448</t>
  </si>
  <si>
    <t>098.5C</t>
  </si>
  <si>
    <t>2011-05-03T00:00:00</t>
  </si>
  <si>
    <t>[{'AdressatID': 42728, 'Driftselskap': True, 'Hovedeier': True, 'Navn': 'LITLEBØ KRAFT AS', 'OrgNr': 992530448, 'ProsentAndel': 100.0, 'ProsentAndelDrift': 100.0}]</t>
  </si>
  <si>
    <t>[{'KdbID': 4636, 'Tittel': 'Litlebø kraftverk, (Langedalen og Nibbedalen)'}]</t>
  </si>
  <si>
    <t>Langedalselva</t>
  </si>
  <si>
    <t>411</t>
  </si>
  <si>
    <t>2018-11-21T00:00:00</t>
  </si>
  <si>
    <t>[{'KdbID': 6420, 'Tittel': 'Langedalselva kraftverk'}]</t>
  </si>
  <si>
    <t>Langevåg</t>
  </si>
  <si>
    <t>O. A. DEVOLDS SØNNER AS</t>
  </si>
  <si>
    <t>911179180</t>
  </si>
  <si>
    <t>Sula</t>
  </si>
  <si>
    <t>101.41</t>
  </si>
  <si>
    <t>[{'AdressatID': 11569, 'Driftselskap': True, 'Hovedeier': True, 'Navn': 'O. A. DEVOLDS SØNNER AS', 'OrgNr': 911179180, 'ProsentAndel': 100.0, 'ProsentAndelDrift': 100.0}]</t>
  </si>
  <si>
    <t>Langfjord</t>
  </si>
  <si>
    <t>148.31Z</t>
  </si>
  <si>
    <t>2005-12-22T00:00:00</t>
  </si>
  <si>
    <t>[{'KdbID': 939, 'Tittel': 'Erverv av fallrettigheter i Øyrelven og Tettingelven m.v.'}, {'KdbID': 8357, 'Tittel': 'Langfjord kraftverk'}]</t>
  </si>
  <si>
    <t>619</t>
  </si>
  <si>
    <t>Langfoss</t>
  </si>
  <si>
    <t>1955-12-01T00:00:00</t>
  </si>
  <si>
    <t>[{'KdbID': 610, 'Tittel': 'Ny ervervskonsesjon for Dalsfoss, Tveitereidfoss og Solumsfoss'}, {'KdbID': 1461, 'Tittel': 'Erverv av Solumfossen i Kragerøvassdraget.'}]</t>
  </si>
  <si>
    <t>Langli</t>
  </si>
  <si>
    <t>105.3C</t>
  </si>
  <si>
    <t>[{'KdbID': 62, 'Tittel': 'Regulering av Istadvassdraget, reg. og overf. av Skaldlielv'}, {'KdbID': 7364, 'Tittel': 'Langli kraftverk'}]</t>
  </si>
  <si>
    <t>Lang-Sima</t>
  </si>
  <si>
    <t>051.2AAB</t>
  </si>
  <si>
    <t>1980-05-20T00:00:00</t>
  </si>
  <si>
    <t>[{'KdbID': 371, 'Tittel': 'Statsregulering for utbygging av Eidfjord-Nord - Reguleringsbest.'}, {'KdbID': 7435, 'Tittel': 'Overføring av Våtekleivbekkane til Lang-Sima kraftverk'}]</t>
  </si>
  <si>
    <t>Langsteinelva</t>
  </si>
  <si>
    <t>125.1Z</t>
  </si>
  <si>
    <t>[{'KdbID': 3490, 'Tittel': 'Langsteinfisk AS, ekstraord. tapping fra Mossingvatn, Nord-Trøndela'}]</t>
  </si>
  <si>
    <t>Langvatn</t>
  </si>
  <si>
    <t>161.1B2B</t>
  </si>
  <si>
    <t>[{'KdbID': 203, 'Tittel': 'Erverv av bruksrett til fall i Sundsfjordelv i Gildeskål'}, {'KdbID': 513, 'Tittel': 'Erverv og reg. av Forsåga og reg. og overf. av Sundsfjordelv'}]</t>
  </si>
  <si>
    <t>Sundfjordelva</t>
  </si>
  <si>
    <t>156.A0</t>
  </si>
  <si>
    <t>1964-08-19T00:00:00</t>
  </si>
  <si>
    <t>[{'KdbID': 883, 'Tittel': 'Statsreg. av Langvatn og overføring av Ranaelv til Langvatn'}, {'KdbID': 1961, 'Tittel': 'Ekspropr. av grunn og rettigheter for utb. av Langvatn kraftanlegg'}, {'KdbID': 9722, 'Tittel': 'Søknad - Midlertidig fravik fra manøvreringsreglementet - Langvatn\xa0kraftverk\xa0-\xa0(ukjent) - Tapping under LRV ;  - 04.08.2025 til 30.09.2025- Referansenr:DVMJYQ'}]</t>
  </si>
  <si>
    <t>Langåsfoss</t>
  </si>
  <si>
    <t>126.6AA</t>
  </si>
  <si>
    <t>1987-11-16T00:00:00</t>
  </si>
  <si>
    <t>[{'KdbID': 2020, 'Tittel': 'Reg. av Tvåråtjern i Levanger. (Overtagelse av kons.)'}]</t>
  </si>
  <si>
    <t>Lappvikelva</t>
  </si>
  <si>
    <t>173.72Z</t>
  </si>
  <si>
    <t>2010-09-02T00:00:00</t>
  </si>
  <si>
    <t>[{'KdbID': 4348, 'Tittel': 'Lappvik kraftverk'}]</t>
  </si>
  <si>
    <t>Laskbekken</t>
  </si>
  <si>
    <t>STORFORSHEI NATURKRAFT AS</t>
  </si>
  <si>
    <t>985229244</t>
  </si>
  <si>
    <t>156.D2D2BZ</t>
  </si>
  <si>
    <t>2018-06-25T00:00:00</t>
  </si>
  <si>
    <t>[{'AdressatID': 43339, 'Driftselskap': False, 'Hovedeier': True, 'Navn': 'STORFORSHEI NATURKRAFT AS', 'OrgNr': 985229244, 'ProsentAndel': 100.0, 'ProsentAndelDrift': 100.0}, {'AdressatID': 50288, 'Driftselskap': True, 'Hovedeier': False, 'Navn': 'NORDKRAFT ENERGIDRIFT AS', 'OrgNr': 916116993, 'ProsentAndel': None, 'ProsentAndelDrift': None}]</t>
  </si>
  <si>
    <t>[{'KdbID': 6538, 'Tittel': 'Laskbekken minikraftverk'}]</t>
  </si>
  <si>
    <t>Lassajavrri</t>
  </si>
  <si>
    <t>209.4AC</t>
  </si>
  <si>
    <t>[{'KdbID': 329, 'Tittel': "Erverv av bruksrettskons. for utbygging av Las'sajav'ri kraftverk"}, {'KdbID': 7546, 'Tittel': 'Revisjon av konsesjonsvilkår - Kvænangen'}]</t>
  </si>
  <si>
    <t>Laudal</t>
  </si>
  <si>
    <t>022.B222</t>
  </si>
  <si>
    <t>[{'KdbID': 199, 'Tittel': 'Erverv, ekspropr. og utbygging av Laudal kraftverk'}]</t>
  </si>
  <si>
    <t>Laugaland</t>
  </si>
  <si>
    <t>LAUGALAND KRAFT AS</t>
  </si>
  <si>
    <t>989198882</t>
  </si>
  <si>
    <t>035.3AZ</t>
  </si>
  <si>
    <t>2006-11-20T00:00:00</t>
  </si>
  <si>
    <t>[{'AdressatID': 43816, 'Driftselskap': True, 'Hovedeier': True, 'Navn': 'LAUGALAND KRAFT AS', 'OrgNr': 989198882, 'ProsentAndel': 100.0, 'ProsentAndelDrift': 100.0}]</t>
  </si>
  <si>
    <t>[{'KdbID': 3496, 'Tittel': 'Laugaland mikrokraftverk'}]</t>
  </si>
  <si>
    <t>Lauki og Melei</t>
  </si>
  <si>
    <t>LAUKI OG MELEI KRAFTLAG SA</t>
  </si>
  <si>
    <t>970541896</t>
  </si>
  <si>
    <t>088.1A</t>
  </si>
  <si>
    <t>[{'AdressatID': 43838, 'Driftselskap': True, 'Hovedeier': True, 'Navn': 'LAUKI OG MELEI KRAFTLAG SA', 'OrgNr': 970541896, 'ProsentAndel': 100.0, 'ProsentAndelDrift': 100.0}]</t>
  </si>
  <si>
    <t>[{'KdbID': 3305, 'Tittel': 'Mikrokraftverk i Laukifossen'}]</t>
  </si>
  <si>
    <t>Lauvlielva</t>
  </si>
  <si>
    <t>LAUVLIELVA KRAFT AS</t>
  </si>
  <si>
    <t>893530312</t>
  </si>
  <si>
    <t>012.EDB1Z</t>
  </si>
  <si>
    <t>2012-03-27T00:00:00</t>
  </si>
  <si>
    <t>[{'AdressatID': 43694, 'Driftselskap': True, 'Hovedeier': True, 'Navn': 'LAUVLIELVA KRAFT AS', 'OrgNr': 893530312, 'ProsentAndel': 100.0, 'ProsentAndelDrift': 100.0}]</t>
  </si>
  <si>
    <t>[{'KdbID': 4931, 'Tittel': 'Lauvlia minikraftverk'}]</t>
  </si>
  <si>
    <t>Lauvsnes</t>
  </si>
  <si>
    <t>2008-05-01T00:00:00</t>
  </si>
  <si>
    <t>[{'KdbID': 4707, 'Tittel': 'Rehabilitering av Lauvsnes kraftstasjon'}]</t>
  </si>
  <si>
    <t>Lauvstad</t>
  </si>
  <si>
    <t>LAUVSTAD KRAFTVERK AS</t>
  </si>
  <si>
    <t>922414440</t>
  </si>
  <si>
    <t>017.G1B</t>
  </si>
  <si>
    <t>2022-11-02T00:00:00</t>
  </si>
  <si>
    <t>[{'AdressatID': 53027, 'Driftselskap': True, 'Hovedeier': False, 'Navn': 'FOSSBERG KRAFT AS', 'OrgNr': 920721087, 'ProsentAndel': None, 'ProsentAndelDrift': None}, {'AdressatID': 61392, 'Driftselskap': False, 'Hovedeier': True, 'Navn': 'LAUVSTAD KRAFTVERK AS', 'OrgNr': 922414440, 'ProsentAndel': 100.0, 'ProsentAndelDrift': 100.0}]</t>
  </si>
  <si>
    <t>[{'KdbID': 7176, 'Tittel': 'Lauvstad kraftverk'}, {'KdbID': 8348, 'Tittel': 'Planendring Lauvstad kraftverk'}]</t>
  </si>
  <si>
    <t>Lavkajohka</t>
  </si>
  <si>
    <t>205.B3B4</t>
  </si>
  <si>
    <t>1982-01-28T00:00:00</t>
  </si>
  <si>
    <t>[{'KdbID': 99, 'Tittel': 'Lavkajåkka kraftverk - Erverv og utbygging'}]</t>
  </si>
  <si>
    <t>Skibotnvassdraget</t>
  </si>
  <si>
    <t>819</t>
  </si>
  <si>
    <t>Leidesfossen</t>
  </si>
  <si>
    <t>025.AC</t>
  </si>
  <si>
    <t>[{'KdbID': 4386, 'Tittel': 'Minikraftverk ved Leidesfossen'}]</t>
  </si>
  <si>
    <t>Leikanger</t>
  </si>
  <si>
    <t>LEIKANGER KRAFT AS</t>
  </si>
  <si>
    <t>923662618</t>
  </si>
  <si>
    <t>077.6D</t>
  </si>
  <si>
    <t>2020-04-29T00:00:00</t>
  </si>
  <si>
    <t>[{'AdressatID': 10455, 'Driftselskap': True, 'Hovedeier': False, 'Navn': 'SOGNEKRAFT PRODUKSJON AS', 'OrgNr': 916069634, 'ProsentAndel': None, 'ProsentAndelDrift': None}, {'AdressatID': 55887, 'Driftselskap': False, 'Hovedeier': True, 'Navn': 'LEIKANGER KRAFT AS', 'OrgNr': 923662618, 'ProsentAndel': 100.0, 'ProsentAndelDrift': 100.0}]</t>
  </si>
  <si>
    <t>[{'KdbID': 5088, 'Tittel': 'Tillatelse til Leikanger kraftverk samt regulering av Store Trastadalsvatn og overføring av Henjaelvi'}, {'KdbID': 8247, 'Tittel': 'Leikanger kraftverk - ny planendring'}, {'KdbID': 9059, 'Tittel': 'Midlertidig fravik fra manøvreringsreglementet - Leikanger\xa0kraftverk\xa0-\xa0LEIKANGER KRAFT AS - Tapping under LRV ;  - 01.06.2023 til 01.11.2023- Referansenr:RPWJKA'}]</t>
  </si>
  <si>
    <t>Grindselvi</t>
  </si>
  <si>
    <t>315</t>
  </si>
  <si>
    <t>Leinafoss</t>
  </si>
  <si>
    <t>AURLAND ENERGIVERK AS</t>
  </si>
  <si>
    <t>975332438</t>
  </si>
  <si>
    <t>072.2A</t>
  </si>
  <si>
    <t>1994-05-09T00:00:00</t>
  </si>
  <si>
    <t>[{'AdressatID': 13159, 'Driftselskap': True, 'Hovedeier': True, 'Navn': 'AURLAND ENERGIVERK AS', 'OrgNr': 975332438, 'ProsentAndel': 100.0, 'ProsentAndelDrift': 100.0}]</t>
  </si>
  <si>
    <t>[{'KdbID': 34, 'Tittel': 'Erverv av bruksrett til Leinafossen i Flåmselven'}, {'KdbID': 324, 'Tittel': 'Erverv av statens fallretter i Flåmselva, (og i Sira-K. kdb:2056)'}, {'KdbID': 1771, 'Tittel': 'Erverv av bruksrett til Leinafoss kraftverk i Flåmvassdr.'}, {'KdbID': 4011, 'Tittel': 'Unntak fra kons.plikt/forkj.rett v/overtakelse av Leinafoss kraftv.'}]</t>
  </si>
  <si>
    <t>Leirbekken</t>
  </si>
  <si>
    <t>ORKLAND ENERGI PRODUKSJON AS</t>
  </si>
  <si>
    <t>917019258</t>
  </si>
  <si>
    <t>121.A1Z</t>
  </si>
  <si>
    <t>1915-01-23T00:00:00</t>
  </si>
  <si>
    <t>[{'AdressatID': 43174, 'Driftselskap': True, 'Hovedeier': False, 'Navn': 'BEKK OG STRØM AS', 'OrgNr': 990022321, 'ProsentAndel': None, 'ProsentAndelDrift': None}, {'AdressatID': 50460, 'Driftselskap': False, 'Hovedeier': True, 'Navn': 'ORKLAND ENERGI PRODUKSJON AS', 'OrgNr': 917019258, 'ProsentAndel': 100.0, 'ProsentAndelDrift': 100.0}]</t>
  </si>
  <si>
    <t>Leirdøla</t>
  </si>
  <si>
    <t>076.B2Z</t>
  </si>
  <si>
    <t>1978-10-23T00:00:00</t>
  </si>
  <si>
    <t>[{'KdbID': 476, 'Tittel': 'Statsregulering av Leirdøla i Luster - Reguleringsbestemmelser'}, {'KdbID': 699, 'Tittel': 'Leirdøla kraftverk - Økt installasjon og endring av manøvr.regl.'}, {'KdbID': 9197, 'Tittel': 'Revisjon av konsesjonsvilkår for Jostedalsvassdraget'}]</t>
  </si>
  <si>
    <t>Leirelva</t>
  </si>
  <si>
    <t>2013-12-18T00:00:00</t>
  </si>
  <si>
    <t>[{'KdbID': 4308, 'Tittel': 'Leirelva kraftverk'}]</t>
  </si>
  <si>
    <t>Leirfossene</t>
  </si>
  <si>
    <t>123.A3</t>
  </si>
  <si>
    <t>2008-12-01T00:00:00</t>
  </si>
  <si>
    <t>[{'KdbID': 2818, 'Tittel': 'Nytt Leirfossene kraftverk'}]</t>
  </si>
  <si>
    <t>Leiro</t>
  </si>
  <si>
    <t>050.CA</t>
  </si>
  <si>
    <t>2011-06-24T00:00:00</t>
  </si>
  <si>
    <t>[{'KdbID': 5366, 'Tittel': 'Leiro kraftverk'}]</t>
  </si>
  <si>
    <t>Leirosen</t>
  </si>
  <si>
    <t>179.4A</t>
  </si>
  <si>
    <t>Leiråa</t>
  </si>
  <si>
    <t>144.72Z</t>
  </si>
  <si>
    <t>2017-03-01T00:00:00</t>
  </si>
  <si>
    <t>[{'KdbID': 4604, 'Tittel': 'Leiråa småkraftverk'}]</t>
  </si>
  <si>
    <t>615</t>
  </si>
  <si>
    <t>Leknesvatn</t>
  </si>
  <si>
    <t>084.5E</t>
  </si>
  <si>
    <t>2016-10-21T00:00:00</t>
  </si>
  <si>
    <t>[{'KdbID': 6100, 'Tittel': 'Leknesvatn kraftverk'}]</t>
  </si>
  <si>
    <t>Lekum</t>
  </si>
  <si>
    <t>002.B12</t>
  </si>
  <si>
    <t>1992-01-01T00:00:00</t>
  </si>
  <si>
    <t>[{'KdbID': 1001, 'Tittel': 'Lekumfoss kraftverk'}]</t>
  </si>
  <si>
    <t>Lesjaverk</t>
  </si>
  <si>
    <t>002.DL</t>
  </si>
  <si>
    <t>1942-12-23T00:00:00</t>
  </si>
  <si>
    <t>Liaelva</t>
  </si>
  <si>
    <t>012.J6Z</t>
  </si>
  <si>
    <t>2016-12-05T00:00:00</t>
  </si>
  <si>
    <t>[{'KdbID': 6807, 'Tittel': 'Liaelva kraftverk'}]</t>
  </si>
  <si>
    <t>Liafoss</t>
  </si>
  <si>
    <t>ALBERT COLLETT</t>
  </si>
  <si>
    <t>911074184</t>
  </si>
  <si>
    <t>Nærøysund</t>
  </si>
  <si>
    <t>141.B</t>
  </si>
  <si>
    <t>[{'AdressatID': 40247, 'Driftselskap': True, 'Hovedeier': True, 'Navn': 'ALBERT COLLETT', 'OrgNr': 911074184, 'ProsentAndel': 100.0, 'ProsentAndelDrift': 100.0}]</t>
  </si>
  <si>
    <t>Oppløyelva</t>
  </si>
  <si>
    <t>588</t>
  </si>
  <si>
    <t>Liarelva</t>
  </si>
  <si>
    <t>042.711Z</t>
  </si>
  <si>
    <t>2013-07-12T00:00:00</t>
  </si>
  <si>
    <t>[{'KdbID': 5229, 'Tittel': 'Liarelva Kraftverk'}]</t>
  </si>
  <si>
    <t>192</t>
  </si>
  <si>
    <t>Liavatn</t>
  </si>
  <si>
    <t>141.C</t>
  </si>
  <si>
    <t>[{'KdbID': 881, 'Tittel': 'Reg. av Mjøsundvatn og Hustjern og overf. til Storvatn i Opløyvassd'}, {'KdbID': 3322, 'Tittel': 'Fornyet konsesjon for Mjøsundvatn og Hustjern i Opløvassdraget'}]</t>
  </si>
  <si>
    <t>027.1E3</t>
  </si>
  <si>
    <t>2024-09-23T00:00:00</t>
  </si>
  <si>
    <t>[{'KdbID': 6008, 'Tittel': 'Liavatn minikraftverk'}]</t>
  </si>
  <si>
    <t>Lidal</t>
  </si>
  <si>
    <t>078.12Z</t>
  </si>
  <si>
    <t>2017-10-09T00:00:00</t>
  </si>
  <si>
    <t>[{'KdbID': 4242, 'Tittel': 'Lidal kraftverk'}]</t>
  </si>
  <si>
    <t>Kvanndøla</t>
  </si>
  <si>
    <t>321</t>
  </si>
  <si>
    <t>Lielva</t>
  </si>
  <si>
    <t>NITO AS</t>
  </si>
  <si>
    <t>988926930</t>
  </si>
  <si>
    <t>012.CB5Z</t>
  </si>
  <si>
    <t>2012-09-25T00:00:00</t>
  </si>
  <si>
    <t>[{'AdressatID': 43870, 'Driftselskap': True, 'Hovedeier': True, 'Navn': 'NITO AS', 'OrgNr': 988926930, 'ProsentAndel': 100.0, 'ProsentAndelDrift': 100.0}]</t>
  </si>
  <si>
    <t>[{'KdbID': 5068, 'Tittel': 'Lien minikraftverk'}]</t>
  </si>
  <si>
    <t>Liemyr</t>
  </si>
  <si>
    <t>026.D1A5</t>
  </si>
  <si>
    <t>2020-03-10T00:00:00</t>
  </si>
  <si>
    <t>[{'KdbID': 5289, 'Tittel': 'Liemyr kraftverk'}]</t>
  </si>
  <si>
    <t>Lille Måsevatn</t>
  </si>
  <si>
    <t>229.A2B</t>
  </si>
  <si>
    <t>2016-11-24T00:00:00</t>
  </si>
  <si>
    <t>[{'KdbID': 5794, 'Tittel': 'Reg. Lille Måsevatn, Lille Måsevatn pumpe, overf. bekkeinntak til Adamselv krv'}]</t>
  </si>
  <si>
    <t>Adamselvvassdraget</t>
  </si>
  <si>
    <t>Lindland</t>
  </si>
  <si>
    <t>026.4B22</t>
  </si>
  <si>
    <t>2002-10-11T00:00:00</t>
  </si>
  <si>
    <t>[{'KdbID': 1208, 'Tittel': 'Dalane Elverk - Vassdragskons. ved sammensl. elforsyningsenheter'}, {'KdbID': 1779, 'Tittel': 'Utb. Sokndalselva. Reg. Barstadvatn - Lindland kraftverk'}, {'KdbID': 3049, 'Tittel': 'Planendring/ekspropriasjon  Lindland kraftverk i Sokndalsvassdraget'}, {'KdbID': 3662, 'Tittel': 'Ervervskonsesjon og overf. av reg.kons. knyttet til Lindland kr.v.'}]</t>
  </si>
  <si>
    <t>Lindåna</t>
  </si>
  <si>
    <t>021.B62</t>
  </si>
  <si>
    <t>2011-03-09T00:00:00</t>
  </si>
  <si>
    <t>[{'KdbID': 4368, 'Tittel': 'Lindåna kraftverk'}]</t>
  </si>
  <si>
    <t>Linvasselv</t>
  </si>
  <si>
    <t>307.3B9</t>
  </si>
  <si>
    <t>1962-12-02T00:00:00</t>
  </si>
  <si>
    <t>[{'KdbID': 1144, 'Tittel': 'Reg. av Vekteren og Limingen - Manøvreringreglement'}]</t>
  </si>
  <si>
    <t>Lio</t>
  </si>
  <si>
    <t>016.BE2A10</t>
  </si>
  <si>
    <t>1969-02-13T00:00:00</t>
  </si>
  <si>
    <t>[{'KdbID': 2087, 'Tittel': 'Ekspropriasjon for utb. av Tokke 5 og 6, Børte og Lio.'}, {'KdbID': 9314, 'Tittel': 'Midlertidig fravik fra manøvreringsreglementet ved Lio\xa0kraftverk\xa0-\xa0Referansenr:RVCQSJ'}, {'KdbID': 9785, 'Tittel': 'Søknad - Midlertidig fravik fra manøvreringsreglementet - Lio\xa0kraftverk\xa0-\xa0STATKRAFT ENERGI AS - Annet;  - 12.10.2025 til 16.10.2025- Referansenr:HLWGRD'}]</t>
  </si>
  <si>
    <t>95</t>
  </si>
  <si>
    <t>Lisjvasselva</t>
  </si>
  <si>
    <t>168.4C</t>
  </si>
  <si>
    <t>2025-11-27T00:00:00</t>
  </si>
  <si>
    <t>[{'KdbID': 4683, 'Tittel': 'Lisjvasselva småkraftverk'}]</t>
  </si>
  <si>
    <t>Sildpollelva</t>
  </si>
  <si>
    <t>717</t>
  </si>
  <si>
    <t>Lislevatn</t>
  </si>
  <si>
    <t>020.BBC</t>
  </si>
  <si>
    <t>2015-03-03T00:00:00</t>
  </si>
  <si>
    <t>[{'KdbID': 948, 'Tittel': 'Reg. av Uldalselv i Tovdalsvassdraget'}, {'KdbID': 949, 'Tittel': 'Regulering av Eptevatn/Homstølvatn i Tovdalsvassdraget'}, {'KdbID': 4674, 'Tittel': 'Lislevatn kraftverk'}]</t>
  </si>
  <si>
    <t>Litjfossen</t>
  </si>
  <si>
    <t>Tynset</t>
  </si>
  <si>
    <t>121.E5A</t>
  </si>
  <si>
    <t>1982-10-01T00:00:00</t>
  </si>
  <si>
    <t>[{'AdressatID': 10242, 'Driftselskap': False, 'Hovedeier': False, 'Navn': 'HAFSLUND KRAFT AS', 'OrgNr': 976894677, 'ProsentAndel': 12.0, 'ProsentAndelDrift': None}, {'AdressatID': 10505, 'Driftselskap': False, 'Hovedeier': True, 'Navn': 'KRAFTVERKENE I ORKLA DA', 'OrgNr': 947576283, 'ProsentAndel': None, 'ProsentAndelDrift': 100.0}, {'AdressatID': 27503, 'Driftselskap': True, 'Hovedeier': False, 'Navn': 'TRØNDERENERGI KRAFT AS', 'OrgNr': 878631072, 'ProsentAndel': 35.0, 'ProsentAndelDrift': None}, {'AdressatID': 40542, 'Driftselskap': False, 'Hovedeier': False, 'Navn': 'NORD ØSTERDAL KRAFTLAG ANDELSVERK AS', 'OrgNr': 981309103, 'ProsentAndel': 4.4, 'ProsentAndelDrift': None}, {'AdressatID': 41005, 'Driftselskap': False, 'Hovedeier': False, 'Navn': 'STATKRAFT ENERGI AS', 'OrgNr': 987059729, 'ProsentAndel': 48.6, 'ProsentAndelDrift': None}]</t>
  </si>
  <si>
    <t>[{'KdbID': 447, 'Tittel': 'Orkla-Grana utbyggingen - Erverv og regulering av Orkla og Grana'}, {'KdbID': 770, 'Tittel': 'Orkla-Grana utbyggingen - Ekspropriasjon for bygging av kraftverk'}, {'KdbID': 8662, 'Tittel': 'Midlertidig fravik fra manøvreringsreglementet - Litjfossen\xa0kraftverk\xa0-\xa0 Refnr:FJIFXO'}]</t>
  </si>
  <si>
    <t>Litj-Hena</t>
  </si>
  <si>
    <t>LITJ-HENA KRAFTVERK AS</t>
  </si>
  <si>
    <t>912040909</t>
  </si>
  <si>
    <t>123.D7Z</t>
  </si>
  <si>
    <t>2014-07-12T00:00:00</t>
  </si>
  <si>
    <t>[{'AdressatID': 50010, 'Driftselskap': True, 'Hovedeier': True, 'Navn': 'LITJ-HENA KRAFTVERK AS', 'OrgNr': 912040909, 'ProsentAndel': 100.0, 'ProsentAndelDrift': 100.0}]</t>
  </si>
  <si>
    <t>[{'KdbID': 5140, 'Tittel': 'Litj-Hena kraftverk'}]</t>
  </si>
  <si>
    <t>Litledalen</t>
  </si>
  <si>
    <t>041.AB</t>
  </si>
  <si>
    <t>2025-11-01T00:00:00</t>
  </si>
  <si>
    <t>[{'KdbID': 1205, 'Tittel': 'Nytt man.regl. for reg. av Litledalsvassdr. i Etne'}, {'KdbID': 9256, 'Tittel': 'Midlertidig fravik fra manøvreringsreglementet - Litledalen\xa0kraftverk\xa0-\xa0SUNNHORDLAND KRAFTLAG AS - Tapping under LRV ;  - 15.04.2024 til 15.11.2024- Referansenr:NJKGAZ'}, {'KdbID': 9451, 'Tittel': 'Søknad - Midlertidig fravik fra manøvreringsreglementet - Litledalen\xa0kraftverk\xa0-\xa0SUNNHORDLAND KRAFTLAG AS - Tapping under LRV ;  - 03.07.2024 til 28.02.2025- Referansenr:JPUVTZ'}]</t>
  </si>
  <si>
    <t>Litlelva</t>
  </si>
  <si>
    <t>ULVIG KIÆR AS</t>
  </si>
  <si>
    <t>986531491</t>
  </si>
  <si>
    <t>139.E4B</t>
  </si>
  <si>
    <t>2009-05-12T00:00:00</t>
  </si>
  <si>
    <t>[{'AdressatID': 42394, 'Driftselskap': True, 'Hovedeier': True, 'Navn': 'ULVIG KIÆR AS', 'OrgNr': 986531491, 'ProsentAndel': 100.0, 'ProsentAndelDrift': 100.0}]</t>
  </si>
  <si>
    <t>[{'KdbID': 5225, 'Tittel': 'Litleelva småkraftverk'}]</t>
  </si>
  <si>
    <t>Litleåna</t>
  </si>
  <si>
    <t>MYGLAND KRAFT AS</t>
  </si>
  <si>
    <t>998072867</t>
  </si>
  <si>
    <t>025.AD5</t>
  </si>
  <si>
    <t>2013-01-02T00:00:00</t>
  </si>
  <si>
    <t>[{'AdressatID': 43652, 'Driftselskap': False, 'Hovedeier': True, 'Navn': 'MYGLAND KRAFT AS', 'OrgNr': 998072867, 'ProsentAndel': 100.0, 'ProsentAndelDrift': 100.0}, {'AdressatID': 50288, 'Driftselskap': True, 'Hovedeier': False, 'Navn': 'NORDKRAFT ENERGIDRIFT AS', 'OrgNr': 916116993, 'ProsentAndel': None, 'ProsentAndelDrift': None}]</t>
  </si>
  <si>
    <t>[{'KdbID': 5191, 'Tittel': 'Mygland kraftverk'}]</t>
  </si>
  <si>
    <t>Ljotå</t>
  </si>
  <si>
    <t>LJOTÅ KRAFTVERK AS</t>
  </si>
  <si>
    <t>994724819</t>
  </si>
  <si>
    <t>053.80</t>
  </si>
  <si>
    <t>2019-12-23T00:00:00</t>
  </si>
  <si>
    <t>[{'AdressatID': 43450, 'Driftselskap': False, 'Hovedeier': True, 'Navn': 'LJOTÅ KRAFTVERK AS', 'OrgNr': 994724819, 'ProsentAndel': 100.0, 'ProsentAndelDrift': 100.0}, {'AdressatID': 53027, 'Driftselskap': True, 'Hovedeier': False, 'Navn': 'FOSSBERG KRAFT AS', 'OrgNr': 920721087, 'ProsentAndel': None, 'ProsentAndelDrift': None}]</t>
  </si>
  <si>
    <t>[{'KdbID': 6260, 'Tittel': 'Ljotå kraftverk'}]</t>
  </si>
  <si>
    <t>Ljøsåa</t>
  </si>
  <si>
    <t>109.4Z</t>
  </si>
  <si>
    <t>2008-08-26T00:00:00</t>
  </si>
  <si>
    <t>[{'KdbID': 4322, 'Tittel': 'Ljøsåa kraftverk'}]</t>
  </si>
  <si>
    <t>Logna</t>
  </si>
  <si>
    <t>022.EB2B</t>
  </si>
  <si>
    <t>1961-12-04T00:00:00</t>
  </si>
  <si>
    <t>[{'KdbID': 864, 'Tittel': 'Regulering av Juvatn, Mevatn og Gundevatn i Lognavassdraget'}, {'KdbID': 1851, 'Tittel': 'Till. til bygging og drift av Logna kraftverk'}]</t>
  </si>
  <si>
    <t>Lomen</t>
  </si>
  <si>
    <t>012.M</t>
  </si>
  <si>
    <t>1983-11-17T00:00:00</t>
  </si>
  <si>
    <t>[{'KdbID': 676, 'Tittel': 'Overf. av Øystre Slidrevassdr. og erverv for bygging av Lomen kr.v.'}]</t>
  </si>
  <si>
    <t>Lomi</t>
  </si>
  <si>
    <t>164.D9</t>
  </si>
  <si>
    <t>[{'KdbID': 404, 'Tittel': 'Erverv og regulering i Lomivassdraget i Fauske'}]</t>
  </si>
  <si>
    <t>Lomsdalselva</t>
  </si>
  <si>
    <t>ANDREAS LOMSDAL</t>
  </si>
  <si>
    <t>969742918</t>
  </si>
  <si>
    <t>012.EZ</t>
  </si>
  <si>
    <t>[{'AdressatID': 51203, 'Driftselskap': True, 'Hovedeier': True, 'Navn': 'ANDREAS LOMSDAL', 'OrgNr': 969742918, 'ProsentAndel': 100.0, 'ProsentAndelDrift': 100.0}]</t>
  </si>
  <si>
    <t>LONA KRAFTVERK AS</t>
  </si>
  <si>
    <t>931563106</t>
  </si>
  <si>
    <t>026.D2B</t>
  </si>
  <si>
    <t>2024-08-29T00:00:00</t>
  </si>
  <si>
    <t>[{'AdressatID': 70928, 'Driftselskap': True, 'Hovedeier': True, 'Navn': 'LONA KRAFTVERK AS', 'OrgNr': 931563106, 'ProsentAndel': 100.0, 'ProsentAndelDrift': 100.0}]</t>
  </si>
  <si>
    <t>[{'KdbID': 8966, 'Tittel': 'Lona minikraftverk'}]</t>
  </si>
  <si>
    <t>Longerak</t>
  </si>
  <si>
    <t>021.D30</t>
  </si>
  <si>
    <t>1915-01-01T00:00:00</t>
  </si>
  <si>
    <t>Lothe</t>
  </si>
  <si>
    <t>SJUR LOTHE</t>
  </si>
  <si>
    <t>820285522</t>
  </si>
  <si>
    <t>047.40</t>
  </si>
  <si>
    <t>2007-03-15T00:00:00</t>
  </si>
  <si>
    <t>[{'AdressatID': 51700, 'Driftselskap': True, 'Hovedeier': True, 'Navn': 'SJUR LOTHE', 'OrgNr': 820285522, 'ProsentAndel': 100.0, 'ProsentAndelDrift': 100.0}]</t>
  </si>
  <si>
    <t>[{'KdbID': 2971, 'Tittel': 'Lothe kraftverk'}]</t>
  </si>
  <si>
    <t>Lotsberg</t>
  </si>
  <si>
    <t>089.2A</t>
  </si>
  <si>
    <t>2010-10-26T00:00:00</t>
  </si>
  <si>
    <t>[{'KdbID': 5418, 'Tittel': 'Lotsberg småkraftverk'}]</t>
  </si>
  <si>
    <t>Lotsbegelva</t>
  </si>
  <si>
    <t>Lovik</t>
  </si>
  <si>
    <t>Andøy</t>
  </si>
  <si>
    <t>178.74A4</t>
  </si>
  <si>
    <t>[{'KdbID': 5360, 'Tittel': 'Revisjon av konsesjonsvilkår - Bleksvatn, Hinnøy'}]</t>
  </si>
  <si>
    <t>759</t>
  </si>
  <si>
    <t>Lundsfoss</t>
  </si>
  <si>
    <t>LUNDSFOSS KRAFTSTASJON AS</t>
  </si>
  <si>
    <t>959395721</t>
  </si>
  <si>
    <t>Aurskog-Høland</t>
  </si>
  <si>
    <t>001.FA</t>
  </si>
  <si>
    <t>[{'AdressatID': 24133, 'Driftselskap': True, 'Hovedeier': True, 'Navn': 'LUNDSFOSS KRAFTSTASJON AS', 'OrgNr': 959395721, 'ProsentAndel': 100.0, 'ProsentAndelDrift': 100.0}]</t>
  </si>
  <si>
    <t>Lundsæter</t>
  </si>
  <si>
    <t>044.3Z</t>
  </si>
  <si>
    <t>1934-01-01T00:00:00</t>
  </si>
  <si>
    <t>Frugardselva</t>
  </si>
  <si>
    <t>Luostejok</t>
  </si>
  <si>
    <t>INFRANORD PRODUKSJON AS</t>
  </si>
  <si>
    <t>924934891</t>
  </si>
  <si>
    <t>Porsanger</t>
  </si>
  <si>
    <t>224.E12</t>
  </si>
  <si>
    <t>2020-02-04T00:00:00</t>
  </si>
  <si>
    <t>[{'AdressatID': 60576, 'Driftselskap': True, 'Hovedeier': True, 'Navn': 'INFRANORD PRODUKSJON AS', 'OrgNr': 924934891, 'ProsentAndel': 100.0, 'ProsentAndelDrift': 100.0}]</t>
  </si>
  <si>
    <t>[{'KdbID': 3538, 'Tittel': 'Ny reguleringskonsesjon for Gaggavatn, Luostejok kraftverk'}, {'KdbID': 7898, 'Tittel': 'Luostejok kraftverk - Opprustning'}]</t>
  </si>
  <si>
    <t>Lakselvvassdraget</t>
  </si>
  <si>
    <t>886</t>
  </si>
  <si>
    <t>Luren</t>
  </si>
  <si>
    <t>041.322</t>
  </si>
  <si>
    <t>[{'KdbID': 2727, 'Tittel': 'Luren mikrokraftverk'}]</t>
  </si>
  <si>
    <t>Lutufallet</t>
  </si>
  <si>
    <t>Trysil</t>
  </si>
  <si>
    <t>311.A52</t>
  </si>
  <si>
    <t>1964-12-15T00:00:00</t>
  </si>
  <si>
    <t>[{'KdbID': 680, 'Tittel': 'Overdragelse av konsesjoner og nye ervervskonsesjoner til Lutufallet, Brødbølfoss og Sandkilfossen '}]</t>
  </si>
  <si>
    <t>Lya</t>
  </si>
  <si>
    <t>012.CE3A60</t>
  </si>
  <si>
    <t>2008-04-15T00:00:00</t>
  </si>
  <si>
    <t>[{'AdressatID': 10242, 'Driftselskap': True, 'Hovedeier': True, 'Navn': 'HAFSLUND KRAFT AS', 'OrgNr': 976894677, 'ProsentAndel': 70.0, 'ProsentAndelDrift': 70.0}, {'AdressatID': 10340, 'Driftselskap': False, 'Hovedeier': False, 'Navn': 'ÅL KRAFTVERK KF', 'OrgNr': 971030577, 'ProsentAndel': 30.0, 'ProsentAndelDrift': 30.0}]</t>
  </si>
  <si>
    <t>[{'KdbID': 4108, 'Tittel': 'Lya kraftverk'}]</t>
  </si>
  <si>
    <t>Lysbotn</t>
  </si>
  <si>
    <t>194.3D3</t>
  </si>
  <si>
    <t>1941-01-01T00:00:00</t>
  </si>
  <si>
    <t>[{'KdbID': 743, 'Tittel': 'Overdragelse av reguleringstillatelser m.v. - Troms kraftforsyning'}, {'KdbID': 1039, 'Tittel': 'Lyselva i Lenvik, Lysbotn kraftverk - Bruksrettskonsesjon'}]</t>
  </si>
  <si>
    <t>Lyselva</t>
  </si>
  <si>
    <t>768</t>
  </si>
  <si>
    <t>Lysebotn I</t>
  </si>
  <si>
    <t>031.AB21B</t>
  </si>
  <si>
    <t>1953-01-08T00:00:00</t>
  </si>
  <si>
    <t>[{'KdbID': 33, 'Tittel': 'Reg. av Årdalsvassdraget, Stølsåen og Lysevassdraget overf. mv'}, {'KdbID': 259, 'Tittel': 'Ytt. reg. av Lyngsvatn og reg. av Breiavatn'}, {'KdbID': 332, 'Tittel': 'Overføring avløpet fra Krogatjørn, Guritjørn m.v. til Storetjern'}, {'KdbID': 1869, 'Tittel': 'Ekspropriasjonstillatelse for Lyse Kraftverk i Stølsåen.'}, {'KdbID': 8823, 'Tittel': 'Konsesjonsfritak til drift av tre aggregater i Lysebotn I for en begrenset periode'}, {'KdbID': 9310, 'Tittel': 'Fortsatt drift av tre aggregater i Lysebotn I ut april 2025'}]</t>
  </si>
  <si>
    <t>Lysevassdraget</t>
  </si>
  <si>
    <t>Lysebotn II</t>
  </si>
  <si>
    <t>031.AZ</t>
  </si>
  <si>
    <t>[{'KdbID': 33, 'Tittel': 'Reg. av Årdalsvassdraget, Stølsåen og Lysevassdraget overf. mv'}, {'KdbID': 287, 'Tittel': 'Overføring fra Stølsåna, Fylgjesdalsvassdraget og Årdalsvassdraget'}, {'KdbID': 5051, 'Tittel': 'Opprustn/ modern. Lysebotn kraftverk'}]</t>
  </si>
  <si>
    <t>Lysvatn</t>
  </si>
  <si>
    <t>LYSVATN AS</t>
  </si>
  <si>
    <t>977106184</t>
  </si>
  <si>
    <t>160.41B</t>
  </si>
  <si>
    <t>1963-03-17T00:00:00</t>
  </si>
  <si>
    <t>[{'AdressatID': 10536, 'Driftselskap': True, 'Hovedeier': True, 'Navn': 'LYSVATN AS', 'OrgNr': 977106184, 'ProsentAndel': 100.0, 'ProsentAndelDrift': 100.0}]</t>
  </si>
  <si>
    <t>Spilderelva</t>
  </si>
  <si>
    <t>675</t>
  </si>
  <si>
    <t>Lysåelva</t>
  </si>
  <si>
    <t>Kvæfjord</t>
  </si>
  <si>
    <t>177.120</t>
  </si>
  <si>
    <t>2024-12-10T00:00:00</t>
  </si>
  <si>
    <t>[{'KdbID': 6901, 'Tittel': 'Lysåelva kraftverk'}]</t>
  </si>
  <si>
    <t>Løa</t>
  </si>
  <si>
    <t>PER SJØLIE</t>
  </si>
  <si>
    <t>969106612</t>
  </si>
  <si>
    <t>002.JC7</t>
  </si>
  <si>
    <t>[{'AdressatID': 55874, 'Driftselskap': True, 'Hovedeier': True, 'Navn': 'PER SJØLIE', 'OrgNr': 969106612, 'ProsentAndel': 100.0, 'ProsentAndelDrift': 100.0}]</t>
  </si>
  <si>
    <t>[{'KdbID': 2268, 'Tittel': 'Løa mikro kr.v.'}, {'KdbID': 2391, 'Tittel': 'Løa i Åmot - mikro/minikraftverk'}]</t>
  </si>
  <si>
    <t>Løgjen</t>
  </si>
  <si>
    <t>026.B2Z</t>
  </si>
  <si>
    <t>2007-09-05T00:00:00</t>
  </si>
  <si>
    <t>[{'KdbID': 3816, 'Tittel': 'Løgjen minikraftverk'}]</t>
  </si>
  <si>
    <t>Løkaunet</t>
  </si>
  <si>
    <t>123.A822</t>
  </si>
  <si>
    <t>2021-09-01T00:00:00</t>
  </si>
  <si>
    <t>Løkjelsvatn</t>
  </si>
  <si>
    <t>041.AD</t>
  </si>
  <si>
    <t>2024-06-20T00:00:00</t>
  </si>
  <si>
    <t>[{'KdbID': 7222, 'Tittel': 'Løkjelsvatn kraftverk'}, {'KdbID': 8770, 'Tittel': 'Midlertidig fravik fra manøvreringsreglementet - Løkjelsvatn\xa0kraftverk\xa0-\xa0SUNNHORDLAND KRAFTLAG AS - Tapping under LRV ;  - 10.04.2022 til 15.09.2022'}, {'KdbID': 9027, 'Tittel': 'Midlertidig fravik fra manøvreringsreglementet - Løkjelsvatn\xa0kraftverk\xa0-\xa0SUNNHORDLAND KRAFTLAG AS - Tapping under LRV ;  - 11.04.2023 til 23.07.2023- Referansenr:NTLJUP'}]</t>
  </si>
  <si>
    <t>Løkkebø</t>
  </si>
  <si>
    <t>085.E</t>
  </si>
  <si>
    <t>2020-04-03T00:00:00</t>
  </si>
  <si>
    <t>[{'KdbID': 5537, 'Tittel': 'Løkkebø kraftverk'}]</t>
  </si>
  <si>
    <t>349</t>
  </si>
  <si>
    <t>Løpet</t>
  </si>
  <si>
    <t>002.JB1</t>
  </si>
  <si>
    <t>1971-07-01T00:00:00</t>
  </si>
  <si>
    <t>[{'KdbID': 277, 'Tittel': 'Ekspropriasjon m.v. for bygging av Løpet Kraftverk'}, {'KdbID': 6813, 'Tittel': 'Økt overføring fra Glomma v/Høyegga til Rena'}, {'KdbID': 7720, 'Tittel': 'Løpet kraftverk - installasjon av nytt løpehjul'}]</t>
  </si>
  <si>
    <t>Madalen</t>
  </si>
  <si>
    <t>MADALEN MIKROKRAFTVERK AS</t>
  </si>
  <si>
    <t>921140479</t>
  </si>
  <si>
    <t>042.93C</t>
  </si>
  <si>
    <t>[{'AdressatID': 52395, 'Driftselskap': True, 'Hovedeier': True, 'Navn': 'MADALEN MIKROKRAFTVERK AS', 'OrgNr': 921140479, 'ProsentAndel': 100.0, 'ProsentAndelDrift': 100.0}]</t>
  </si>
  <si>
    <t>[{'KdbID': 3274, 'Tittel': 'Mikrokraftverk Hellandselv/Onarheimelv'}, {'KdbID': 7925, 'Tittel': 'Madalen kraftverk'}]</t>
  </si>
  <si>
    <t>Onarheimselva</t>
  </si>
  <si>
    <t>Madland</t>
  </si>
  <si>
    <t>MADLAND KRAFT AS</t>
  </si>
  <si>
    <t>992313897</t>
  </si>
  <si>
    <t>030.1F2B</t>
  </si>
  <si>
    <t>2010-02-19T00:00:00</t>
  </si>
  <si>
    <t>[{'AdressatID': 43103, 'Driftselskap': True, 'Hovedeier': True, 'Navn': 'MADLAND KRAFT AS', 'OrgNr': 992313897, 'ProsentAndel': 100.0, 'ProsentAndelDrift': 100.0}]</t>
  </si>
  <si>
    <t>[{'KdbID': 3544, 'Tittel': 'Madland småkraftverk'}, {'KdbID': 7244, 'Tittel': 'Madland kraftverk AS'}]</t>
  </si>
  <si>
    <t>Oltedalselva</t>
  </si>
  <si>
    <t>146</t>
  </si>
  <si>
    <t>Mago A</t>
  </si>
  <si>
    <t>002.DAA1Z</t>
  </si>
  <si>
    <t>Mago B</t>
  </si>
  <si>
    <t>002.DAA</t>
  </si>
  <si>
    <t>[{'KdbID': 3852, 'Tittel': 'Nytt Mago B kraftverk'}]</t>
  </si>
  <si>
    <t>Mago C</t>
  </si>
  <si>
    <t>Mago D</t>
  </si>
  <si>
    <t>002.DAA11</t>
  </si>
  <si>
    <t>Makkoren</t>
  </si>
  <si>
    <t>079.BB2A</t>
  </si>
  <si>
    <t>2012-11-23T00:00:00</t>
  </si>
  <si>
    <t>[{'KdbID': 4327, 'Tittel': 'Høyangeranleggene K4'}]</t>
  </si>
  <si>
    <t>Malmelva</t>
  </si>
  <si>
    <t>Hustadvika</t>
  </si>
  <si>
    <t>107.2Z</t>
  </si>
  <si>
    <t>[{'KdbID': 5686, 'Tittel': 'Malmeelva kraftverk (Malme og Røshol kraftverk)'}]</t>
  </si>
  <si>
    <t>Malmeelva</t>
  </si>
  <si>
    <t>Malmo</t>
  </si>
  <si>
    <t>MALMO ELEKTRISITETSVERK AS</t>
  </si>
  <si>
    <t>979400152</t>
  </si>
  <si>
    <t>129.3Z</t>
  </si>
  <si>
    <t>[{'AdressatID': 10523, 'Driftselskap': True, 'Hovedeier': True, 'Navn': 'MALMO ELEKTRISITETSVERK AS', 'OrgNr': 979400152, 'ProsentAndel': 100.0, 'ProsentAndelDrift': 100.0}]</t>
  </si>
  <si>
    <t>[{'KdbID': 1896, 'Tittel': 'Ny Malmo kraftstasjon'}, {'KdbID': 8010, 'Tittel': 'Senkning av reguleringsdam på Røssin'}]</t>
  </si>
  <si>
    <t>Ressemelva</t>
  </si>
  <si>
    <t>Mandelid</t>
  </si>
  <si>
    <t>GUNNAR OSLAND</t>
  </si>
  <si>
    <t>969828723</t>
  </si>
  <si>
    <t>084.5D</t>
  </si>
  <si>
    <t>[{'AdressatID': 25644, 'Driftselskap': True, 'Hovedeier': True, 'Navn': 'GUNNAR OSLAND', 'OrgNr': 969828723, 'ProsentAndel': 100.0, 'ProsentAndelDrift': 100.0}]</t>
  </si>
  <si>
    <t>[{'KdbID': 2731, 'Tittel': 'Mandelid mikrokraftverk'}]</t>
  </si>
  <si>
    <t>Mannsberg</t>
  </si>
  <si>
    <t>074.CB6AZ</t>
  </si>
  <si>
    <t>2016-11-11T00:00:00</t>
  </si>
  <si>
    <t>[{'KdbID': 4349, 'Tittel': 'Mannsberg kraftverk'}]</t>
  </si>
  <si>
    <t>Mardal</t>
  </si>
  <si>
    <t>104.B3C</t>
  </si>
  <si>
    <t>[{'KdbID': 380, 'Tittel': 'Grytten kraftanlegg - Planendring, endring av reg.grenser m.m.'}, {'KdbID': 886, 'Tittel': 'Statsreg. for utbygging av Grytten kraftanlegg m.v., Mardøla'}]</t>
  </si>
  <si>
    <t>Maribu</t>
  </si>
  <si>
    <t>NORDMARK TORBJØRN TØMMERMANN</t>
  </si>
  <si>
    <t>971055537</t>
  </si>
  <si>
    <t>035.7A0</t>
  </si>
  <si>
    <t>2008-06-16T00:00:00</t>
  </si>
  <si>
    <t>[{'AdressatID': 43456, 'Driftselskap': True, 'Hovedeier': True, 'Navn': 'NORDMARK TORBJØRN TØMMERMANN', 'OrgNr': 971055537, 'ProsentAndel': 100.0, 'ProsentAndelDrift': 100.0}]</t>
  </si>
  <si>
    <t>[{'KdbID': 3993, 'Tittel': 'Maribu mikrokraftverk'}, {'KdbID': 4565, 'Tittel': 'Maribu mikrokraftverk'}, {'KdbID': 5971, 'Tittel': 'Overføring av bekk fra Trongane til Maribu Kraftverk'}]</t>
  </si>
  <si>
    <t>Marifjøra</t>
  </si>
  <si>
    <t>076.2Z</t>
  </si>
  <si>
    <t>[{'KdbID': 2908, 'Tittel': 'Mikrokraftverk i Tverrelvi'}]</t>
  </si>
  <si>
    <t>Dalselvi</t>
  </si>
  <si>
    <t>Markjelkevatn</t>
  </si>
  <si>
    <t>046.4BA2A</t>
  </si>
  <si>
    <t>[{'KdbID': 3637, 'Tittel': 'Overføring av Kvanngrevatn og Markkjelkevatn'}]</t>
  </si>
  <si>
    <t>Markåni</t>
  </si>
  <si>
    <t>MARKÅNI KRAFTVERK AS</t>
  </si>
  <si>
    <t>923590722</t>
  </si>
  <si>
    <t>062.1</t>
  </si>
  <si>
    <t>2021-06-14T00:00:00</t>
  </si>
  <si>
    <t>[{'AdressatID': 52024, 'Driftselskap': True, 'Hovedeier': False, 'Navn': 'CAPTIVA ASSET MANAGEMENT AS', 'OrgNr': 991840192, 'ProsentAndel': None, 'ProsentAndelDrift': None}, {'AdressatID': 55899, 'Driftselskap': False, 'Hovedeier': True, 'Navn': 'MARKÅNI KRAFTVERK AS', 'OrgNr': 923590722, 'ProsentAndel': 100.0, 'ProsentAndelDrift': 100.0}]</t>
  </si>
  <si>
    <t>[{'KdbID': 5967, 'Tittel': 'Markåni kraftverk'}]</t>
  </si>
  <si>
    <t>Marvik</t>
  </si>
  <si>
    <t>FOSSEKALLEN KRAFT AS</t>
  </si>
  <si>
    <t>991440569</t>
  </si>
  <si>
    <t>037.61</t>
  </si>
  <si>
    <t>2008-10-14T00:00:00</t>
  </si>
  <si>
    <t>[{'AdressatID': 43186, 'Driftselskap': True, 'Hovedeier': True, 'Navn': 'FOSSEKALLEN KRAFT AS', 'OrgNr': 991440569, 'ProsentAndel': 100.0, 'ProsentAndelDrift': 100.0}]</t>
  </si>
  <si>
    <t>[{'KdbID': 3862, 'Tittel': 'Marvik minikraftverk'}]</t>
  </si>
  <si>
    <t>Matre H</t>
  </si>
  <si>
    <t>067.2Z</t>
  </si>
  <si>
    <t>2016-04-13T00:00:00</t>
  </si>
  <si>
    <t>[{'KdbID': 198, 'Tittel': 'Erverv og reg. av Matre- og Haugsdalsvassdragene'}, {'KdbID': 244, 'Tittel': 'Ytt.reg. og overf. i Matre og Haugsdalsvassdr. - Vemundsbotn krv.'}, {'KdbID': 451, 'Tittel': 'Overføring av avløpet fra Smalevatn til Skjerjevatn'}, {'KdbID': 839, 'Tittel': 'Overf. av Rundvasselv m.v. fra Førdevassdr. til Haugsdalsvassdr.'}, {'KdbID': 1054, 'Tittel': 'Overføring av Rundevasselv - Fornyelse av kons.'}, {'KdbID': 6499, 'Tittel': 'Nytt Matre H kraftverk'}]</t>
  </si>
  <si>
    <t>Matre M</t>
  </si>
  <si>
    <t>067.3Z</t>
  </si>
  <si>
    <t>[{'KdbID': 198, 'Tittel': 'Erverv og reg. av Matre- og Haugsdalsvassdragene'}, {'KdbID': 9047, 'Tittel': 'Midlertidig fravik fra manøvreringsreglementet - Matre M\xa0kraftverk\xa0-\xa0EVINY FORNYBAR AS - Tapping under LRV ;  - 13.04.2023 til 28.04.2023- Referansenr:EZBPZK'}]</t>
  </si>
  <si>
    <t>Mattisfoss</t>
  </si>
  <si>
    <t>212.4Z</t>
  </si>
  <si>
    <t>Mattiselva</t>
  </si>
  <si>
    <t>852</t>
  </si>
  <si>
    <t>Maudal Nedre</t>
  </si>
  <si>
    <t>027.F2</t>
  </si>
  <si>
    <t>2025-07-07T00:00:00</t>
  </si>
  <si>
    <t>[{'KdbID': 52, 'Tittel': 'Regulering av Maudalsvassdraget'}, {'KdbID': 8257, 'Tittel': 'Konsesjonspliktvurdering Maudal kraftverk'}]</t>
  </si>
  <si>
    <t>Maudal Øvre</t>
  </si>
  <si>
    <t>2023-10-16T00:00:00</t>
  </si>
  <si>
    <t>Mauranger</t>
  </si>
  <si>
    <t>1974-03-20T00:00:00</t>
  </si>
  <si>
    <t>[{'KdbID': 713, 'Tittel': 'Statsregulering av Maurangervassdraget - Endring av manøvr.regl.'}, {'KdbID': 868, 'Tittel': 'Statsregulering av Maurangervassdragene m.v.'}, {'KdbID': 3637, 'Tittel': 'Overføring av Kvanngrevatn og Markkjelkevatn'}]</t>
  </si>
  <si>
    <t>Medåe</t>
  </si>
  <si>
    <t>MEDÅE KRAFT AS</t>
  </si>
  <si>
    <t>988861049</t>
  </si>
  <si>
    <t>015.G60</t>
  </si>
  <si>
    <t>2007-04-09T00:00:00</t>
  </si>
  <si>
    <t>[{'AdressatID': 42490, 'Driftselskap': True, 'Hovedeier': True, 'Navn': 'MEDÅE KRAFT AS', 'OrgNr': 988861049, 'ProsentAndel': 100.0, 'ProsentAndelDrift': 100.0}]</t>
  </si>
  <si>
    <t>[{'KdbID': 3983, 'Tittel': 'Medåe minikraftverk'}]</t>
  </si>
  <si>
    <t>Medås</t>
  </si>
  <si>
    <t>[{'KdbID': 3099, 'Tittel': 'Mikrokraftverk i Granvinvassdraget'}]</t>
  </si>
  <si>
    <t>Mehammer I</t>
  </si>
  <si>
    <t>044.130</t>
  </si>
  <si>
    <t>[{'KdbID': 2916, 'Tittel': 'Mikrokraftverk i Tverrelva'}]</t>
  </si>
  <si>
    <t>Mehammer II</t>
  </si>
  <si>
    <t>Meierifossen</t>
  </si>
  <si>
    <t>084.E4A3</t>
  </si>
  <si>
    <t>2008-08-27T00:00:00</t>
  </si>
  <si>
    <t>[{'KdbID': 3893, 'Tittel': 'Meierifossen minikraftverk'}, {'KdbID': 7721, 'Tittel': 'Meierifossen kraftverk'}]</t>
  </si>
  <si>
    <t>Meisal II</t>
  </si>
  <si>
    <t>109.2Z</t>
  </si>
  <si>
    <t>[{'KdbID': 532, 'Tittel': 'Ytterligere regulering og utbygging av Meisalelva'}, {'KdbID': 2149, 'Tittel': 'Nytt av Meisal kraftverk/ekspropriasjon'}]</t>
  </si>
  <si>
    <t>Meisalelva</t>
  </si>
  <si>
    <t>446</t>
  </si>
  <si>
    <t>Mel</t>
  </si>
  <si>
    <t>078.5Z</t>
  </si>
  <si>
    <t>1989-02-24T00:00:00</t>
  </si>
  <si>
    <t>[{'KdbID': 643, 'Tittel': 'Reg. og utbygging av Vetlefjordelvi, Mel kraftverk'}, {'KdbID': 1219, 'Tittel': 'Reg. og utb. Vetlefjordvassdr., Mel kraftverk - Planendr./fristf.'}, {'KdbID': 9703, 'Tittel': 'Søknad - Midlertidig fravik fra manøvreringsreglementet - Mel\xa0kraftverk\xa0-\xa0SFE AS - Annet;  - 24.06.2025 til 25.06.2025- Referansenr:SKTTQW'}, {'KdbID': 9721, 'Tittel': 'Søknad - Midlertidig fravik fra manøvreringsreglementet - Mel\xa0kraftverk\xa0-\xa0(ukjent) - Annet;  - 14.07.2025 til 31.08.2025- Referansenr:MJZHTM'}, {'KdbID': 9761, 'Tittel': 'Søknad - Midlertidig fravik fra manøvreringsreglementet - Mel\xa0kraftverk\xa0-\xa0SFE AS - Annet;  - 20.10.2025 til 24.10.2025- Referansenr:YPJEYL'}]</t>
  </si>
  <si>
    <t>Vetlefjordelvi</t>
  </si>
  <si>
    <t>319</t>
  </si>
  <si>
    <t>Mela</t>
  </si>
  <si>
    <t>128.E3Z</t>
  </si>
  <si>
    <t>2017-06-22T00:00:00</t>
  </si>
  <si>
    <t>[{'KdbID': 5426, 'Tittel': 'Mela kraftverk'}]</t>
  </si>
  <si>
    <t>Melheim</t>
  </si>
  <si>
    <t>OLA RONNY MELHEIM</t>
  </si>
  <si>
    <t>997765826</t>
  </si>
  <si>
    <t>089.B4Z</t>
  </si>
  <si>
    <t>[{'AdressatID': 51493, 'Driftselskap': True, 'Hovedeier': True, 'Navn': 'OLA RONNY MELHEIM', 'OrgNr': 997765826, 'ProsentAndel': 100.0, 'ProsentAndelDrift': 100.0}]</t>
  </si>
  <si>
    <t>[{'KdbID': 4798, 'Tittel': 'Melheim mikrokraftverk'}]</t>
  </si>
  <si>
    <t>Melkefoss</t>
  </si>
  <si>
    <t>246.C1</t>
  </si>
  <si>
    <t>1978-09-01T00:00:00</t>
  </si>
  <si>
    <t>[{'KdbID': 364, 'Tittel': 'Utbygging av Melkefoss Kraftverk'}, {'KdbID': 3469, 'Tittel': 'Bruksrettskonsesjon for Skogfoss og Melkefoss'}, {'KdbID': 9083, 'Tittel': 'Midlertidig fravik fra manøvreringsreglementet for Melkefoss\xa0kraftverk\xa0(2023-2026)'}]</t>
  </si>
  <si>
    <t>Pasvikelva</t>
  </si>
  <si>
    <t>945</t>
  </si>
  <si>
    <t>Mellomjord 2</t>
  </si>
  <si>
    <t>203.51</t>
  </si>
  <si>
    <t>[{'KdbID': 4085, 'Tittel': 'Mikrokrfv. I Sjøvassbotn'}]</t>
  </si>
  <si>
    <t>Memurubu</t>
  </si>
  <si>
    <t>MEMURUBU TURISTHYTTE AS</t>
  </si>
  <si>
    <t>982163013</t>
  </si>
  <si>
    <t>002.DGG1Z</t>
  </si>
  <si>
    <t>[{'AdressatID': 26219, 'Driftselskap': True, 'Hovedeier': True, 'Navn': 'MEMURUBU TURISTHYTTE AS', 'OrgNr': 982163013, 'ProsentAndel': 100.0, 'ProsentAndelDrift': 100.0}]</t>
  </si>
  <si>
    <t>124.D0</t>
  </si>
  <si>
    <t>1994-04-18T00:00:00</t>
  </si>
  <si>
    <t>[{'KdbID': 572, 'Tittel': 'Regulering og utbygging av Fjergen m.v., hjemfall, N-Tr.lag'}, {'KdbID': 3335, 'Tittel': 'Fastsettelse av endelig man.regl. for kraftverkene i Meråker'}, {'KdbID': 9702, 'Tittel': 'Søknad - Midlertidig fravik fra manøvreringsreglementet - Meråker\xa0kraftverk\xa0-\xa0NTE ENERGI AS - Annet;  - 04.08.2025 til 05.09.2025- Referansenr:FKPOCW'}]</t>
  </si>
  <si>
    <t>Mesna</t>
  </si>
  <si>
    <t>002.DD5A1</t>
  </si>
  <si>
    <t>1985-04-10T00:00:00</t>
  </si>
  <si>
    <t>[{'KdbID': 84, 'Tittel': 'Regulering av Sør-Mesna - Endring av manøvreringsreglement'}, {'KdbID': 402, 'Tittel': 'Ombygging av Mesnafallene , Erverv, ekspropriasjon m.v.'}, {'KdbID': 700, 'Tittel': 'Ombygging av Mesna Kraftverk, Mesnafallene, Planendring'}, {'KdbID': 765, 'Tittel': 'Regulering av Næren i Ringsaker - Fornyet reguleringskonsesjon'}, {'KdbID': 796, 'Tittel': 'Regulering av Tyrilielven og Mesnavatna, overdragelse av kons.'}, {'KdbID': 1438, 'Tittel': 'Endr. av vilkår for reg. av Mesnavatnene.'}, {'KdbID': 7710, 'Tittel': 'Revisjon av vilkår - regulering av Mesnavassdraget '}]</t>
  </si>
  <si>
    <t>Middagsbukt</t>
  </si>
  <si>
    <t>Balsfjord</t>
  </si>
  <si>
    <t>198.31</t>
  </si>
  <si>
    <t>[{'KdbID': 3903, 'Tittel': 'Middagsbukt mikrokraftverk'}]</t>
  </si>
  <si>
    <t>Middyr</t>
  </si>
  <si>
    <t>036.G1E</t>
  </si>
  <si>
    <t>[{'KdbID': 46, 'Tittel': 'Erverv og regulering i Røldal-Suldalsvassdragene m.v.'}]</t>
  </si>
  <si>
    <t>Middøla</t>
  </si>
  <si>
    <t>016.H1A</t>
  </si>
  <si>
    <t>2015-01-05T00:00:00</t>
  </si>
  <si>
    <t>[{'KdbID': 5272, 'Tittel': 'Middøla kraftverk'}]</t>
  </si>
  <si>
    <t>Midtlæger</t>
  </si>
  <si>
    <t>036.FB</t>
  </si>
  <si>
    <t>2016-09-01T00:00:00</t>
  </si>
  <si>
    <t>[{'KdbID': 4999, 'Tittel': 'Midtlægre kraftverk'}]</t>
  </si>
  <si>
    <t>Midtre Tessa</t>
  </si>
  <si>
    <t>002.DHB2A6</t>
  </si>
  <si>
    <t>2018-06-27T00:00:00</t>
  </si>
  <si>
    <t>[{'KdbID': 25, 'Tittel': 'Regulering av Tessevatn (Lille regulering)'}, {'KdbID': 113, 'Tittel': 'Erv. av Tessefallene i Vågå - nye kons.vilkår på ubegrenset tid.'}]</t>
  </si>
  <si>
    <t>Midtun</t>
  </si>
  <si>
    <t>MIDTUNKRAFT AS</t>
  </si>
  <si>
    <t>998475368</t>
  </si>
  <si>
    <t>068.72Z</t>
  </si>
  <si>
    <t>2014-01-07T00:00:00</t>
  </si>
  <si>
    <t>[{'AdressatID': 43618, 'Driftselskap': True, 'Hovedeier': True, 'Navn': 'MIDTUNKRAFT AS', 'OrgNr': 998475368, 'ProsentAndel': 100.0, 'ProsentAndelDrift': 100.0}]</t>
  </si>
  <si>
    <t>[{'KdbID': 5157, 'Tittel': 'Midtun minikraftverk'}]</t>
  </si>
  <si>
    <t>Midtunelva</t>
  </si>
  <si>
    <t>Milja</t>
  </si>
  <si>
    <t>OLSETH MAGNE</t>
  </si>
  <si>
    <t>969906228</t>
  </si>
  <si>
    <t>042.121</t>
  </si>
  <si>
    <t>2019-08-14T00:00:00</t>
  </si>
  <si>
    <t>[{'AdressatID': 43864, 'Driftselskap': True, 'Hovedeier': True, 'Navn': 'OLSETH MAGNE', 'OrgNr': 969906228, 'ProsentAndel': 100.0, 'ProsentAndelDrift': 100.0}]</t>
  </si>
  <si>
    <t>[{'KdbID': 5411, 'Tittel': 'Milje minikraftverk'}]</t>
  </si>
  <si>
    <t>Misfjord</t>
  </si>
  <si>
    <t>MISFJORD KRAFTVERK AS</t>
  </si>
  <si>
    <t>934112164</t>
  </si>
  <si>
    <t>Vestnes</t>
  </si>
  <si>
    <t>102.51</t>
  </si>
  <si>
    <t>2012-11-21T00:00:00</t>
  </si>
  <si>
    <t>[{'AdressatID': 74704, 'Driftselskap': True, 'Hovedeier': True, 'Navn': 'MISFJORD KRAFTVERK AS', 'OrgNr': 934112164, 'ProsentAndel': 100.0, 'ProsentAndelDrift': 100.0}]</t>
  </si>
  <si>
    <t>[{'KdbID': 5028, 'Tittel': 'Misfjord kraftverk'}]</t>
  </si>
  <si>
    <t>425</t>
  </si>
  <si>
    <t>Mjeldeelva</t>
  </si>
  <si>
    <t>197.42</t>
  </si>
  <si>
    <t>2016-06-02T00:00:00</t>
  </si>
  <si>
    <t>[{'KdbID': 5376, 'Tittel': 'Mjeldeelva kraftverk'}]</t>
  </si>
  <si>
    <t>Mjella</t>
  </si>
  <si>
    <t>BREKKE GÅRD HEDEGART</t>
  </si>
  <si>
    <t>980350479</t>
  </si>
  <si>
    <t>016.F613</t>
  </si>
  <si>
    <t>2007-11-15T00:00:00</t>
  </si>
  <si>
    <t>[{'AdressatID': 42565, 'Driftselskap': True, 'Hovedeier': True, 'Navn': 'BREKKE GÅRD HEDEGART', 'OrgNr': 980350479, 'ProsentAndel': 100.0, 'ProsentAndelDrift': 100.0}]</t>
  </si>
  <si>
    <t>[{'KdbID': 3835, 'Tittel': 'Mjella minikraftverk'}]</t>
  </si>
  <si>
    <t>Mjølsvik</t>
  </si>
  <si>
    <t>MJØLSVIK KRAFT AS</t>
  </si>
  <si>
    <t>995955954</t>
  </si>
  <si>
    <t>070.1A</t>
  </si>
  <si>
    <t>2023-01-26T00:00:00</t>
  </si>
  <si>
    <t>[{'AdressatID': 40545, 'Driftselskap': True, 'Hovedeier': False, 'Navn': 'FORTE VANNKRAFT AS', 'OrgNr': 975964825, 'ProsentAndel': None, 'ProsentAndelDrift': None}, {'AdressatID': 43309, 'Driftselskap': False, 'Hovedeier': True, 'Navn': 'MJØLSVIK KRAFT AS', 'OrgNr': 995955954, 'ProsentAndel': 100.0, 'ProsentAndelDrift': 100.0}]</t>
  </si>
  <si>
    <t>[{'KdbID': 4949, 'Tittel': 'Mjølsvik kraftverk'}, {'KdbID': 7998, 'Tittel': 'Planendring Mjølsvik kraftverk'}]</t>
  </si>
  <si>
    <t>Mjølsvikelva</t>
  </si>
  <si>
    <t>Mo</t>
  </si>
  <si>
    <t>016.AC1</t>
  </si>
  <si>
    <t>2017-12-21T00:00:00</t>
  </si>
  <si>
    <t>[{'KdbID': 7682, 'Tittel': 'Mo kraftverk'}, {'KdbID': 8481, 'Tittel': 'Konsesjonspliktvurdering av økt slukeevne i Mo kraftverk'}]</t>
  </si>
  <si>
    <t>084.C</t>
  </si>
  <si>
    <t>2000-08-01T00:00:00</t>
  </si>
  <si>
    <t>[{'KdbID': 2000, 'Tittel': 'Reg. Gravvatn og utb. Mo kr.v., Refsdal minikrv'}]</t>
  </si>
  <si>
    <t>Mobæk Mølle</t>
  </si>
  <si>
    <t>OLE-KRISTIAN MOBÆK</t>
  </si>
  <si>
    <t>994185551</t>
  </si>
  <si>
    <t>002.E2AA</t>
  </si>
  <si>
    <t>[{'AdressatID': 43829, 'Driftselskap': True, 'Hovedeier': True, 'Navn': 'OLE-KRISTIAN MOBÆK', 'OrgNr': 994185551, 'ProsentAndel': 100.0, 'ProsentAndelDrift': 100.0}]</t>
  </si>
  <si>
    <t>Moe</t>
  </si>
  <si>
    <t>Bamble</t>
  </si>
  <si>
    <t>017.2Z</t>
  </si>
  <si>
    <t>Moelv</t>
  </si>
  <si>
    <t>Ringsaker</t>
  </si>
  <si>
    <t>002.DD1A4</t>
  </si>
  <si>
    <t>[{'KdbID': 1775, 'Tittel': 'Ny reguleringskonsesjon for Næra i Ringsaker'}, {'KdbID': 1928, 'Tittel': 'Gjenoppbygging av Moelv Kraftverk'}, {'KdbID': 2464, 'Tittel': 'Gjenoppbygging av Moelv kraftverk, korrigering av vilkår'}]</t>
  </si>
  <si>
    <t>Mofjellet</t>
  </si>
  <si>
    <t>2011-08-29T00:00:00</t>
  </si>
  <si>
    <t>[{'KdbID': 5830, 'Tittel': 'Mofjellet minikraftverk'}]</t>
  </si>
  <si>
    <t>Moflåt</t>
  </si>
  <si>
    <t>016.H4</t>
  </si>
  <si>
    <t>[{'KdbID': 899, 'Tittel': 'Erverv av vannrettigheter i Måna'}, {'KdbID': 1263, 'Tittel': 'Erv. av Bøen vestre Vannrett I i Tinn.'}, {'KdbID': 2116, 'Tittel': 'Fornyet ervervskonsesjon Moflåt og Mæl kraftverker i Måna'}]</t>
  </si>
  <si>
    <t>Moi</t>
  </si>
  <si>
    <t>MOI ELVERK AS</t>
  </si>
  <si>
    <t>974429063</t>
  </si>
  <si>
    <t>026.BA22</t>
  </si>
  <si>
    <t>[{'AdressatID': 24220, 'Driftselskap': True, 'Hovedeier': True, 'Navn': 'MOI ELVERK AS', 'OrgNr': 974429063, 'ProsentAndel': 100.0, 'ProsentAndelDrift': 100.0}]</t>
  </si>
  <si>
    <t>[{'KdbID': 2045, 'Tittel': 'Minikraftverk - Kvernfossen i Moisåna'}, {'KdbID': 8674, 'Tittel': 'Midlertidig fravik fra konsesjon Moi kraftverk - Fravik fra minstevannføring 2021 - Referansenr:OSXCPV'}]</t>
  </si>
  <si>
    <t>Moksa</t>
  </si>
  <si>
    <t>GUDBRANDSDAL ENERGI PRODUKSJON AS</t>
  </si>
  <si>
    <t>941739601</t>
  </si>
  <si>
    <t>Øyer</t>
  </si>
  <si>
    <t>002.DE3A0</t>
  </si>
  <si>
    <t>1990-03-09T00:00:00</t>
  </si>
  <si>
    <t>[{'AdressatID': 10242, 'Driftselskap': True, 'Hovedeier': False, 'Navn': 'HAFSLUND KRAFT AS', 'OrgNr': 976894677, 'ProsentAndel': None, 'ProsentAndelDrift': None}, {'AdressatID': 10302, 'Driftselskap': False, 'Hovedeier': True, 'Navn': 'GUDBRANDSDAL ENERGI PRODUKSJON AS', 'OrgNr': 941739601, 'ProsentAndel': 100.0, 'ProsentAndelDrift': 100.0}]</t>
  </si>
  <si>
    <t>[{'KdbID': 10, 'Tittel': 'Ytterligere regulering av Våsjøen, utvidelse av Moksa kraftverk og erverv av ytterligere fall (200 m)'}, {'KdbID': 961, 'Tittel': 'Reg. av Djupen, Goppolen, Våsjøen og Grunnesvatn - Overf. av kons.'}]</t>
  </si>
  <si>
    <t>Molla</t>
  </si>
  <si>
    <t>[{'KdbID': 2657, 'Tittel': 'Molla minikraftverk'}]</t>
  </si>
  <si>
    <t>Momrak</t>
  </si>
  <si>
    <t>MOMRAK KRAFTLAG AS</t>
  </si>
  <si>
    <t>992803118</t>
  </si>
  <si>
    <t>019.DB1</t>
  </si>
  <si>
    <t>2011-06-30T00:00:00</t>
  </si>
  <si>
    <t>[{'AdressatID': 42686, 'Driftselskap': True, 'Hovedeier': True, 'Navn': 'MOMRAK KRAFTLAG AS', 'OrgNr': 992803118, 'ProsentAndel': 100.0, 'ProsentAndelDrift': 100.0}]</t>
  </si>
  <si>
    <t>[{'KdbID': 5159, 'Tittel': 'Momrak minikraftverk'}]</t>
  </si>
  <si>
    <t>Mone</t>
  </si>
  <si>
    <t>020.A6</t>
  </si>
  <si>
    <t>[{'KdbID': 2495, 'Tittel': 'Mikrokrv i Daleelven'}]</t>
  </si>
  <si>
    <t>Monge</t>
  </si>
  <si>
    <t>103.A2B</t>
  </si>
  <si>
    <t>Mordøla</t>
  </si>
  <si>
    <t>MORDØLA KRAFT AS</t>
  </si>
  <si>
    <t>923366563</t>
  </si>
  <si>
    <t>075.32Z</t>
  </si>
  <si>
    <t>2023-07-06T00:00:00</t>
  </si>
  <si>
    <t>[{'AdressatID': 40545, 'Driftselskap': True, 'Hovedeier': False, 'Navn': 'FORTE VANNKRAFT AS', 'OrgNr': 975964825, 'ProsentAndel': None, 'ProsentAndelDrift': None}, {'AdressatID': 60262, 'Driftselskap': False, 'Hovedeier': True, 'Navn': 'MORDØLA KRAFT AS', 'OrgNr': 923366563, 'ProsentAndel': 100.0, 'ProsentAndelDrift': 100.0}]</t>
  </si>
  <si>
    <t>[{'KdbID': 5665, 'Tittel': 'Mordøla kraftverk'}]</t>
  </si>
  <si>
    <t>Mordalselvi</t>
  </si>
  <si>
    <t>306</t>
  </si>
  <si>
    <t>Mork</t>
  </si>
  <si>
    <t>073.2A0</t>
  </si>
  <si>
    <t>2022-06-23T00:00:00</t>
  </si>
  <si>
    <t>[{'AdressatID': 10242, 'Driftselskap': True, 'Hovedeier': True, 'Navn': 'HAFSLUND KRAFT AS', 'OrgNr': 976894677, 'ProsentAndel': None, 'ProsentAndelDrift': 100.0}, {'AdressatID': 53156, 'Driftselskap': False, 'Hovedeier': False, 'Navn': 'MORK KRAFTVERK AS', 'OrgNr': 912831922, 'ProsentAndel': 100.0, 'ProsentAndelDrift': None}]</t>
  </si>
  <si>
    <t>[{'KdbID': 4814, 'Tittel': 'Mork kraftverk i Erdalselva'}, {'KdbID': 7516, 'Tittel': 'Mork kraftverk-planendring'}]</t>
  </si>
  <si>
    <t>Erdalselvi</t>
  </si>
  <si>
    <t>221</t>
  </si>
  <si>
    <t>Morkenfoss</t>
  </si>
  <si>
    <t>137.7D</t>
  </si>
  <si>
    <t>1986-10-01T00:00:00</t>
  </si>
  <si>
    <t>[{'KdbID': 2153, 'Tittel': 'Overføre Sneilibekken til Lauvsnesvassdraget'}]</t>
  </si>
  <si>
    <t>Mortensdalelva</t>
  </si>
  <si>
    <t>204.AZ</t>
  </si>
  <si>
    <t>2012-06-15T00:00:00</t>
  </si>
  <si>
    <t>[{'KdbID': 4381, 'Tittel': 'Mortensdalelva kraftverk'}]</t>
  </si>
  <si>
    <t>Signaldalelva</t>
  </si>
  <si>
    <t>817</t>
  </si>
  <si>
    <t>Mosbakka</t>
  </si>
  <si>
    <t>MOSBAKKA KRAFT AS</t>
  </si>
  <si>
    <t>990068267</t>
  </si>
  <si>
    <t>037.3Z</t>
  </si>
  <si>
    <t>2024-10-13T00:00:00</t>
  </si>
  <si>
    <t>[{'AdressatID': 43061, 'Driftselskap': True, 'Hovedeier': True, 'Navn': 'MOSBAKKA KRAFT AS', 'OrgNr': 990068267, 'ProsentAndel': 100.0, 'ProsentAndelDrift': 100.0}]</t>
  </si>
  <si>
    <t>[{'KdbID': 4855, 'Tittel': 'Mosbakka kraftverk'}, {'KdbID': 8317, 'Tittel': 'Mosbakka kraftverk - økt slukeevne'}]</t>
  </si>
  <si>
    <t>Saudaelva</t>
  </si>
  <si>
    <t>178</t>
  </si>
  <si>
    <t>Mosbekken</t>
  </si>
  <si>
    <t>122.1C</t>
  </si>
  <si>
    <t>[{'KdbID': 3708, 'Tittel': 'Mikrokraftverk i Mosbekken'}]</t>
  </si>
  <si>
    <t>Børselva</t>
  </si>
  <si>
    <t>Moskenes Fiskeindustri</t>
  </si>
  <si>
    <t>181.431</t>
  </si>
  <si>
    <t>Mossefossen</t>
  </si>
  <si>
    <t>MOSSEFOSSEN ANS</t>
  </si>
  <si>
    <t>950246901</t>
  </si>
  <si>
    <t>Moss</t>
  </si>
  <si>
    <t>003.A3</t>
  </si>
  <si>
    <t>[{'AdressatID': 10242, 'Driftselskap': True, 'Hovedeier': False, 'Navn': 'HAFSLUND KRAFT AS', 'OrgNr': 976894677, 'ProsentAndel': None, 'ProsentAndelDrift': None}, {'AdressatID': 13028, 'Driftselskap': False, 'Hovedeier': True, 'Navn': 'MOSSEFOSSEN ANS', 'OrgNr': 950246901, 'ProsentAndel': 100.0, 'ProsentAndelDrift': 100.0}]</t>
  </si>
  <si>
    <t>[{'KdbID': 309, 'Tittel': 'Erverv av fallrettigheter i Mossefossen'}, {'KdbID': 736, 'Tittel': 'Utbygging av Mossefossen - Endret manøvrering av Vansjø'}, {'KdbID': 1053, 'Tittel': 'Fastsettelse av nytt man.regl. for Moss komm. reg. av Vansjø'}, {'KdbID': 9539, 'Tittel': 'Midlertidig fravik fra manøvreringsreglementet - Lille-elva '}]</t>
  </si>
  <si>
    <t>Mossevassdraget</t>
  </si>
  <si>
    <t>021</t>
  </si>
  <si>
    <t>Mosvik</t>
  </si>
  <si>
    <t>131.3Z</t>
  </si>
  <si>
    <t>1984-02-23T00:00:00</t>
  </si>
  <si>
    <t>[{'KdbID': 693, 'Tittel': 'Erverv og regulering m.v. for utbygging av Mosvik Kraftverk i Mossa'}]</t>
  </si>
  <si>
    <t>Kalddalselva</t>
  </si>
  <si>
    <t>525</t>
  </si>
  <si>
    <t>Mulvik</t>
  </si>
  <si>
    <t>MULVIK KRAFT AS</t>
  </si>
  <si>
    <t>994225529</t>
  </si>
  <si>
    <t>111.51</t>
  </si>
  <si>
    <t>2010-05-11T00:00:00</t>
  </si>
  <si>
    <t>[{'AdressatID': 43020, 'Driftselskap': True, 'Hovedeier': True, 'Navn': 'MULVIK KRAFT AS', 'OrgNr': 994225529, 'ProsentAndel': 100.0, 'ProsentAndelDrift': 100.0}]</t>
  </si>
  <si>
    <t>[{'KdbID': 3915, 'Tittel': 'Minikraftverk i Mulvikelva'}]</t>
  </si>
  <si>
    <t>Mundalselvi</t>
  </si>
  <si>
    <t>SOGNEKRAFT PRODUKSJON AS</t>
  </si>
  <si>
    <t>916069634</t>
  </si>
  <si>
    <t>078.3Z</t>
  </si>
  <si>
    <t>2022-11-25T00:00:00</t>
  </si>
  <si>
    <t>[{'AdressatID': 10455, 'Driftselskap': True, 'Hovedeier': True, 'Navn': 'SOGNEKRAFT PRODUKSJON AS', 'OrgNr': 916069634, 'ProsentAndel': 100.0, 'ProsentAndelDrift': 100.0}]</t>
  </si>
  <si>
    <t>[{'KdbID': 5716, 'Tittel': 'Mundalselvi kraftverk'}]</t>
  </si>
  <si>
    <t>Muoidejohka</t>
  </si>
  <si>
    <t>MUOIDEJOHKA KRAFT AS</t>
  </si>
  <si>
    <t>996346854</t>
  </si>
  <si>
    <t>161.F21Z</t>
  </si>
  <si>
    <t>2014-06-18T00:00:00</t>
  </si>
  <si>
    <t>[{'AdressatID': 10025, 'Driftselskap': False, 'Hovedeier': False, 'Navn': 'STATSKOG SF', 'OrgNr': 966056258, 'ProsentAndel': 40.0, 'ProsentAndelDrift': None}, {'AdressatID': 40394, 'Driftselskap': False, 'Hovedeier': False, 'Navn': 'SMÅKRAFT AS', 'OrgNr': 984616155, 'ProsentAndel': 60.0, 'ProsentAndelDrift': None}, {'AdressatID': 43614, 'Driftselskap': True, 'Hovedeier': True, 'Navn': 'MUOIDEJOHKA KRAFT AS', 'OrgNr': 996346854, 'ProsentAndel': None, 'ProsentAndelDrift': 100.0}]</t>
  </si>
  <si>
    <t>[{'KdbID': 4900, 'Tittel': 'Muoidejohka kraftverk'}]</t>
  </si>
  <si>
    <t>Mydalen</t>
  </si>
  <si>
    <t>016.EAAAB</t>
  </si>
  <si>
    <t>1959-11-12T00:00:00</t>
  </si>
  <si>
    <t>[{'KdbID': 1203, 'Tittel': 'Till. til å rå over alt vannet i Hjartdal-Tuddalsvassdr.'}, {'KdbID': 1819, 'Tittel': 'Ekspropriasjon av fallrettigh. Hjartdal- Tuddalvassdret.'}, {'KdbID': 1820, 'Tittel': 'Ekspropriasjon av eiendom for kraftverk utbygging.'}, {'KdbID': 6431, 'Tittel': 'Revisjon av konsesjonsvilkår - Hjartdøla'}]</t>
  </si>
  <si>
    <t>Mydland</t>
  </si>
  <si>
    <t>MYDLAND KRAFTVERK AS</t>
  </si>
  <si>
    <t>977315425</t>
  </si>
  <si>
    <t>027.3F</t>
  </si>
  <si>
    <t>[{'AdressatID': 43657, 'Driftselskap': True, 'Hovedeier': True, 'Navn': 'MYDLAND KRAFTVERK AS', 'OrgNr': 977315425, 'ProsentAndel': 100.0, 'ProsentAndelDrift': 100.0}]</t>
  </si>
  <si>
    <t>[{'KdbID': 2173, 'Tittel': 'Reg.Stemmetjønn overf.Teinbekken, Mydland kraftverk'}]</t>
  </si>
  <si>
    <t>136</t>
  </si>
  <si>
    <t>Myklebost</t>
  </si>
  <si>
    <t>MYKLEBOST KRAFT AS</t>
  </si>
  <si>
    <t>917400482</t>
  </si>
  <si>
    <t>084.E3A</t>
  </si>
  <si>
    <t>2018-04-28T00:00:00</t>
  </si>
  <si>
    <t>[{'AdressatID': 50429, 'Driftselskap': True, 'Hovedeier': True, 'Navn': 'MYKLEBOST KRAFT AS', 'OrgNr': 917400482, 'ProsentAndel': 100.0, 'ProsentAndelDrift': 100.0}]</t>
  </si>
  <si>
    <t>[{'KdbID': 5347, 'Tittel': 'Myklebost kraftverk'}]</t>
  </si>
  <si>
    <t>Myklebust</t>
  </si>
  <si>
    <t>MYKLEBUST KRAFT AS</t>
  </si>
  <si>
    <t>991391304</t>
  </si>
  <si>
    <t>2009-05-19T00:00:00</t>
  </si>
  <si>
    <t>[{'AdressatID': 42925, 'Driftselskap': True, 'Hovedeier': True, 'Navn': 'MYKLEBUST KRAFT AS', 'OrgNr': 991391304, 'ProsentAndel': 100.0, 'ProsentAndelDrift': 100.0}]</t>
  </si>
  <si>
    <t>[{'KdbID': 4554, 'Tittel': 'Myklebust kraftverk'}]</t>
  </si>
  <si>
    <t>087.CF</t>
  </si>
  <si>
    <t>[{'KdbID': 4871, 'Tittel': 'Myklebust kraftverk'}]</t>
  </si>
  <si>
    <t>Myklebustdalen</t>
  </si>
  <si>
    <t>2007-01-08T00:00:00</t>
  </si>
  <si>
    <t>[{'KdbID': 2954, 'Tittel': 'Mattiselva kraftverk'}]</t>
  </si>
  <si>
    <t>Mykstufoss</t>
  </si>
  <si>
    <t>015.G5Z</t>
  </si>
  <si>
    <t>1964-01-01T00:00:00</t>
  </si>
  <si>
    <t>[{'KdbID': 1794, 'Tittel': 'Ekspropriasjon av eiendom og rettigheter for utb. av Mykstufossen.'}, {'KdbID': 1795, 'Tittel': 'Mykstufoss kraftanlegg planendring.'}]</t>
  </si>
  <si>
    <t>Myra</t>
  </si>
  <si>
    <t>055.B</t>
  </si>
  <si>
    <t>1988-05-02T00:00:00</t>
  </si>
  <si>
    <t>[{'KdbID': 1206, 'Tittel': 'Ny konsesjon for Samnangervassdraget'}, {'KdbID': 7764, 'Tittel': 'Samnangervassdraget - Fastsettelse av minstevannføring'}, {'KdbID': 8772, 'Tittel': 'Midlertidig fravik fra manøvreringsreglementet - Myra\xa0kraftverk\xa0-\xa0EVINY FORNYBAR AS - Tapping under LRV ;  - 14.03.2022 til 24.03.2022- Referansenr:BMNCCZ'}, {'KdbID': 8783, 'Tittel': 'Midlertidig fravik fra manøvreringsreglementet - Myra\xa0kraftverk\xa0-\xa0EVINY FORNYBAR AS - Tapping under LRV ;  - 18.03.2022 til 28.03.2022- Referansenr:KIQQTO'}]</t>
  </si>
  <si>
    <t>Myraelva</t>
  </si>
  <si>
    <t>084.820</t>
  </si>
  <si>
    <t>[{'KdbID': 2718, 'Tittel': 'Myraelva mikrokraftverk'}]</t>
  </si>
  <si>
    <t>Myrbekk</t>
  </si>
  <si>
    <t>ARILD VAAGE</t>
  </si>
  <si>
    <t>969624230</t>
  </si>
  <si>
    <t>036.B24</t>
  </si>
  <si>
    <t>2005-08-01T00:00:00</t>
  </si>
  <si>
    <t>[{'AdressatID': 50089, 'Driftselskap': True, 'Hovedeier': True, 'Navn': 'ARILD VAAGE', 'OrgNr': 969624230, 'ProsentAndel': 100.0, 'ProsentAndelDrift': 100.0}]</t>
  </si>
  <si>
    <t>[{'KdbID': 4139, 'Tittel': 'Myrbekk minikraftverk'}]</t>
  </si>
  <si>
    <t>Myrholten</t>
  </si>
  <si>
    <t>112.3B2B</t>
  </si>
  <si>
    <t>2021-11-26T00:00:00</t>
  </si>
  <si>
    <t>[{'KdbID': 4885, 'Tittel': 'Myrholten kraftverk'}, {'KdbID': 7884, 'Tittel': 'Myrholten kraftverk- søknad om økt slukeevne'}]</t>
  </si>
  <si>
    <t>458</t>
  </si>
  <si>
    <t>Myster</t>
  </si>
  <si>
    <t>063.A</t>
  </si>
  <si>
    <t>1987-04-06T00:00:00</t>
  </si>
  <si>
    <t>[{'KdbID': 728, 'Tittel': 'Erverv og ekspropriasjon m.v. for utbygging av Myster kraftanlegg'}, {'KdbID': 4225, 'Tittel': 'Revisjon av vilkår Ekso, Myster kraftverk'}]</t>
  </si>
  <si>
    <t>Mæl</t>
  </si>
  <si>
    <t>016.H2</t>
  </si>
  <si>
    <t>[{'KdbID': 900, 'Tittel': 'Erverv av vannrettigheter m.v. i Måna'}, {'KdbID': 2116, 'Tittel': 'Fornyet ervervskonsesjon Moflåt og Mæl kraftverker i Måna'}]</t>
  </si>
  <si>
    <t>Mælafoss</t>
  </si>
  <si>
    <t>124.2A</t>
  </si>
  <si>
    <t>1918-09-01T00:00:00</t>
  </si>
  <si>
    <t>[{'KdbID': 425, 'Tittel': 'Regulering av Gråelva i Stjørdal (overtakelse av kons)'}]</t>
  </si>
  <si>
    <t>Gråelva fra liavatnet</t>
  </si>
  <si>
    <t>Mærdalsåi</t>
  </si>
  <si>
    <t>2008-01-21T00:00:00</t>
  </si>
  <si>
    <t>[{'KdbID': 3234, 'Tittel': 'Mikrokraftverk i Mærdalsåi'}]</t>
  </si>
  <si>
    <t>Mølleelva</t>
  </si>
  <si>
    <t>212.3Z</t>
  </si>
  <si>
    <t>[{'KdbID': 4572, 'Tittel': 'Mølleelva kraftverk'}, {'KdbID': 9467, 'Tittel': 'Søknad - Midlertidig fravik fra manøvreringsreglementet - Mølleelva\xa0kraftverk\xa0-\xa0ALTA KRAFTLAG SA - Fravik fra minstevannføring;  - 20.08.2024 til 21.08.2024- Referansenr:MGURTB'}]</t>
  </si>
  <si>
    <t>851</t>
  </si>
  <si>
    <t>Møllefossen</t>
  </si>
  <si>
    <t>060.5Z</t>
  </si>
  <si>
    <t>1991-06-01T00:00:00</t>
  </si>
  <si>
    <t>[{'KdbID': 586, 'Tittel': 'Overføring av Hesjedalsvassdraget og utbygging av Møllefossen kr.v.'}]</t>
  </si>
  <si>
    <t>Møllen</t>
  </si>
  <si>
    <t>061.4Z</t>
  </si>
  <si>
    <t>1977-01-01T00:00:00</t>
  </si>
  <si>
    <t>Mølnbekken</t>
  </si>
  <si>
    <t>155.B5</t>
  </si>
  <si>
    <t>2015-12-10T00:00:00</t>
  </si>
  <si>
    <t>[{'KdbID': 4709, 'Tittel': 'Mølnbekken kraftverk'}, {'KdbID': 5487, 'Tittel': 'Mølnbekken kraftverk'}, {'KdbID': 7422, 'Tittel': 'Mølnbekken kraftverk'}]</t>
  </si>
  <si>
    <t>Mølnelva</t>
  </si>
  <si>
    <t>SANDVIK ENERGI AS</t>
  </si>
  <si>
    <t>986446060</t>
  </si>
  <si>
    <t>Dyrøy</t>
  </si>
  <si>
    <t>193.D</t>
  </si>
  <si>
    <t>2008-11-24T00:00:00</t>
  </si>
  <si>
    <t>[{'AdressatID': 42961, 'Driftselskap': True, 'Hovedeier': True, 'Navn': 'SANDVIK ENERGI AS', 'OrgNr': 986446060, 'ProsentAndel': 100.0, 'ProsentAndelDrift': 100.0}]</t>
  </si>
  <si>
    <t>[{'KdbID': 2932, 'Tittel': 'Mølnelva minikraftverk'}]</t>
  </si>
  <si>
    <t>Skøelvvassdraget</t>
  </si>
  <si>
    <t>785</t>
  </si>
  <si>
    <t>Mølnhusbekken</t>
  </si>
  <si>
    <t>HATTFJELLDAL KRAFT AS</t>
  </si>
  <si>
    <t>991236104</t>
  </si>
  <si>
    <t>155.D51</t>
  </si>
  <si>
    <t>2025-07-09T00:00:00</t>
  </si>
  <si>
    <t>[{'AdressatID': 10544, 'Driftselskap': True, 'Hovedeier': False, 'Navn': 'SKS PRODUKSJON AS', 'OrgNr': 915637353, 'ProsentAndel': None, 'ProsentAndelDrift': None}, {'AdressatID': 60252, 'Driftselskap': False, 'Hovedeier': True, 'Navn': 'HATTFJELLDAL KRAFT AS', 'OrgNr': 991236104, 'ProsentAndel': 100.0, 'ProsentAndelDrift': 100.0}]</t>
  </si>
  <si>
    <t>[{'KdbID': 4289, 'Tittel': 'Mølnhusbekken kraftverk'}]</t>
  </si>
  <si>
    <t>Mølnåa</t>
  </si>
  <si>
    <t>123.C2A</t>
  </si>
  <si>
    <t>2020-03-03T00:00:00</t>
  </si>
  <si>
    <t>[{'KdbID': 6098, 'Tittel': 'Mølnåa kraftverk'}]</t>
  </si>
  <si>
    <t>Mørkedøla</t>
  </si>
  <si>
    <t>073.CA30</t>
  </si>
  <si>
    <t>2023-07-03T00:00:00</t>
  </si>
  <si>
    <t>[{'KdbID': 6787, 'Tittel': 'Mørkedøla pumpe i Lærdalsvassdraget'}]</t>
  </si>
  <si>
    <t>Mørnbekken</t>
  </si>
  <si>
    <t>Grane</t>
  </si>
  <si>
    <t>151.D3Z</t>
  </si>
  <si>
    <t>[{'KdbID': 2353, 'Tittel': 'Minikraftverk i Mølnbekken'}]</t>
  </si>
  <si>
    <t>Mørre</t>
  </si>
  <si>
    <t>135.3Z</t>
  </si>
  <si>
    <t>1977-03-07T00:00:00</t>
  </si>
  <si>
    <t>[{'KdbID': 486, 'Tittel': 'Mørre kraftverk_erverv og regulering m.v. i Arnevikelv i Åfjord'}]</t>
  </si>
  <si>
    <t>Måge</t>
  </si>
  <si>
    <t>MÅGE NATURKRAFT AS</t>
  </si>
  <si>
    <t>992160047</t>
  </si>
  <si>
    <t>048.31A</t>
  </si>
  <si>
    <t>[{'AdressatID': 43141, 'Driftselskap': True, 'Hovedeier': True, 'Navn': 'MÅGE NATURKRAFT AS', 'OrgNr': 992160047, 'ProsentAndel': 100.0, 'ProsentAndelDrift': 100.0}]</t>
  </si>
  <si>
    <t>[{'KdbID': 5146, 'Tittel': 'Mågeelvi minikraftverk'}]</t>
  </si>
  <si>
    <t>Mågelvi</t>
  </si>
  <si>
    <t>Mågeli</t>
  </si>
  <si>
    <t>049.A41</t>
  </si>
  <si>
    <t>[{'KdbID': 629, 'Tittel': 'Ny reguleringstillatelse Vendevatn'}, {'KdbID': 943, 'Tittel': 'Reg. av Store Vendevatn og overføring til Øvre Bersåvatn'}]</t>
  </si>
  <si>
    <t>Målset</t>
  </si>
  <si>
    <t>070.5BB</t>
  </si>
  <si>
    <t>1967-04-01T00:00:00</t>
  </si>
  <si>
    <t>Mår</t>
  </si>
  <si>
    <t>016.H31</t>
  </si>
  <si>
    <t>1948-11-26T00:00:00</t>
  </si>
  <si>
    <t>[{'KdbID': 614, 'Tittel': 'Ny reguleringskonsesjon Mårelven'}, {'KdbID': 894, 'Tittel': 'Regulering og overføring av Mår og Gjøyst m.v.'}, {'KdbID': 895, 'Tittel': 'Ytterligere regulering av Mårvatn'}, {'KdbID': 1304, 'Tittel': 'Mår- og Gjøystadvassdragene, stadfest. av till. til reg.'}]</t>
  </si>
  <si>
    <t>Måren</t>
  </si>
  <si>
    <t>079.5Z</t>
  </si>
  <si>
    <t>2010-10-06T00:00:00</t>
  </si>
  <si>
    <t>[{'KdbID': 4247, 'Tittel': 'Måren kraftverk'}, {'KdbID': 8026, 'Tittel': 'Måren kraftverk - lavere minste slukeevne'}]</t>
  </si>
  <si>
    <t>325</t>
  </si>
  <si>
    <t>Mårøyfjord</t>
  </si>
  <si>
    <t>INFRANORD SA</t>
  </si>
  <si>
    <t>832319732</t>
  </si>
  <si>
    <t>230.3A1</t>
  </si>
  <si>
    <t>1956-02-09T00:00:00</t>
  </si>
  <si>
    <t>[{'AdressatID': 68069, 'Driftselskap': True, 'Hovedeier': True, 'Navn': 'INFRANORD SA', 'OrgNr': 832319732, 'ProsentAndel': 100.0, 'ProsentAndelDrift': 100.0}]</t>
  </si>
  <si>
    <t>[{'KdbID': 263, 'Tittel': 'Regulering av Reinoksvatn og Reinkalvvatn i Fosselva i Lebesby'}, {'KdbID': 3625, 'Tittel': 'Erv. bruksrett i Fosselvvdr, regulering av Reinoksvatn og Fossvatn'}]</t>
  </si>
  <si>
    <t>Fosselva</t>
  </si>
  <si>
    <t>900</t>
  </si>
  <si>
    <t>Måråe</t>
  </si>
  <si>
    <t>MÅRÅE KRAFTVERK AS</t>
  </si>
  <si>
    <t>928356817</t>
  </si>
  <si>
    <t>002.DHJA</t>
  </si>
  <si>
    <t>2024-06-01T00:00:00</t>
  </si>
  <si>
    <t>[{'AdressatID': 63248, 'Driftselskap': True, 'Hovedeier': True, 'Navn': 'MÅRÅE KRAFTVERK AS', 'OrgNr': 928356817, 'ProsentAndel': 100.0, 'ProsentAndelDrift': 100.0}]</t>
  </si>
  <si>
    <t>[{'KdbID': 3850, 'Tittel': 'Måråe kraftverk'}, {'KdbID': 8440, 'Tittel': 'Måråe kraftverk - Planendring'}]</t>
  </si>
  <si>
    <t>Naddvik</t>
  </si>
  <si>
    <t>074.2A</t>
  </si>
  <si>
    <t>1987-02-25T00:00:00</t>
  </si>
  <si>
    <t>[{'KdbID': 678, 'Tittel': 'Erverv og regulering av Nyset-Steggjevassdragene'}, {'KdbID': 740, 'Tittel': 'Nyset-Steggjevassdragene, Erverv og overføring av reguleringstill.'}, {'KdbID': 998, 'Tittel': 'Kjøp av samtlige aksjer i Nyset-Steggje Kraft A.S, endr. av vilkår'}]</t>
  </si>
  <si>
    <t>Nysetelvi</t>
  </si>
  <si>
    <t>Nape</t>
  </si>
  <si>
    <t>NAPE KRAFT AS</t>
  </si>
  <si>
    <t>998416930</t>
  </si>
  <si>
    <t>019.F2E</t>
  </si>
  <si>
    <t>2013-08-21T00:00:00</t>
  </si>
  <si>
    <t>[{'AdressatID': 43779, 'Driftselskap': True, 'Hovedeier': True, 'Navn': 'NAPE KRAFT AS', 'OrgNr': 998416930, 'ProsentAndel': 100.0, 'ProsentAndelDrift': 100.0}]</t>
  </si>
  <si>
    <t>[{'KdbID': 4703, 'Tittel': 'Nape kraftverk'}]</t>
  </si>
  <si>
    <t>Nasvatn</t>
  </si>
  <si>
    <t>NASVATN KRAFTVERK AS</t>
  </si>
  <si>
    <t>991231072</t>
  </si>
  <si>
    <t>020.D7A</t>
  </si>
  <si>
    <t>2008-07-01T00:00:00</t>
  </si>
  <si>
    <t>[{'AdressatID': 42653, 'Driftselskap': True, 'Hovedeier': True, 'Navn': 'NASVATN KRAFTVERK AS', 'OrgNr': 991231072, 'ProsentAndel': 100.0, 'ProsentAndelDrift': 100.0}]</t>
  </si>
  <si>
    <t>[{'KdbID': 4493, 'Tittel': 'Nasvatn minikraftverk'}]</t>
  </si>
  <si>
    <t>Naurak</t>
  </si>
  <si>
    <t>NAURAK KRAFTVERK AS</t>
  </si>
  <si>
    <t>920987958</t>
  </si>
  <si>
    <t>019.F211</t>
  </si>
  <si>
    <t>2000-11-01T00:00:00</t>
  </si>
  <si>
    <t>[{'AdressatID': 52139, 'Driftselskap': True, 'Hovedeier': True, 'Navn': 'NAURAK KRAFTVERK AS', 'OrgNr': 920987958, 'ProsentAndel': 100.0, 'ProsentAndelDrift': 100.0}]</t>
  </si>
  <si>
    <t>[{'KdbID': 2424, 'Tittel': 'Mikrokraftverk Naurak'}, {'KdbID': 2493, 'Tittel': 'Naurak mikrokrv, regulering'}]</t>
  </si>
  <si>
    <t>Nea</t>
  </si>
  <si>
    <t>123.F1B</t>
  </si>
  <si>
    <t>1960-04-01T00:00:00</t>
  </si>
  <si>
    <t>[{'KdbID': 9116, 'Tittel': 'Revisjon av konsesjonsvilkår for Neavassdraget'}]</t>
  </si>
  <si>
    <t>Nedalsfoss</t>
  </si>
  <si>
    <t>123.G1</t>
  </si>
  <si>
    <t>[{'KdbID': 4445, 'Tittel': 'Terskel i Falksjøen i Neavassdraget'}, {'KdbID': 9069, 'Tittel': 'Midlertidig fravik fra manøvreringsreglementet - Nedalsfoss\xa0kraftverk\xa0-\xa0STATKRAFT ENERGI AS - Tapping under LRV ;  - 19.06.2023 til 30.06.2023- Referansenr:VMCHMQ'}, {'KdbID': 9615, 'Tittel': 'Søknad - Midlertidig fravik fra manøvreringsreglementet - Nedalsfoss\xa0kraftverk\xa0-\xa0STATKRAFT ENERGI AS - Tapping under LRV ;  - 09.06.2025 til 29.06.2025- Referansenr:LDKLPX'}]</t>
  </si>
  <si>
    <t>Nedre Bersåvatn</t>
  </si>
  <si>
    <t>049.A4B1</t>
  </si>
  <si>
    <t>2004-11-09T00:00:00</t>
  </si>
  <si>
    <t>[{'KdbID': 7763, 'Tittel': 'Øvre og Nedre Bersåvatn kraftverk'}]</t>
  </si>
  <si>
    <t>Nedre Eiane</t>
  </si>
  <si>
    <t>031.11</t>
  </si>
  <si>
    <t>[{'KdbID': 2705, 'Tittel': 'Mikrokraftverk i Pannevikbekken'}]</t>
  </si>
  <si>
    <t>Nedre Kivfallet</t>
  </si>
  <si>
    <t>002.M3</t>
  </si>
  <si>
    <t>2003-11-05T00:00:00</t>
  </si>
  <si>
    <t>[{'KdbID': 2758, 'Tittel': 'Nedre Kivfallet  kraftverk'}]</t>
  </si>
  <si>
    <t>Nedre Leirfoss</t>
  </si>
  <si>
    <t>123.A2</t>
  </si>
  <si>
    <t>2014-01-01T00:00:00</t>
  </si>
  <si>
    <t>Nedre Leiråga</t>
  </si>
  <si>
    <t>MIP MILJØKRAFT AS</t>
  </si>
  <si>
    <t>819150842</t>
  </si>
  <si>
    <t>156.CCAZ</t>
  </si>
  <si>
    <t>2020-08-03T00:00:00</t>
  </si>
  <si>
    <t>[{'AdressatID': 51284, 'Driftselskap': True, 'Hovedeier': True, 'Navn': 'MIP MILJØKRAFT AS', 'OrgNr': 819150842, 'ProsentAndel': 100.0, 'ProsentAndelDrift': 100.0}]</t>
  </si>
  <si>
    <t>[{'KdbID': 6938, 'Tittel': 'Nedre Leiråga kraftverk'}]</t>
  </si>
  <si>
    <t>Nedre Markevatn</t>
  </si>
  <si>
    <t>084.5A</t>
  </si>
  <si>
    <t>[{'KdbID': 1926, 'Tittel': 'Regulering av Skorvenvatn i Skorvenvassdraget.'}]</t>
  </si>
  <si>
    <t>Nedre Mollisjok</t>
  </si>
  <si>
    <t>Karasjok</t>
  </si>
  <si>
    <t>234.GBAA</t>
  </si>
  <si>
    <t>Tana</t>
  </si>
  <si>
    <t>905</t>
  </si>
  <si>
    <t>Nedre Nea</t>
  </si>
  <si>
    <t>[{'KdbID': 634, 'Tittel': 'Erverv og reg. m.v. for bygging av Nedre Nea Kraftv. - Planendring'}, {'KdbID': 642, 'Tittel': 'Erverv, regulering m.v. i forbindelse med bygging av Nedre Nea'}, {'KdbID': 9116, 'Tittel': 'Revisjon av konsesjonsvilkår for Neavassdraget'}]</t>
  </si>
  <si>
    <t>Nedre Neset</t>
  </si>
  <si>
    <t>NESET KRAFT AS</t>
  </si>
  <si>
    <t>991704817</t>
  </si>
  <si>
    <t>026.BB</t>
  </si>
  <si>
    <t>2012-05-08T00:00:00</t>
  </si>
  <si>
    <t>[{'AdressatID': 43091, 'Driftselskap': True, 'Hovedeier': True, 'Navn': 'NESET KRAFT AS', 'OrgNr': 991704817, 'ProsentAndel': 100.0, 'ProsentAndelDrift': 100.0}]</t>
  </si>
  <si>
    <t>[{'KdbID': 4468, 'Tittel': 'Nedre Neset kraftverk'}]</t>
  </si>
  <si>
    <t>Nedre Otta</t>
  </si>
  <si>
    <t>Sel</t>
  </si>
  <si>
    <t>002.DHA32</t>
  </si>
  <si>
    <t>2020-05-06T00:00:00</t>
  </si>
  <si>
    <t>[{'AdressatID': 10242, 'Driftselskap': False, 'Hovedeier': True, 'Navn': 'HAFSLUND KRAFT AS', 'OrgNr': 976894677, 'ProsentAndel': 50.0, 'ProsentAndelDrift': 94.0}, {'AdressatID': 50578, 'Driftselskap': False, 'Hovedeier': False, 'Navn': 'NEDRE OTTA DA', 'OrgNr': 918325603, 'ProsentAndel': None, 'ProsentAndelDrift': None}, {'AdressatID': 53346, 'Driftselskap': True, 'Hovedeier': False, 'Navn': 'EIDEFOSS VANNKRAFT AS', 'OrgNr': 923354220, 'ProsentAndel': 50.0, 'ProsentAndelDrift': None}, {'AdressatID': 63475, 'Driftselskap': False, 'Hovedeier': False, 'Navn': 'VÅGÅ KRAFT AS', 'OrgNr': 924474475, 'ProsentAndel': None, 'ProsentAndelDrift': 3.0}, {'AdressatID': 63476, 'Driftselskap': False, 'Hovedeier': False, 'Navn': 'SEL KRAFT AS', 'OrgNr': 820673522, 'ProsentAndel': None, 'ProsentAndelDrift': 3.0}]</t>
  </si>
  <si>
    <t>[{'KdbID': 5022, 'Tittel': 'Nedre Otta kraftverk'}]</t>
  </si>
  <si>
    <t>Nedre Porsa</t>
  </si>
  <si>
    <t>PORSA KRAFTLAG AS</t>
  </si>
  <si>
    <t>915231640</t>
  </si>
  <si>
    <t>213.5Z</t>
  </si>
  <si>
    <t>1959-01-01T00:00:00</t>
  </si>
  <si>
    <t>[{'AdressatID': 10555, 'Driftselskap': False, 'Hovedeier': False, 'Navn': 'ALTA KRAFTLAG SA', 'OrgNr': 971029390, 'ProsentAndel': 20.0, 'ProsentAndelDrift': None}, {'AdressatID': 10559, 'Driftselskap': True, 'Hovedeier': True, 'Navn': 'PORSA KRAFTLAG AS', 'OrgNr': 915231640, 'ProsentAndel': None, 'ProsentAndelDrift': 100.0}, {'AdressatID': 10560, 'Driftselskap': False, 'Hovedeier': False, 'Navn': 'REPVÅG KRAFTLAG SA', 'OrgNr': 948755742, 'ProsentAndel': 10.0, 'ProsentAndelDrift': None}, {'AdressatID': 25459, 'Driftselskap': False, 'Hovedeier': False, 'Navn': 'HAMMERFEST ENERGI PRODUKSJON AS', 'OrgNr': 986950281, 'ProsentAndel': 70.0, 'ProsentAndelDrift': None}]</t>
  </si>
  <si>
    <t>[{'KdbID': 166, 'Tittel': 'Erverv av bruksrett til Nedre Porsa samt reg. av Porsavassdr.'}]</t>
  </si>
  <si>
    <t>Porsaelva</t>
  </si>
  <si>
    <t>865</t>
  </si>
  <si>
    <t>Nedre Russvik</t>
  </si>
  <si>
    <t>171.82A</t>
  </si>
  <si>
    <t>2021-05-24T00:00:00</t>
  </si>
  <si>
    <t>[{'KdbID': 5363, 'Tittel': 'Nedre Russvik kraftverk'}, {'KdbID': 7229, 'Tittel': 'Nedre Russvik kraftverk - planendring'}, {'KdbID': 7941, 'Tittel': 'Regulering av Russvikvatnet for utnyttelse i Nedre Russvik kraftverk'}]</t>
  </si>
  <si>
    <t>Botnelva</t>
  </si>
  <si>
    <t>736</t>
  </si>
  <si>
    <t>Nedre Røssåga</t>
  </si>
  <si>
    <t>155.B1</t>
  </si>
  <si>
    <t>1955-03-24T00:00:00</t>
  </si>
  <si>
    <t>[{'KdbID': 890, 'Tittel': 'Statsregulering av Røssåga'}, {'KdbID': 6263, 'Tittel': 'Nytt Nedre Røssåga kraftverk'}]</t>
  </si>
  <si>
    <t>Nedre Skorilla</t>
  </si>
  <si>
    <t>SVORKA SMÅKRAFT AS</t>
  </si>
  <si>
    <t>924428007</t>
  </si>
  <si>
    <t>119.41Z</t>
  </si>
  <si>
    <t>2024-04-26T00:00:00</t>
  </si>
  <si>
    <t>[{'AdressatID': 10486, 'Driftselskap': True, 'Hovedeier': False, 'Navn': 'SVORKA ENERGI AS', 'OrgNr': 919763159, 'ProsentAndel': None, 'ProsentAndelDrift': None}, {'AdressatID': 58053, 'Driftselskap': True, 'Hovedeier': True, 'Navn': 'SVORKA SMÅKRAFT AS', 'OrgNr': 924428007, 'ProsentAndel': 100.0, 'ProsentAndelDrift': 100.0}]</t>
  </si>
  <si>
    <t>[{'KdbID': 5904, 'Tittel': 'Nedre Skorilla kraftverk'}]</t>
  </si>
  <si>
    <t>Vutudalselva</t>
  </si>
  <si>
    <t>478</t>
  </si>
  <si>
    <t>Nedre Svultingen</t>
  </si>
  <si>
    <t>080.4A</t>
  </si>
  <si>
    <t>1965-07-01T00:00:00</t>
  </si>
  <si>
    <t>[{'KdbID': 24, 'Tittel': 'Erverv av bruksrett til fall og til ytterl. reg. av Bøfjordvassdr.'}, {'KdbID': 521, 'Tittel': 'Erverv av bruksrett til Svultingfoss i Bøfjordelv'}, {'KdbID': 1319, 'Tittel': 'Stadf., erv. av bruksr. til Svultingfoss i Bøfjordelv.'}, {'KdbID': 3699, 'Tittel': 'Endring av kons.vilkår i bruksrettskonsesjon for Nedre Svultingen'}, {'KdbID': 8835, 'Tittel': 'Midlertidig fravik fra manøvreringsreglementet - Nedre Svultingen\xa0kraftverk\xa0-\xa0EVINY FORNYBAR AS - 01.09.2022 til 01.10.2022- Referansenr:VVFBUX'}]</t>
  </si>
  <si>
    <t>Nedre Tessa 1</t>
  </si>
  <si>
    <t>002.DHB2A0</t>
  </si>
  <si>
    <t>2021-04-20T00:00:00</t>
  </si>
  <si>
    <t>[{'KdbID': 113, 'Tittel': 'Erv. av Tessefallene i Vågå - nye kons.vilkår på ubegrenset tid.'}, {'KdbID': 8439, 'Tittel': 'Konsesjonspliktvurdering for ny kraftatsjon i Nedre Tessa I'}]</t>
  </si>
  <si>
    <t>Nedre Tessa 2</t>
  </si>
  <si>
    <t>1963-10-17T00:00:00</t>
  </si>
  <si>
    <t>[{'KdbID': 113, 'Tittel': 'Erv. av Tessefallene i Vågå - nye kons.vilkår på ubegrenset tid.'}]</t>
  </si>
  <si>
    <t>Nedre Urdalen</t>
  </si>
  <si>
    <t>NEDRE URDALEN MINIKRAFTVERK AS</t>
  </si>
  <si>
    <t>917144338</t>
  </si>
  <si>
    <t>016.G32Z</t>
  </si>
  <si>
    <t>2017-05-18T00:00:00</t>
  </si>
  <si>
    <t>[{'AdressatID': 50593, 'Driftselskap': True, 'Hovedeier': True, 'Navn': 'NEDRE URDALEN MINIKRAFTVERK AS', 'OrgNr': 917144338, 'ProsentAndel': 100.0, 'ProsentAndelDrift': 100.0}]</t>
  </si>
  <si>
    <t>[{'KdbID': 7449, 'Tittel': 'Urdalen minikraftverk'}]</t>
  </si>
  <si>
    <t>Nedre Vinstra</t>
  </si>
  <si>
    <t>002.DF831</t>
  </si>
  <si>
    <t>1953-11-05T00:00:00</t>
  </si>
  <si>
    <t>[{'AdressatID': 10242, 'Driftselskap': True, 'Hovedeier': True, 'Navn': 'HAFSLUND KRAFT AS', 'OrgNr': 976894677, 'ProsentAndel': 71.66, 'ProsentAndelDrift': 100.0}, {'AdressatID': 10316, 'Driftselskap': False, 'Hovedeier': False, 'Navn': 'VINSTRA KRAFTSELSKAP DA', 'OrgNr': 944001751, 'ProsentAndel': None, 'ProsentAndelDrift': None}, {'AdressatID': 41020, 'Driftselskap': False, 'Hovedeier': False, 'Navn': 'HAFSLUND KRAFT INNLANDET AS', 'OrgNr': 887396752, 'ProsentAndel': 28.34, 'ProsentAndelDrift': None}]</t>
  </si>
  <si>
    <t>[{'KdbID': 195, 'Tittel': 'Overf. av Golåa, Hatta og Lomma til Nedre Vinstra kraftverk'}, {'KdbID': 662, 'Tittel': 'Utvidelse og opprusting av Nedre Vinstra kraftverk'}]</t>
  </si>
  <si>
    <t>Nedre Åssiden</t>
  </si>
  <si>
    <t>GLITREVANNVERKET IKS</t>
  </si>
  <si>
    <t>971034637</t>
  </si>
  <si>
    <t>Drammen</t>
  </si>
  <si>
    <t>012.A10</t>
  </si>
  <si>
    <t>2021-11-23T00:00:00</t>
  </si>
  <si>
    <t>[{'AdressatID': 42666, 'Driftselskap': True, 'Hovedeier': True, 'Navn': 'GLITREVANNVERKET IKS', 'OrgNr': 971034637, 'ProsentAndel': 100.0, 'ProsentAndelDrift': 100.0}]</t>
  </si>
  <si>
    <t>[{'KdbID': 8323, 'Tittel': 'Øvre og nedre Åssiden kraftverk'}]</t>
  </si>
  <si>
    <t>Nedrebø</t>
  </si>
  <si>
    <t>027.D4</t>
  </si>
  <si>
    <t>NEDREBØ KRAFTVERK AS</t>
  </si>
  <si>
    <t>995366843</t>
  </si>
  <si>
    <t>084.E2Z</t>
  </si>
  <si>
    <t>2012-01-24T00:00:00</t>
  </si>
  <si>
    <t>[{'AdressatID': 43477, 'Driftselskap': True, 'Hovedeier': True, 'Navn': 'NEDREBØ KRAFTVERK AS', 'OrgNr': 995366843, 'ProsentAndel': 100.0, 'ProsentAndelDrift': 100.0}]</t>
  </si>
  <si>
    <t>[{'KdbID': 5567, 'Tittel': 'Nedrebødalen småkraftverk'}]</t>
  </si>
  <si>
    <t>Nedrefoss</t>
  </si>
  <si>
    <t>Harstad</t>
  </si>
  <si>
    <t>177.5A12</t>
  </si>
  <si>
    <t>2004-09-15T00:00:00</t>
  </si>
  <si>
    <t>[{'KdbID': 645, 'Tittel': 'Sør-Troms - Konsesjoner ved sammenslutning, Erverv i Gausvikelva.'}]</t>
  </si>
  <si>
    <t>761</t>
  </si>
  <si>
    <t>012.CD20</t>
  </si>
  <si>
    <t>1967-07-30T00:00:00</t>
  </si>
  <si>
    <t>[{'AdressatID': 10242, 'Driftselskap': True, 'Hovedeier': True, 'Navn': 'HAFSLUND KRAFT AS', 'OrgNr': 976894677, 'ProsentAndel': 57.14, 'ProsentAndelDrift': 57.14}, {'AdressatID': 40575, 'Driftselskap': False, 'Hovedeier': False, 'Navn': 'VARDAR VANNKRAFT AS', 'OrgNr': 981104293, 'ProsentAndel': 28.57, 'ProsentAndelDrift': 28.57}, {'AdressatID': 50400, 'Driftselskap': False, 'Hovedeier': False, 'Navn': 'ØVRE HALLINGDAL KRAFTPRODUKSJON AS', 'OrgNr': 987287640, 'ProsentAndel': 14.29, 'ProsentAndelDrift': 14.29}]</t>
  </si>
  <si>
    <t>[{'KdbID': 297, 'Tittel': 'Utb. og reg. av Uste- Hallingdalsvassdraget m.v.'}, {'KdbID': 456, 'Tittel': 'Overføring av Votna og Lya til Nes kraftverk m.v.'}, {'KdbID': 714, 'Tittel': 'Planendring og fristforlengelse for Lyas overføring til Nes kraftv.'}, {'KdbID': 737, 'Tittel': 'Overføring av Lya til Nes kraftverk - Planendring og fristforl.'}, {'KdbID': 8328, 'Tittel': 'Omgjøring av konsesjon - Usta og Nes kraftverker'}]</t>
  </si>
  <si>
    <t>72</t>
  </si>
  <si>
    <t>Neselva</t>
  </si>
  <si>
    <t>YTRE KANDAL KRAFT AS</t>
  </si>
  <si>
    <t>984550510</t>
  </si>
  <si>
    <t>087.B120</t>
  </si>
  <si>
    <t>2004-05-27T00:00:00</t>
  </si>
  <si>
    <t>[{'AdressatID': 41095, 'Driftselskap': True, 'Hovedeier': True, 'Navn': 'YTRE KANDAL KRAFT AS', 'OrgNr': 984550510, 'ProsentAndel': 100.0, 'ProsentAndelDrift': 100.0}]</t>
  </si>
  <si>
    <t>[{'KdbID': 3000, 'Tittel': 'Neselva kraftverk'}, {'KdbID': 3668, 'Tittel': 'Planendring Neselva kraftverk'}]</t>
  </si>
  <si>
    <t>NESELVA KRAFTVERK AS</t>
  </si>
  <si>
    <t>985744025</t>
  </si>
  <si>
    <t>[{'AdressatID': 43203, 'Driftselskap': True, 'Hovedeier': True, 'Navn': 'NESELVA KRAFTVERK AS', 'OrgNr': 985744025, 'ProsentAndel': 100.0, 'ProsentAndelDrift': 100.0}]</t>
  </si>
  <si>
    <t>[{'KdbID': 2768, 'Tittel': 'Minikraftverk i Neselva'}]</t>
  </si>
  <si>
    <t>Nessa</t>
  </si>
  <si>
    <t>LEIF ARNE KLEPPA</t>
  </si>
  <si>
    <t>992652748</t>
  </si>
  <si>
    <t>033.22</t>
  </si>
  <si>
    <t>[{'AdressatID': 75827, 'Driftselskap': True, 'Hovedeier': True, 'Navn': 'LEIF ARNE KLEPPA', 'OrgNr': 992652748, 'ProsentAndel': 100.0, 'ProsentAndelDrift': 100.0}]</t>
  </si>
  <si>
    <t>[{'KdbID': 5114, 'Tittel': 'Nessa mikrokraftverk'}]</t>
  </si>
  <si>
    <t>Nessane</t>
  </si>
  <si>
    <t>NESSAKRAFT AS</t>
  </si>
  <si>
    <t>914720222</t>
  </si>
  <si>
    <t>079.4Z</t>
  </si>
  <si>
    <t>2020-12-03T00:00:00</t>
  </si>
  <si>
    <t>[{'AdressatID': 50342, 'Driftselskap': True, 'Hovedeier': True, 'Navn': 'NESSAKRAFT AS', 'OrgNr': 914720222, 'ProsentAndel': 100.0, 'ProsentAndelDrift': 100.0}]</t>
  </si>
  <si>
    <t>[{'KdbID': 5989, 'Tittel': 'Nessane kraftverk'}, {'KdbID': 7886, 'Tittel': 'Nessane kraftverk - Planendringssøknad redusert innstallert effekt'}]</t>
  </si>
  <si>
    <t>Nesselvi</t>
  </si>
  <si>
    <t>Nesset</t>
  </si>
  <si>
    <t>Hareid</t>
  </si>
  <si>
    <t>096.1BB</t>
  </si>
  <si>
    <t>1947-05-13T00:00:00</t>
  </si>
  <si>
    <t>Hareidselva</t>
  </si>
  <si>
    <t>Neverdalsåga</t>
  </si>
  <si>
    <t>160.3A</t>
  </si>
  <si>
    <t>[{'KdbID': 4481, 'Tittel': 'Fornyelse av reguleringskonsesjoner, Neverdalsåga kraftverk'}]</t>
  </si>
  <si>
    <t>674</t>
  </si>
  <si>
    <t>Nibbedalen</t>
  </si>
  <si>
    <t>098.5BZ</t>
  </si>
  <si>
    <t>2011-04-04T00:00:00</t>
  </si>
  <si>
    <t>Niingen</t>
  </si>
  <si>
    <t>Evenes</t>
  </si>
  <si>
    <t>175.2B</t>
  </si>
  <si>
    <t>1954-08-05T00:00:00</t>
  </si>
  <si>
    <t>[{'KdbID': 615, 'Tittel': 'Erverv og regulering av Niingenvassdraget - Endring av vilkår'}, {'KdbID': 877, 'Tittel': 'Erverv og regulering av Niingvassdraget'}]</t>
  </si>
  <si>
    <t>elv fra Strandvatnet</t>
  </si>
  <si>
    <t>748</t>
  </si>
  <si>
    <t>Nipo</t>
  </si>
  <si>
    <t>Nisserdam</t>
  </si>
  <si>
    <t>019.E62</t>
  </si>
  <si>
    <t>Nivla</t>
  </si>
  <si>
    <t>NIVLA KRAFT AS</t>
  </si>
  <si>
    <t>879904552</t>
  </si>
  <si>
    <t>073.AA0</t>
  </si>
  <si>
    <t>2016-06-03T00:00:00</t>
  </si>
  <si>
    <t>[{'AdressatID': 41137, 'Driftselskap': True, 'Hovedeier': False, 'Navn': 'ØSTFOLD ENERGI AS', 'OrgNr': 879904412, 'ProsentAndel': 72.99, 'ProsentAndelDrift': None}, {'AdressatID': 42738, 'Driftselskap': False, 'Hovedeier': False, 'Navn': 'UKJENT', 'OrgNr': None, 'ProsentAndel': 27.01, 'ProsentAndelDrift': None}, {'AdressatID': 43902, 'Driftselskap': False, 'Hovedeier': True, 'Navn': 'NIVLA KRAFT AS', 'OrgNr': 879904552, 'ProsentAndel': None, 'ProsentAndelDrift': 100.0}]</t>
  </si>
  <si>
    <t>[{'KdbID': 5381, 'Tittel': 'Nivla kraftverk'}]</t>
  </si>
  <si>
    <t>Nomeland</t>
  </si>
  <si>
    <t>021.A82</t>
  </si>
  <si>
    <t>Nordbekken</t>
  </si>
  <si>
    <t>038.2Z</t>
  </si>
  <si>
    <t>[{'KdbID': 2752, 'Tittel': 'Nordbekken mikrokraftverk'}]</t>
  </si>
  <si>
    <t>Nordbøåna</t>
  </si>
  <si>
    <t>NORDBØÅNA KRAFT AS</t>
  </si>
  <si>
    <t>992143282</t>
  </si>
  <si>
    <t>019.F3</t>
  </si>
  <si>
    <t>2012-05-20T00:00:00</t>
  </si>
  <si>
    <t>[{'AdressatID': 43526, 'Driftselskap': True, 'Hovedeier': True, 'Navn': 'NORDBØÅNA KRAFT AS', 'OrgNr': 992143282, 'ProsentAndel': 100.0, 'ProsentAndelDrift': 100.0}]</t>
  </si>
  <si>
    <t>[{'KdbID': 3222, 'Tittel': 'Minikraftverk Nordbøåni'}]</t>
  </si>
  <si>
    <t>Norddalen</t>
  </si>
  <si>
    <t>173.AB6A</t>
  </si>
  <si>
    <t>[{'KdbID': 493, 'Tittel': 'Statsregulering av Skjomenvassdragene m.v.'}]</t>
  </si>
  <si>
    <t>Nordelva</t>
  </si>
  <si>
    <t>OPTIK SPESIALBUTIKKEN I NORD Roald Skogvik</t>
  </si>
  <si>
    <t>918374116</t>
  </si>
  <si>
    <t>197.2</t>
  </si>
  <si>
    <t>[{'AdressatID': 43920, 'Driftselskap': True, 'Hovedeier': True, 'Navn': 'OPTIK SPESIALBUTIKKEN I NORD Roald Skogvik', 'OrgNr': 918374116, 'ProsentAndel': 100.0, 'ProsentAndelDrift': 100.0}]</t>
  </si>
  <si>
    <t>[{'KdbID': 4192, 'Tittel': 'Nordelva minikraftverk'}]</t>
  </si>
  <si>
    <t>Nordfjordbekkan</t>
  </si>
  <si>
    <t>EGIL HERMANN JOHANSEN</t>
  </si>
  <si>
    <t>970223231</t>
  </si>
  <si>
    <t>157.41</t>
  </si>
  <si>
    <t>2007-12-10T00:00:00</t>
  </si>
  <si>
    <t>[{'AdressatID': 43463, 'Driftselskap': True, 'Hovedeier': True, 'Navn': 'EGIL HERMANN JOHANSEN', 'OrgNr': 970223231, 'ProsentAndel': 100.0, 'ProsentAndelDrift': 100.0}]</t>
  </si>
  <si>
    <t>[{'KdbID': 7359, 'Tittel': 'Nordfjordbekkan kraftverk'}]</t>
  </si>
  <si>
    <t>Nord-Forså</t>
  </si>
  <si>
    <t>Ibestad</t>
  </si>
  <si>
    <t>188.22B</t>
  </si>
  <si>
    <t>1957-11-03T00:00:00</t>
  </si>
  <si>
    <t>[{'KdbID': 221, 'Tittel': 'Erverv av fallrettigheter og reg. av Nord-Forsåelv'}, {'KdbID': 1980, 'Tittel': 'Sør-Troms - Konsesjoner ved sammenslutning, reg. av Nord-Forsåelv.'}]</t>
  </si>
  <si>
    <t>763</t>
  </si>
  <si>
    <t>Nordlandselva</t>
  </si>
  <si>
    <t>161.4Z</t>
  </si>
  <si>
    <t>2006-03-21T00:00:00</t>
  </si>
  <si>
    <t>[{'KdbID': 3435, 'Tittel': 'Nordlandselva småkraftverk'}]</t>
  </si>
  <si>
    <t>685</t>
  </si>
  <si>
    <t>Nordre Mangen</t>
  </si>
  <si>
    <t>N MANGEN GÅRD Bjørn Toverud</t>
  </si>
  <si>
    <t>971264365</t>
  </si>
  <si>
    <t>313.H3</t>
  </si>
  <si>
    <t>2008-04-08T00:00:00</t>
  </si>
  <si>
    <t>[{'AdressatID': 11981, 'Driftselskap': True, 'Hovedeier': True, 'Navn': 'N MANGEN GÅRD Bjørn Toverud', 'OrgNr': 971264365, 'ProsentAndel': 100.0, 'ProsentAndelDrift': 100.0}]</t>
  </si>
  <si>
    <t>[{'KdbID': 2411, 'Tittel': 'Mikrokraftverk Nordre Mangen'}]</t>
  </si>
  <si>
    <t>Nordsvorka</t>
  </si>
  <si>
    <t>112.3AAA</t>
  </si>
  <si>
    <t>[{'AdressatID': 10486, 'Driftselskap': False, 'Hovedeier': False, 'Navn': 'SVORKA ENERGI AS', 'OrgNr': 919763159, 'ProsentAndel': 50.0, 'ProsentAndelDrift': 50.0}, {'AdressatID': 41005, 'Driftselskap': True, 'Hovedeier': True, 'Navn': 'STATKRAFT ENERGI AS', 'OrgNr': 987059729, 'ProsentAndel': 50.0, 'ProsentAndelDrift': 50.0}]</t>
  </si>
  <si>
    <t>[{'KdbID': 4012, 'Tittel': 'Nordsvorka kraftverk'}, {'KdbID': 7241, 'Tittel': 'Revisjon av konsesjonsvilkår for Svorkareguleringen'}]</t>
  </si>
  <si>
    <t>Nordvik</t>
  </si>
  <si>
    <t>NORDVIK KRAFT AS</t>
  </si>
  <si>
    <t>988225657</t>
  </si>
  <si>
    <t>111.7Z</t>
  </si>
  <si>
    <t>2006-05-07T00:00:00</t>
  </si>
  <si>
    <t>[{'AdressatID': 42445, 'Driftselskap': True, 'Hovedeier': True, 'Navn': 'NORDVIK KRAFT AS', 'OrgNr': 988225657, 'ProsentAndel': 100.0, 'ProsentAndelDrift': 100.0}]</t>
  </si>
  <si>
    <t>[{'KdbID': 4659, 'Tittel': 'Nordvik kraftverk'}]</t>
  </si>
  <si>
    <t>Søya</t>
  </si>
  <si>
    <t>451</t>
  </si>
  <si>
    <t>Nordåna</t>
  </si>
  <si>
    <t>NORDÅNA KRAFT AS</t>
  </si>
  <si>
    <t>988304816</t>
  </si>
  <si>
    <t>021.D5AC</t>
  </si>
  <si>
    <t>[{'AdressatID': 41196, 'Driftselskap': True, 'Hovedeier': True, 'Navn': 'NORDÅNA KRAFT AS', 'OrgNr': 988304816, 'ProsentAndel': 100.0, 'ProsentAndelDrift': 100.0}]</t>
  </si>
  <si>
    <t>[{'KdbID': 4194, 'Tittel': 'Nordåni småkraftverk'}]</t>
  </si>
  <si>
    <t>Nore I</t>
  </si>
  <si>
    <t>015.JA0</t>
  </si>
  <si>
    <t>1928-07-01T00:00:00</t>
  </si>
  <si>
    <t>Nore II</t>
  </si>
  <si>
    <t>015.H6</t>
  </si>
  <si>
    <t>1946-11-12T00:00:00</t>
  </si>
  <si>
    <t>Norvald Hestad</t>
  </si>
  <si>
    <t>[{'KdbID': 2265, 'Tittel': 'Mikrokraftverk ved Hestad'}]</t>
  </si>
  <si>
    <t>Nottveit</t>
  </si>
  <si>
    <t>NOTTVEIT ENERGI AS</t>
  </si>
  <si>
    <t>997334205</t>
  </si>
  <si>
    <t>064.3</t>
  </si>
  <si>
    <t>2021-12-09T00:00:00</t>
  </si>
  <si>
    <t>[{'AdressatID': 43467, 'Driftselskap': True, 'Hovedeier': True, 'Navn': 'NOTTVEIT ENERGI AS', 'OrgNr': 997334205, 'ProsentAndel': 100.0, 'ProsentAndelDrift': 100.0}]</t>
  </si>
  <si>
    <t>[{'KdbID': 4785, 'Tittel': 'Nottveit kraftverk'}]</t>
  </si>
  <si>
    <t>261</t>
  </si>
  <si>
    <t>Nottveit Pico</t>
  </si>
  <si>
    <t>EINAR SOFIENLUND</t>
  </si>
  <si>
    <t>943252106</t>
  </si>
  <si>
    <t>064.3A</t>
  </si>
  <si>
    <t>2017-06-20T00:00:00</t>
  </si>
  <si>
    <t>[{'AdressatID': 50383, 'Driftselskap': True, 'Hovedeier': True, 'Navn': 'EINAR SOFIENLUND', 'OrgNr': 943252106, 'ProsentAndel': 100.0, 'ProsentAndelDrift': 100.0}]</t>
  </si>
  <si>
    <t>[{'KdbID': 7305, 'Tittel': 'Gamle Nottveit kraftverk'}]</t>
  </si>
  <si>
    <t>Nottveitelva</t>
  </si>
  <si>
    <t>Novle</t>
  </si>
  <si>
    <t>036.F0</t>
  </si>
  <si>
    <t>[{'KdbID': 46, 'Tittel': 'Erverv og regulering i Røldal-Suldalsvassdragene m.v.'}, {'KdbID': 8571, 'Tittel': 'Revisjon av konsesjonsvilkår - Røldal-Suldalsvassdragene'}]</t>
  </si>
  <si>
    <t>Nunelva</t>
  </si>
  <si>
    <t>136.1Z</t>
  </si>
  <si>
    <t>1992-05-14T00:00:00</t>
  </si>
  <si>
    <t>Lunnfjordelva</t>
  </si>
  <si>
    <t>Nybrufoss</t>
  </si>
  <si>
    <t>2013-02-13T00:00:00</t>
  </si>
  <si>
    <t>[{'KdbID': 4223, 'Tittel': 'Nybrufoss småkraftverk, kongsberg aggregat 2'}]</t>
  </si>
  <si>
    <t>Nybuelvi</t>
  </si>
  <si>
    <t>012.CC7A0</t>
  </si>
  <si>
    <t>2016-04-07T00:00:00</t>
  </si>
  <si>
    <t>[{'KdbID': 6355, 'Tittel': 'Nybuelvi kraftverk'}]</t>
  </si>
  <si>
    <t>Nydal</t>
  </si>
  <si>
    <t>NYDAL KRAFT AS</t>
  </si>
  <si>
    <t>986598057</t>
  </si>
  <si>
    <t>084.D</t>
  </si>
  <si>
    <t>2005-02-07T00:00:00</t>
  </si>
  <si>
    <t>[{'AdressatID': 41368, 'Driftselskap': True, 'Hovedeier': True, 'Navn': 'NYDAL KRAFT AS', 'OrgNr': 986598057, 'ProsentAndel': 100.0, 'ProsentAndelDrift': 100.0}]</t>
  </si>
  <si>
    <t>[{'KdbID': 3766, 'Tittel': 'Nydal kraftverk'}]</t>
  </si>
  <si>
    <t>Nydalselva</t>
  </si>
  <si>
    <t>2011-10-26T00:00:00</t>
  </si>
  <si>
    <t>[{'KdbID': 4540, 'Tittel': 'Nydalselva småkraftverk'}, {'KdbID': 7777, 'Tittel': 'Nydalselva småkraftverk'}]</t>
  </si>
  <si>
    <t>Nye Gjøv</t>
  </si>
  <si>
    <t>BIRTEDALEN KRAFTVERK AS</t>
  </si>
  <si>
    <t>929887700</t>
  </si>
  <si>
    <t>019.CF</t>
  </si>
  <si>
    <t>2023-12-06T00:00:00</t>
  </si>
  <si>
    <t>[{'AdressatID': 10384, 'Driftselskap': True, 'Hovedeier': False, 'Navn': 'VEST-TELEMARK KRAFTLAG AS', 'OrgNr': 955996836, 'ProsentAndel': None, 'ProsentAndelDrift': None}, {'AdressatID': 67371, 'Driftselskap': False, 'Hovedeier': True, 'Navn': 'BIRTEDALEN KRAFTVERK AS', 'OrgNr': 929887700, 'ProsentAndel': 100.0, 'ProsentAndelDrift': 100.0}]</t>
  </si>
  <si>
    <t>[{'KdbID': 8076, 'Tittel': 'Nye Gjøv kraftverk'}]</t>
  </si>
  <si>
    <t>Nye Nedre Fiskumfoss</t>
  </si>
  <si>
    <t>139.C2</t>
  </si>
  <si>
    <t>2023-09-20T00:00:00</t>
  </si>
  <si>
    <t>[{'KdbID': 1940, 'Tittel': 'Ekspropriasjon av grunn og rettigh. for utb. av Fiskumfoss.'}, {'KdbID': 7781, 'Tittel': 'Nedre Fiskumfoss kraftverk'}]</t>
  </si>
  <si>
    <t>Nye Suvdøla</t>
  </si>
  <si>
    <t>2019-06-13T00:00:00</t>
  </si>
  <si>
    <t>[{'KdbID': 7779, 'Tittel': 'Nye Suvdøla kraftverk'}]</t>
  </si>
  <si>
    <t>Nye Verma</t>
  </si>
  <si>
    <t>103.AA1</t>
  </si>
  <si>
    <t>2019-05-16T00:00:00</t>
  </si>
  <si>
    <t>[{'KdbID': 333, 'Tittel': 'Overføring av ca 12 km2 av Langvatns nedbørfelt til Verma m.v.'}, {'KdbID': 1093, 'Tittel': 'Overføring av Langvatn til Verma - Fornyelse konsesjon'}, {'KdbID': 1897, 'Tittel': 'Nye Verma kraftverk'}]</t>
  </si>
  <si>
    <t>Nygard</t>
  </si>
  <si>
    <t>064.ABZ</t>
  </si>
  <si>
    <t>2005-01-30T00:00:00</t>
  </si>
  <si>
    <t>[{'KdbID': 557, 'Tittel': 'Åsebotn kraftverk, Nygard pumpekraftverk, reg./erv.  m.v. i Modalen'}, {'KdbID': 3713, 'Tittel': 'Nygard pumpekraftverk - regulering av Skjerjevatn - planendring'}]</t>
  </si>
  <si>
    <t>Nygård</t>
  </si>
  <si>
    <t>174.4Ab</t>
  </si>
  <si>
    <t>1932-06-28T00:00:00</t>
  </si>
  <si>
    <t>[{'AdressatID': 42851, 'Driftselskap': False, 'Hovedeier': True, 'Navn': 'NORDKRAFT MAGASIN AS', 'OrgNr': 928657213, 'ProsentAndel': 100.0, 'ProsentAndelDrift': 100.0}, {'AdressatID': 50288, 'Driftselskap': True, 'Hovedeier': False, 'Navn': 'NORDKRAFT ENERGIDRIFT AS', 'OrgNr': 916116993, 'ProsentAndel': None, 'ProsentAndelDrift': None}]</t>
  </si>
  <si>
    <t>[{'KdbID': 878, 'Tittel': 'Reg. av Nygårdsvassdraget'}]</t>
  </si>
  <si>
    <t>745</t>
  </si>
  <si>
    <t>Nyset</t>
  </si>
  <si>
    <t>074.2B3</t>
  </si>
  <si>
    <t>Nystavnbekken</t>
  </si>
  <si>
    <t>125.4E2</t>
  </si>
  <si>
    <t>[{'KdbID': 2772, 'Tittel': 'Mikrokraftverk i Nystavnbekken i Markabygda'}]</t>
  </si>
  <si>
    <t>Nyvikelva</t>
  </si>
  <si>
    <t>[{'KdbID': 5485, 'Tittel': 'Nyvikelva kraftverk'}, {'KdbID': 8798, 'Tittel': 'Nyvikelva kraftverk - redusert slukeevne'}]</t>
  </si>
  <si>
    <t>Nøringset</t>
  </si>
  <si>
    <t>ENERVA AS</t>
  </si>
  <si>
    <t>983515584</t>
  </si>
  <si>
    <t>101.43</t>
  </si>
  <si>
    <t>[{'AdressatID': 43524, 'Driftselskap': True, 'Hovedeier': True, 'Navn': 'ENERVA AS', 'OrgNr': 983515584, 'ProsentAndel': 100.0, 'ProsentAndelDrift': 100.0}]</t>
  </si>
  <si>
    <t>Nørlandselva</t>
  </si>
  <si>
    <t>NØRLANDSELVA KRAFT AS</t>
  </si>
  <si>
    <t>915585825</t>
  </si>
  <si>
    <t>067.14</t>
  </si>
  <si>
    <t>2020-09-11T00:00:00</t>
  </si>
  <si>
    <t>[{'AdressatID': 43794, 'Driftselskap': True, 'Hovedeier': False, 'Navn': 'CLEMENS KRAFT AS', 'OrgNr': 912511480, 'ProsentAndel': None, 'ProsentAndelDrift': None}, {'AdressatID': 52099, 'Driftselskap': False, 'Hovedeier': True, 'Navn': 'NØRLANDSELVA KRAFT AS', 'OrgNr': 915585825, 'ProsentAndel': 100.0, 'ProsentAndelDrift': 100.0}]</t>
  </si>
  <si>
    <t>[{'KdbID': 5792, 'Tittel': 'Nørlandselva kraftverk'}]</t>
  </si>
  <si>
    <t>Nørsteteig</t>
  </si>
  <si>
    <t>NØRSTETEIG KRAFTVERK AS</t>
  </si>
  <si>
    <t>891182082</t>
  </si>
  <si>
    <t>016.ECZ</t>
  </si>
  <si>
    <t>2006-02-19T00:00:00</t>
  </si>
  <si>
    <t>[{'AdressatID': 42568, 'Driftselskap': True, 'Hovedeier': True, 'Navn': 'NØRSTETEIG KRAFTVERK AS', 'OrgNr': 891182082, 'ProsentAndel': 100.0, 'ProsentAndelDrift': 100.0}]</t>
  </si>
  <si>
    <t>[{'KdbID': 4152, 'Tittel': 'Nørsteig mikrokraftverk'}]</t>
  </si>
  <si>
    <t>Nørståe</t>
  </si>
  <si>
    <t>NØRSTÅE KRAFT AS</t>
  </si>
  <si>
    <t>987579064</t>
  </si>
  <si>
    <t>015.G8Z</t>
  </si>
  <si>
    <t>[{'AdressatID': 41377, 'Driftselskap': True, 'Hovedeier': True, 'Navn': 'NØRSTÅE KRAFT AS', 'OrgNr': 987579064, 'ProsentAndel': 100.0, 'ProsentAndelDrift': 100.0}]</t>
  </si>
  <si>
    <t>[{'KdbID': 3982, 'Tittel': 'Nørståe småkraftverk'}]</t>
  </si>
  <si>
    <t>Nåden</t>
  </si>
  <si>
    <t>Stavanger</t>
  </si>
  <si>
    <t>034.5</t>
  </si>
  <si>
    <t>[{'KdbID': 2564, 'Tittel': 'Mikrokraftverk i Nådåbekken'}]</t>
  </si>
  <si>
    <t>Nånes &amp; Mele</t>
  </si>
  <si>
    <t>NORSK RØR AS</t>
  </si>
  <si>
    <t>976537300</t>
  </si>
  <si>
    <t>021.D6Z</t>
  </si>
  <si>
    <t>[{'AdressatID': 24683, 'Driftselskap': True, 'Hovedeier': True, 'Navn': 'NORSK RØR AS', 'OrgNr': 976537300, 'ProsentAndel': 100.0, 'ProsentAndelDrift': 100.0}]</t>
  </si>
  <si>
    <t>[{'KdbID': 2118, 'Tittel': 'Minikraftverk i Meleåne'}]</t>
  </si>
  <si>
    <t>Odberg</t>
  </si>
  <si>
    <t>ODBERG KRAFTLAG AS</t>
  </si>
  <si>
    <t>997278100</t>
  </si>
  <si>
    <t>015.B4</t>
  </si>
  <si>
    <t>2012-12-14T00:00:00</t>
  </si>
  <si>
    <t>[{'AdressatID': 43685, 'Driftselskap': True, 'Hovedeier': True, 'Navn': 'ODBERG KRAFTLAG AS', 'OrgNr': 997278100, 'ProsentAndel': 100.0, 'ProsentAndelDrift': 100.0}]</t>
  </si>
  <si>
    <t>[{'KdbID': 2508, 'Tittel': 'Odberg Mikrokraftverk'}]</t>
  </si>
  <si>
    <t>Offervann</t>
  </si>
  <si>
    <t>229.3C</t>
  </si>
  <si>
    <t>2015-04-23T00:00:00</t>
  </si>
  <si>
    <t>[{'KdbID': 482, 'Tittel': 'Overføringer og reg. m.v. i Adamselv og Frierfjordelv i Finnmark'}, {'KdbID': 2925, 'Tittel': 'Offervatn kraftverk'}]</t>
  </si>
  <si>
    <t>Oftedal I</t>
  </si>
  <si>
    <t>026.D1A0</t>
  </si>
  <si>
    <t>[{'KdbID': 4059, 'Tittel': 'Oftedal kraftverk I og II'}, {'KdbID': 6323, 'Tittel': 'Regulering av Kleivvatn, Botnevatn og Røysevatn'}]</t>
  </si>
  <si>
    <t>Oftedal II</t>
  </si>
  <si>
    <t>2007-07-14T00:00:00</t>
  </si>
  <si>
    <t>Oksarelva</t>
  </si>
  <si>
    <t>OKSARELVA KRAFT AS</t>
  </si>
  <si>
    <t>994170821</t>
  </si>
  <si>
    <t>045.310</t>
  </si>
  <si>
    <t>2011-05-19T00:00:00</t>
  </si>
  <si>
    <t>[{'AdressatID': 43139, 'Driftselskap': True, 'Hovedeier': True, 'Navn': 'OKSARELVA KRAFT AS', 'OrgNr': 994170821, 'ProsentAndel': 100.0, 'ProsentAndelDrift': 100.0}]</t>
  </si>
  <si>
    <t>[{'KdbID': 5614, 'Tittel': 'Oksarelva småkraftverk'}]</t>
  </si>
  <si>
    <t>Oksebotn</t>
  </si>
  <si>
    <t>062.BB2</t>
  </si>
  <si>
    <t>1988-12-01T00:00:00</t>
  </si>
  <si>
    <t>Oksefjell</t>
  </si>
  <si>
    <t>OKSEKRAFT AS</t>
  </si>
  <si>
    <t>987255072</t>
  </si>
  <si>
    <t>025.B411</t>
  </si>
  <si>
    <t>2006-03-28T00:00:00</t>
  </si>
  <si>
    <t>[{'AdressatID': 43432, 'Driftselskap': True, 'Hovedeier': True, 'Navn': 'OKSEKRAFT AS', 'OrgNr': 987255072, 'ProsentAndel': 100.0, 'ProsentAndelDrift': 100.0}]</t>
  </si>
  <si>
    <t>[{'KdbID': 4050, 'Tittel': 'Oksefjell minikraftverk'}, {'KdbID': 9043, 'Tittel': 'Oppgradering og utvidelse Oksefjell minikraftverk'}]</t>
  </si>
  <si>
    <t>Oksla</t>
  </si>
  <si>
    <t>049.A2</t>
  </si>
  <si>
    <t>1980-04-11T00:00:00</t>
  </si>
  <si>
    <t>Ola Rise</t>
  </si>
  <si>
    <t>122.BAB</t>
  </si>
  <si>
    <t>[{'KdbID': 2697, 'Tittel': 'Mikrokraftverk i Hauka'}]</t>
  </si>
  <si>
    <t>Oldereid</t>
  </si>
  <si>
    <t>162.7Z</t>
  </si>
  <si>
    <t>1953-11-01T00:00:00</t>
  </si>
  <si>
    <t>[{'KdbID': 268, 'Tittel': 'Erverv og reg. av Oldereidvassdraget i Skjerstad'}, {'KdbID': 553, 'Tittel': 'Overføring av Tindvatn og Lurfjellskavlen til Oldereid kraftverk'}, {'KdbID': 1841, 'Tittel': 'Erverv av fall og overf. av reg.kons. for Oldereidvassdraget'}, {'KdbID': 2027, 'Tittel': 'Korrigert manøvreringsreglement for Oldereidvassdraget.'}, {'KdbID': 4268, 'Tittel': 'Overføring av Tindvatn og Lurfjellskavlen til Oldereid kraftverk,'}, {'KdbID': 6848, 'Tittel': 'Nytt Oldereid kraftverk'}]</t>
  </si>
  <si>
    <t>688</t>
  </si>
  <si>
    <t>Ole Kristian Sylling</t>
  </si>
  <si>
    <t>SOLBERG GÅRD OLE KRISTIAN SYLLING</t>
  </si>
  <si>
    <t>969925672</t>
  </si>
  <si>
    <t>011.B3</t>
  </si>
  <si>
    <t>[{'AdressatID': 43928, 'Driftselskap': True, 'Hovedeier': True, 'Navn': 'SOLBERG GÅRD OLE KRISTIAN SYLLING', 'OrgNr': 969925672, 'ProsentAndel': 100.0, 'ProsentAndelDrift': 100.0}]</t>
  </si>
  <si>
    <t>[{'KdbID': 3224, 'Tittel': 'Mikrokrftv. i Veslevannsbekken'}]</t>
  </si>
  <si>
    <t>Oltedal</t>
  </si>
  <si>
    <t>030.1C</t>
  </si>
  <si>
    <t>1995-01-15T00:00:00</t>
  </si>
  <si>
    <t>Oltesvik</t>
  </si>
  <si>
    <t>030.1A</t>
  </si>
  <si>
    <t>1995-11-09T00:00:00</t>
  </si>
  <si>
    <t>Oma</t>
  </si>
  <si>
    <t>OMA KRAFT AS</t>
  </si>
  <si>
    <t>994469630</t>
  </si>
  <si>
    <t>053.22</t>
  </si>
  <si>
    <t>2011-11-04T00:00:00</t>
  </si>
  <si>
    <t>[{'AdressatID': 43100, 'Driftselskap': True, 'Hovedeier': True, 'Navn': 'OMA KRAFT AS', 'OrgNr': 994469630, 'ProsentAndel': 100.0, 'ProsentAndelDrift': 100.0}]</t>
  </si>
  <si>
    <t>[{'KdbID': 6779, 'Tittel': 'Oma kraftverk'}]</t>
  </si>
  <si>
    <t>Ormhaugfossen</t>
  </si>
  <si>
    <t>002.R61</t>
  </si>
  <si>
    <t>2008-10-01T00:00:00</t>
  </si>
  <si>
    <t>[{'KdbID': 3596, 'Tittel': 'Ormhaugfossen kraftverk'}]</t>
  </si>
  <si>
    <t>Ormsetfoss</t>
  </si>
  <si>
    <t>130.2Z</t>
  </si>
  <si>
    <t>1988-06-20T00:00:00</t>
  </si>
  <si>
    <t>Ortnevik</t>
  </si>
  <si>
    <t>070.2A0</t>
  </si>
  <si>
    <t>2004-06-01T00:00:00</t>
  </si>
  <si>
    <t>[{'KdbID': 2751, 'Tittel': 'Minikraftverk i Ortnevikelva'}]</t>
  </si>
  <si>
    <t>Ortnevikvassdraget</t>
  </si>
  <si>
    <t>282</t>
  </si>
  <si>
    <t>Ortnevik Mikrokraftverk</t>
  </si>
  <si>
    <t>[{'KdbID': 2369, 'Tittel': 'Mikrokr.v. Brekke i Storelva til Ortnevik'}]</t>
  </si>
  <si>
    <t>Osa</t>
  </si>
  <si>
    <t>002.JC30</t>
  </si>
  <si>
    <t>1981-07-29T00:00:00</t>
  </si>
  <si>
    <t>[{'KdbID': 411, 'Tittel': 'Erverv og bygging av Nye Osa kraftverk'}, {'KdbID': 7495, 'Tittel': 'Overføring av Øvre Flisa og Østre Æra til Osensjøen'}]</t>
  </si>
  <si>
    <t>Osavatnet</t>
  </si>
  <si>
    <t>BERGEN KOMMUNE</t>
  </si>
  <si>
    <t>964338531</t>
  </si>
  <si>
    <t>061.2AA4</t>
  </si>
  <si>
    <t>[{'AdressatID': 1201, 'Driftselskap': True, 'Hovedeier': True, 'Navn': 'BERGEN KOMMUNE', 'OrgNr': 964338531, 'ProsentAndel': 100.0, 'ProsentAndelDrift': 100.0}]</t>
  </si>
  <si>
    <t>[{'KdbID': 6018, 'Tittel': 'Osavatn kraftverk'}]</t>
  </si>
  <si>
    <t>Arnaelva</t>
  </si>
  <si>
    <t>Osbu</t>
  </si>
  <si>
    <t>109.5D3</t>
  </si>
  <si>
    <t>1958-12-15T00:00:00</t>
  </si>
  <si>
    <t>[{'KdbID': 831, 'Tittel': 'Statsregulering av Aura og Lilledalsvassdraget m.v.'}, {'KdbID': 1645, 'Tittel': 'Erv. og reg. av Aura, Mardøla, Lilledalsvassdraget.'}, {'KdbID': 1927, 'Tittel': 'Manøvreringsreglement for statsreg. av Aura - Lilledalsvassdraget.'}]</t>
  </si>
  <si>
    <t>Osdalen</t>
  </si>
  <si>
    <t>094.4F</t>
  </si>
  <si>
    <t>2020-12-02T00:00:00</t>
  </si>
  <si>
    <t>[{'KdbID': 6956, 'Tittel': 'Osdalen kraftverk'}]</t>
  </si>
  <si>
    <t>Osen</t>
  </si>
  <si>
    <t>[{'KdbID': 917, 'Tittel': 'Reg. og overføring i Finsåvassdraget, Lindåi, Hemså'}, {'KdbID': 6758, 'Tittel': 'Revisjon av konsesjonsvilkår - Finså'}]</t>
  </si>
  <si>
    <t>1954-11-07T00:00:00</t>
  </si>
  <si>
    <t>[{'KdbID': 779, 'Tittel': 'Ytterligere erverv m.v. i Åmdalselv - Skafså II'}, {'KdbID': 1970, 'Tittel': 'Erv. utb. Skafsåvassdraget, planendring'}, {'KdbID': 2012, 'Tittel': 'Planendr. utb. Skafsåvassdraget'}]</t>
  </si>
  <si>
    <t>Osfallet</t>
  </si>
  <si>
    <t>002.JBA1</t>
  </si>
  <si>
    <t>1956-10-15T00:00:00</t>
  </si>
  <si>
    <t>Osland</t>
  </si>
  <si>
    <t>OSLAND KRAFT AS</t>
  </si>
  <si>
    <t>990788707</t>
  </si>
  <si>
    <t>069.71</t>
  </si>
  <si>
    <t>2008-07-18T00:00:00</t>
  </si>
  <si>
    <t>[{'AdressatID': 42927, 'Driftselskap': True, 'Hovedeier': True, 'Navn': 'OSLAND KRAFT AS', 'OrgNr': 990788707, 'ProsentAndel': 100.0, 'ProsentAndelDrift': 100.0}]</t>
  </si>
  <si>
    <t>[{'KdbID': 4688, 'Tittel': 'Osland minikraftverk'}]</t>
  </si>
  <si>
    <t>Oslandsbotn</t>
  </si>
  <si>
    <t>084.1D</t>
  </si>
  <si>
    <t>[{'KdbID': 751, 'Tittel': 'Leie av fallrettigheter i Stongfjordvassdraget'}, {'KdbID': 1298, 'Tittel': 'Erverv av vassfall i Stangselva.'}, {'KdbID': 7553, 'Tittel': 'Stongfjordvassdraget, endring av konsesjonsvilkår til å gjelde på ubegrenset tid'}]</t>
  </si>
  <si>
    <t>Stongselva</t>
  </si>
  <si>
    <t>343</t>
  </si>
  <si>
    <t>Osteren</t>
  </si>
  <si>
    <t>195.4A3</t>
  </si>
  <si>
    <t>[{'KdbID': 1843, 'Tittel': 'Erverv av Osterelv'}]</t>
  </si>
  <si>
    <t>Osterelva</t>
  </si>
  <si>
    <t>766</t>
  </si>
  <si>
    <t>Osvatn</t>
  </si>
  <si>
    <t>060.6B0</t>
  </si>
  <si>
    <t>Tysseelva</t>
  </si>
  <si>
    <t>260</t>
  </si>
  <si>
    <t>Oterbekken</t>
  </si>
  <si>
    <t>OTERBEKKEN ANNE KRISTIN OLSEN</t>
  </si>
  <si>
    <t>934473841</t>
  </si>
  <si>
    <t>156.B4</t>
  </si>
  <si>
    <t>2005-06-03T00:00:00</t>
  </si>
  <si>
    <t>[{'AdressatID': 72442, 'Driftselskap': True, 'Hovedeier': True, 'Navn': 'OTERBEKKEN ANNE KRISTIN OLSEN', 'OrgNr': 934473841, 'ProsentAndel': 100.0, 'ProsentAndelDrift': 100.0}]</t>
  </si>
  <si>
    <t>[{'KdbID': 2811, 'Tittel': 'Mikrokraftverk i Oterbekken'}]</t>
  </si>
  <si>
    <t>Oterholtfoss</t>
  </si>
  <si>
    <t>016.CA4</t>
  </si>
  <si>
    <t>1932-01-01T00:00:00</t>
  </si>
  <si>
    <t>[{'KdbID': 1501, 'Tittel': 'Erverv av bruksrett til Oterholtfoss m.v. i Bøelva.'}, {'KdbID': 7676, 'Tittel': 'Revisjon av konsesjonsvilkår - Seljordsvatnet'}]</t>
  </si>
  <si>
    <t>Otertjønnbekken</t>
  </si>
  <si>
    <t>KARLSEN EIVIND</t>
  </si>
  <si>
    <t>969641496</t>
  </si>
  <si>
    <t>130.520</t>
  </si>
  <si>
    <t>[{'AdressatID': 42692, 'Driftselskap': True, 'Hovedeier': True, 'Navn': 'KARLSEN EIVIND', 'OrgNr': 969641496, 'ProsentAndel': 100.0, 'ProsentAndelDrift': 100.0}]</t>
  </si>
  <si>
    <t>[{'KdbID': 4356, 'Tittel': 'Mikrokraftverk i Otertjønna'}]</t>
  </si>
  <si>
    <t>Otro</t>
  </si>
  <si>
    <t>[{'KdbID': 2367, 'Tittel': 'Mikrokraftverk. I Etronselva'}]</t>
  </si>
  <si>
    <t>Ottar Holta</t>
  </si>
  <si>
    <t>032.4C</t>
  </si>
  <si>
    <t>[{'KdbID': 5109, 'Tittel': 'Holta mikrokraftverk'}]</t>
  </si>
  <si>
    <t>Palmafossen</t>
  </si>
  <si>
    <t>062.FA0</t>
  </si>
  <si>
    <t>[{'KdbID': 5719, 'Tittel': 'Opprusting og utviding av Palmafossen kraftverk'}]</t>
  </si>
  <si>
    <t>Pikerfoss</t>
  </si>
  <si>
    <t>015.E4</t>
  </si>
  <si>
    <t>[{'KdbID': 126, 'Tittel': 'Pikerfoss Kraftverk, Numedalslågen, Erverv, ekspropr. og utbygging'}, {'KdbID': 964, 'Tittel': 'Erverv og ekspropr. for utb. av Pikerfoss kraftv. - Minstevannf.'}, {'KdbID': 1354, 'Tittel': 'Stadf. erverv av eiendomsrett til Pikerfoss mm.'}, {'KdbID': 9373, 'Tittel': 'Midlertidig fravik fra manøvreringsreglementet - Pikerfoss\xa0kraftverk\xa0-\xa0Å ENERGI VANNKRAFT AS - Fravik fra minstevannføring;  - 27.05.2024 til 31.08.2024- Referansenr:NIQCJO'}]</t>
  </si>
  <si>
    <t>Porkegjel</t>
  </si>
  <si>
    <t>PORKEGJEL KRAFT AS</t>
  </si>
  <si>
    <t>990893446</t>
  </si>
  <si>
    <t>052.62</t>
  </si>
  <si>
    <t>2008-09-01T00:00:00</t>
  </si>
  <si>
    <t>[{'AdressatID': 42519, 'Driftselskap': True, 'Hovedeier': True, 'Navn': 'PORKEGJEL KRAFT AS', 'OrgNr': 990893446, 'ProsentAndel': 100.0, 'ProsentAndelDrift': 100.0}]</t>
  </si>
  <si>
    <t>[{'KdbID': 3350, 'Tittel': 'Porkegjel minikraftverk'}]</t>
  </si>
  <si>
    <t>Pålsbu</t>
  </si>
  <si>
    <t>015.L2</t>
  </si>
  <si>
    <t>2007-06-26T00:00:00</t>
  </si>
  <si>
    <t>[{'KdbID': 3043, 'Tittel': 'Kraftverk ved Pålsbu dam og Rødberg dam'}]</t>
  </si>
  <si>
    <t>Rabb-bekken</t>
  </si>
  <si>
    <t>WATTS UP ? AS</t>
  </si>
  <si>
    <t>896380982</t>
  </si>
  <si>
    <t>2016-06-22T00:00:00</t>
  </si>
  <si>
    <t>[{'AdressatID': 43811, 'Driftselskap': True, 'Hovedeier': True, 'Navn': 'WATTS UP ? AS', 'OrgNr': 896380982, 'ProsentAndel': 100.0, 'ProsentAndelDrift': 100.0}]</t>
  </si>
  <si>
    <t>[{'KdbID': 6536, 'Tittel': 'Rabb-bekken minikraftverk'}]</t>
  </si>
  <si>
    <t>Rafdal (Heimeelva)</t>
  </si>
  <si>
    <t>RAFDAL ENERGI AS</t>
  </si>
  <si>
    <t>980850226</t>
  </si>
  <si>
    <t>042.22Z</t>
  </si>
  <si>
    <t>2008-06-02T00:00:00</t>
  </si>
  <si>
    <t>[{'AdressatID': 41346, 'Driftselskap': True, 'Hovedeier': True, 'Navn': 'RAFDAL ENERGI AS', 'OrgNr': 980850226, 'ProsentAndel': 100.0, 'ProsentAndelDrift': 100.0}]</t>
  </si>
  <si>
    <t>[{'KdbID': 3981, 'Tittel': 'Rafdal småkraftverk'}]</t>
  </si>
  <si>
    <t>Rafdalselva</t>
  </si>
  <si>
    <t>Rafdal (Ø-Rafdal)</t>
  </si>
  <si>
    <t>[{'KdbID': 4173, 'Tittel': 'Rafdal minikraftverk II'}]</t>
  </si>
  <si>
    <t>Rafoss</t>
  </si>
  <si>
    <t>025.B3111</t>
  </si>
  <si>
    <t>[{'KdbID': 6174, 'Tittel': 'Rafoss kraftverk'}]</t>
  </si>
  <si>
    <t>Ramberg</t>
  </si>
  <si>
    <t>015.E3Z</t>
  </si>
  <si>
    <t>2010-01-01T00:00:00</t>
  </si>
  <si>
    <t>[{'KdbID': 3930, 'Tittel': 'Ramberg mikrokraftverk'}]</t>
  </si>
  <si>
    <t>Ramfoss</t>
  </si>
  <si>
    <t>RAMFOSS KRAFTLAG KOMMUNALT OPPGAVEFELLESSKAP</t>
  </si>
  <si>
    <t>971030690</t>
  </si>
  <si>
    <t>012.CA3</t>
  </si>
  <si>
    <t>1961-09-01T00:00:00</t>
  </si>
  <si>
    <t>[{'AdressatID': 11907, 'Driftselskap': False, 'Hovedeier': True, 'Navn': 'RAMFOSS KRAFTLAG KOMMUNALT OPPGAVEFELLESSKAP', 'OrgNr': 971030690, 'ProsentAndel': 100.0, 'ProsentAndelDrift': None}, {'AdressatID': 40532, 'Driftselskap': True, 'Hovedeier': False, 'Navn': 'KRAFTIA TJENESTER AS', 'OrgNr': 980341232, 'ProsentAndel': None, 'ProsentAndelDrift': 100.0}]</t>
  </si>
  <si>
    <t>[{'KdbID': 337, 'Tittel': 'Regulering av Krøderen - Endring av manøvreringsreglementet'}]</t>
  </si>
  <si>
    <t>Ramsliåna</t>
  </si>
  <si>
    <t>RAMSLIÅNA KRAFTVERK AS</t>
  </si>
  <si>
    <t>916657676</t>
  </si>
  <si>
    <t>026.D2</t>
  </si>
  <si>
    <t>2021-12-29T00:00:00</t>
  </si>
  <si>
    <t>[{'AdressatID': 51397, 'Driftselskap': True, 'Hovedeier': True, 'Navn': 'RAMSLIÅNA KRAFTVERK AS', 'OrgNr': 916657676, 'ProsentAndel': 100.0, 'ProsentAndelDrift': 100.0}]</t>
  </si>
  <si>
    <t>[{'KdbID': 3129, 'Tittel': 'Ramsliåna kraftverk'}]</t>
  </si>
  <si>
    <t>Ramstaddal</t>
  </si>
  <si>
    <t>SYKKYLVEN ENERGI AS</t>
  </si>
  <si>
    <t>979918224</t>
  </si>
  <si>
    <t>098.1Z</t>
  </si>
  <si>
    <t>1983-12-08T00:00:00</t>
  </si>
  <si>
    <t>[{'AdressatID': 10487, 'Driftselskap': True, 'Hovedeier': True, 'Navn': 'SYKKYLVEN ENERGI AS', 'OrgNr': 979918224, 'ProsentAndel': 100.0, 'ProsentAndelDrift': 100.0}]</t>
  </si>
  <si>
    <t>Ramstaddalselva</t>
  </si>
  <si>
    <t>406</t>
  </si>
  <si>
    <t>1968-01-18T00:00:00</t>
  </si>
  <si>
    <t>[{'KdbID': 882, 'Tittel': 'Statsregulering av Bjerka-Plura m.v. (Rana kraftverk)'}, {'KdbID': 1070, 'Tittel': 'Statsreg. Bjerka-Plura m.v. - Till. reg./endr. man.regl. m.v.'}, {'KdbID': 1947, 'Tittel': 'Ekspropriasjon av grunn og rettigheter for utb. av Rana krv.'}, {'KdbID': 1949, 'Tittel': 'Endr. av manøvreringsreglement for Bjerka - Plura utb.'}]</t>
  </si>
  <si>
    <t>Rasdalen</t>
  </si>
  <si>
    <t>062.A</t>
  </si>
  <si>
    <t>2009-12-03T00:00:00</t>
  </si>
  <si>
    <t>[{'KdbID': 4347, 'Tittel': 'Rasdalen kraftverk'}]</t>
  </si>
  <si>
    <t>Raua</t>
  </si>
  <si>
    <t>002.DDAAA</t>
  </si>
  <si>
    <t>1941-07-01T00:00:00</t>
  </si>
  <si>
    <t>[{'KdbID': 795, 'Tittel': 'Erverv og regulering av Rauavassdraget (og Roppavassdraget).'}, {'KdbID': 1844, 'Tittel': 'Erverv av fall og overf. reg.kons. for Roppa- og Rauavassdr.'}, {'KdbID': 8375, 'Tittel': 'Revisjon av vilkår for Raua- og Roppavassdraget'}]</t>
  </si>
  <si>
    <t>Raubergfossen</t>
  </si>
  <si>
    <t>122.EA1</t>
  </si>
  <si>
    <t>[{'KdbID': 1915, 'Tittel': 'Opprusting/utvidelse av Raubergfossen kraftverk'}]</t>
  </si>
  <si>
    <t>Raudberget</t>
  </si>
  <si>
    <t>[{'AdressatID': 10062, 'Driftselskap': False, 'Hovedeier': False, 'Navn': 'GLOMMENS OG LAAGENS BRUKSEIERFORENING', 'OrgNr': 948591898, 'ProsentAndel': 100.0, 'ProsentAndelDrift': None}, {'AdressatID': 10242, 'Driftselskap': True, 'Hovedeier': True, 'Navn': 'HAFSLUND KRAFT AS', 'OrgNr': 976894677, 'ProsentAndel': None, 'ProsentAndelDrift': 100.0}]</t>
  </si>
  <si>
    <t>[{'KdbID': 3784, 'Tittel': 'Overføring fra Breidalsvatn til Raudalsvatn i Øvre Otta'}]</t>
  </si>
  <si>
    <t>Raukforsen</t>
  </si>
  <si>
    <t>167.C4</t>
  </si>
  <si>
    <t>2021-02-01T00:00:00</t>
  </si>
  <si>
    <t>[{'KdbID': 5396, 'Tittel': 'Raukforsen kraftverk'}]</t>
  </si>
  <si>
    <t>Ravnastua</t>
  </si>
  <si>
    <t>Ravnåga</t>
  </si>
  <si>
    <t>156.CB3Z</t>
  </si>
  <si>
    <t>[{'KdbID': 5643, 'Tittel': 'Ravnåga kraftverk'}]</t>
  </si>
  <si>
    <t>Refsdal</t>
  </si>
  <si>
    <t>1968-01-13T00:00:00</t>
  </si>
  <si>
    <t>[{'KdbID': 187, 'Tittel': 'Ytt. reg. og overføringer i Arnafjordvassdraget'}, {'KdbID': 955, 'Tittel': 'Erverv og reg. av Tenne-, Valsvik- og Refdalsvassdraget'}, {'KdbID': 956, 'Tittel': 'Statsregulering i Arnafjordvassdraget m.v.'}, {'KdbID': 7530, 'Tittel': 'Revisjon av konsesjonsvilkår for Arnafjord- og Vikvassdraga'}, {'KdbID': 9613, 'Tittel': 'Midlertidig fravik fra manøvreringsreglementet - Kvilesteinsvatn, Refsdal kraftverk, Arnafjordvassdraget - Tapping under LRV - 08.04.2025 til 20.06.2025'}]</t>
  </si>
  <si>
    <t>084.C11</t>
  </si>
  <si>
    <t>Reiersdalen</t>
  </si>
  <si>
    <t>NOREM OLAV</t>
  </si>
  <si>
    <t>869102822</t>
  </si>
  <si>
    <t>017.DD</t>
  </si>
  <si>
    <t>[{'AdressatID': 43890, 'Driftselskap': True, 'Hovedeier': True, 'Navn': 'NOREM OLAV', 'OrgNr': 869102822, 'ProsentAndel': 100.0, 'ProsentAndelDrift': 100.0}]</t>
  </si>
  <si>
    <t>Reinfossen</t>
  </si>
  <si>
    <t>156.C1</t>
  </si>
  <si>
    <t>1925-01-01T00:00:00</t>
  </si>
  <si>
    <t>Reingardsåga</t>
  </si>
  <si>
    <t>156.CAA2A</t>
  </si>
  <si>
    <t>2009-06-19T00:00:00</t>
  </si>
  <si>
    <t>[{'KdbID': 4126, 'Tittel': 'Reingardsåga kraftverk'}]</t>
  </si>
  <si>
    <t>Reinli</t>
  </si>
  <si>
    <t>REINLI KRAFT AS</t>
  </si>
  <si>
    <t>989525298</t>
  </si>
  <si>
    <t>012.J2B</t>
  </si>
  <si>
    <t>2008-02-25T00:00:00</t>
  </si>
  <si>
    <t>[{'AdressatID': 41550, 'Driftselskap': True, 'Hovedeier': True, 'Navn': 'REINLI KRAFT AS', 'OrgNr': 989525298, 'ProsentAndel': 100.0, 'ProsentAndelDrift': 100.0}]</t>
  </si>
  <si>
    <t>[{'KdbID': 3253, 'Tittel': 'Reina kraftverk'}]</t>
  </si>
  <si>
    <t>Reinset</t>
  </si>
  <si>
    <t>111.5B4</t>
  </si>
  <si>
    <t>1948-02-25T00:00:00</t>
  </si>
  <si>
    <t>[{'KdbID': 1315, 'Tittel': 'Stadf. av till. til ytt. reg. av Reinsetvatn, Renndalsvatn,'}]</t>
  </si>
  <si>
    <t>Ålvundelva</t>
  </si>
  <si>
    <t>454</t>
  </si>
  <si>
    <t>Reinskar</t>
  </si>
  <si>
    <t>161.1Z</t>
  </si>
  <si>
    <t>2008-09-25T00:00:00</t>
  </si>
  <si>
    <t>[{'KdbID': 2511, 'Tittel': 'Reinskar kraftverk,regulering av Storvatn'}]</t>
  </si>
  <si>
    <t>681</t>
  </si>
  <si>
    <t>Reinstaul</t>
  </si>
  <si>
    <t>REINSTAUL KRAFT AS</t>
  </si>
  <si>
    <t>898328082</t>
  </si>
  <si>
    <t>[{'AdressatID': 43641, 'Driftselskap': True, 'Hovedeier': True, 'Navn': 'REINSTAUL KRAFT AS', 'OrgNr': 898328082, 'ProsentAndel': 100.0, 'ProsentAndelDrift': 100.0}]</t>
  </si>
  <si>
    <t>[{'KdbID': 2094, 'Tittel': 'Mikrokraftverk Sagbekken'}]</t>
  </si>
  <si>
    <t>Reinåa</t>
  </si>
  <si>
    <t>[{'KdbID': 5433, 'Tittel': 'Reinåa kraftverk'}]</t>
  </si>
  <si>
    <t>Reinåga</t>
  </si>
  <si>
    <t>155.B20</t>
  </si>
  <si>
    <t>2014-11-21T00:00:00</t>
  </si>
  <si>
    <t>[{'KdbID': 5570, 'Tittel': 'Reinåga kraftverk'}, {'KdbID': 7280, 'Tittel': 'Reinåga kraftverk'}]</t>
  </si>
  <si>
    <t>Reisæter (Bleieelvi)</t>
  </si>
  <si>
    <t>REISÆTER KRAFTVERK AS</t>
  </si>
  <si>
    <t>991741267</t>
  </si>
  <si>
    <t>048.2A</t>
  </si>
  <si>
    <t>2009-06-03T00:00:00</t>
  </si>
  <si>
    <t>[{'AdressatID': 43014, 'Driftselskap': True, 'Hovedeier': True, 'Navn': 'REISÆTER KRAFTVERK AS', 'OrgNr': 991741267, 'ProsentAndel': 100.0, 'ProsentAndelDrift': 100.0}]</t>
  </si>
  <si>
    <t>[{'KdbID': 7123, 'Tittel': 'Reisæter (Bleielvi) minikraftverk'}]</t>
  </si>
  <si>
    <t>Reisæter (Strutåni)</t>
  </si>
  <si>
    <t>[{'KdbID': 4804, 'Tittel': 'Reisæter (Strutåni) minikraftverk'}]</t>
  </si>
  <si>
    <t>Rekvatn</t>
  </si>
  <si>
    <t>Hamarøy</t>
  </si>
  <si>
    <t>170.C4</t>
  </si>
  <si>
    <t>[{'KdbID': 749, 'Tittel': 'Erverv av fall i Sagelv- og Muskenvassdragene, Slunkajavrre krv'}, {'KdbID': 920, 'Tittel': 'Erverv og reg. av Sagelvvassdraget m.v. - Rekvatnet'}, {'KdbID': 7239, 'Tittel': 'Rekvatn kraftverk, nye aggregat'}]</t>
  </si>
  <si>
    <t>Sagelvvassdraget</t>
  </si>
  <si>
    <t>725</t>
  </si>
  <si>
    <t>Rekåa</t>
  </si>
  <si>
    <t>REKÅA KRAFTVERK AS</t>
  </si>
  <si>
    <t>994562223</t>
  </si>
  <si>
    <t>016.EA1B</t>
  </si>
  <si>
    <t>2009-09-14T00:00:00</t>
  </si>
  <si>
    <t>[{'AdressatID': 43101, 'Driftselskap': True, 'Hovedeier': True, 'Navn': 'REKÅA KRAFTVERK AS', 'OrgNr': 994562223, 'ProsentAndel': 100.0, 'ProsentAndelDrift': 100.0}]</t>
  </si>
  <si>
    <t>[{'KdbID': 5321, 'Tittel': 'Rekåa minikraftverk'}]</t>
  </si>
  <si>
    <t>Ren Energi Ramsland</t>
  </si>
  <si>
    <t>REN ENERGI RAMSLAND AS</t>
  </si>
  <si>
    <t>915380646</t>
  </si>
  <si>
    <t>023.220</t>
  </si>
  <si>
    <t>2015-10-06T00:00:00</t>
  </si>
  <si>
    <t>[{'AdressatID': 50160, 'Driftselskap': True, 'Hovedeier': True, 'Navn': 'REN ENERGI RAMSLAND AS', 'OrgNr': 915380646, 'ProsentAndel': 100.0, 'ProsentAndelDrift': 100.0}]</t>
  </si>
  <si>
    <t>[{'KdbID': 7292, 'Tittel': 'Ren Energi Ramsland'}]</t>
  </si>
  <si>
    <t>002.JE8</t>
  </si>
  <si>
    <t>1971-10-16T00:00:00</t>
  </si>
  <si>
    <t>[{'AdressatID': 10242, 'Driftselskap': True, 'Hovedeier': True, 'Navn': 'HAFSLUND KRAFT AS', 'OrgNr': 976894677, 'ProsentAndel': 25.0, 'ProsentAndelDrift': 100.0}, {'AdressatID': 10300, 'Driftselskap': False, 'Hovedeier': False, 'Navn': 'OPPLANDSKRAFT DA', 'OrgNr': 944237631, 'ProsentAndel': None, 'ProsentAndelDrift': None}, {'AdressatID': 25452, 'Driftselskap': False, 'Hovedeier': False, 'Navn': 'AKERSHUS ENERGI VANNKRAFT AS', 'OrgNr': 976542622, 'ProsentAndel': 25.0, 'ProsentAndelDrift': None}, {'AdressatID': 41020, 'Driftselskap': False, 'Hovedeier': False, 'Navn': 'HAFSLUND KRAFT INNLANDET AS', 'OrgNr': 887396752, 'ProsentAndel': 50.0, 'ProsentAndelDrift': None}]</t>
  </si>
  <si>
    <t>[{'KdbID': 449, 'Tittel': 'Delvis overføring av Glomma til Rendalen og regulering av Savalen og Fundin'}, {'KdbID': 5574, 'Tittel': 'Oppgradering av Rendalen kraftverk'}, {'KdbID': 6813, 'Tittel': 'Økt overføring fra Glomma v/Høyegga til Rena'}, {'KdbID': 7656, 'Tittel': 'Revisjon av konsesjonsvilkår for regulering av Savalen, Fundin og for delvis overføring av Glomma til Rendalen'}, {'KdbID': 8150, 'Tittel': 'Rendalen kraftverk - planendring'}]</t>
  </si>
  <si>
    <t>Rendalselva</t>
  </si>
  <si>
    <t>160.23B</t>
  </si>
  <si>
    <t>2010-05-24T00:00:00</t>
  </si>
  <si>
    <t>[{'KdbID': 4200, 'Tittel': 'Kraftutbygging Rendalselva'}]</t>
  </si>
  <si>
    <t>Reindalselva</t>
  </si>
  <si>
    <t>672</t>
  </si>
  <si>
    <t>Rensjø</t>
  </si>
  <si>
    <t>123.B5C2</t>
  </si>
  <si>
    <t>2007-10-05T00:00:00</t>
  </si>
  <si>
    <t>[{'KdbID': 2663, 'Tittel': 'Rensjø kraftverk'}]</t>
  </si>
  <si>
    <t>Reppa</t>
  </si>
  <si>
    <t>RØDØY-LURØY KRAFTVERK AS</t>
  </si>
  <si>
    <t>915558119</t>
  </si>
  <si>
    <t>159.7AAB</t>
  </si>
  <si>
    <t>2021-06-18T00:00:00</t>
  </si>
  <si>
    <t>[{'AdressatID': 10543, 'Driftselskap': False, 'Hovedeier': True, 'Navn': 'RØDØY-LURØY KRAFTVERK AS', 'OrgNr': 915558119, 'ProsentAndel': 100.0, 'ProsentAndelDrift': 100.0}, {'AdressatID': 10544, 'Driftselskap': True, 'Hovedeier': False, 'Navn': 'SKS PRODUKSJON AS', 'OrgNr': 915637353, 'ProsentAndel': None, 'ProsentAndelDrift': None}]</t>
  </si>
  <si>
    <t>[{'KdbID': 647, 'Tittel': 'Reppa kraftverk, 2. byggetrinn'}, {'KdbID': 888, 'Tittel': 'Erverv og reg. av Reppavassdraget i Rødøy'}, {'KdbID': 2991, 'Tittel': 'Endring i vilkår for erv./reg.kons. for Reppavassdraget'}, {'KdbID': 5027, 'Tittel': 'Utvidet regulering av Reppavatnet og Memorvatnet'}]</t>
  </si>
  <si>
    <t>Reppaelva</t>
  </si>
  <si>
    <t>669</t>
  </si>
  <si>
    <t>Repvåg</t>
  </si>
  <si>
    <t>Nordkapp</t>
  </si>
  <si>
    <t>222.2AB</t>
  </si>
  <si>
    <t>1953-02-21T00:00:00</t>
  </si>
  <si>
    <t>[{'KdbID': 36, 'Tittel': 'Regulering av Tverrelv, Lafjordvassdr. og Austelvvassdr., overf.'}, {'KdbID': 4475, 'Tittel': 'Fornyelse av reguleringskonsesjon for Tverrelvvassdr m.fl.. Repvåg kraftverk'}]</t>
  </si>
  <si>
    <t>Strandajåkka</t>
  </si>
  <si>
    <t>881</t>
  </si>
  <si>
    <t>Ridøla</t>
  </si>
  <si>
    <t>RIDØLA KRAFT AS</t>
  </si>
  <si>
    <t>991537406</t>
  </si>
  <si>
    <t>012.CE2A4</t>
  </si>
  <si>
    <t>2010-03-12T00:00:00</t>
  </si>
  <si>
    <t>[{'AdressatID': 43136, 'Driftselskap': True, 'Hovedeier': True, 'Navn': 'RIDØLA KRAFT AS', 'OrgNr': 991537406, 'ProsentAndel': 100.0, 'ProsentAndelDrift': 100.0}]</t>
  </si>
  <si>
    <t>[{'KdbID': 5387, 'Tittel': 'Ridøla småkraftverk'}]</t>
  </si>
  <si>
    <t>Riksheim</t>
  </si>
  <si>
    <t>097.6A</t>
  </si>
  <si>
    <t>2013-10-10T00:00:00</t>
  </si>
  <si>
    <t>[{'KdbID': 889, 'Tittel': 'Regulering av Storevatn i Sykkylven'}, {'KdbID': 7180, 'Tittel': 'Riksheim kraftverk'}]</t>
  </si>
  <si>
    <t>Riksemelva</t>
  </si>
  <si>
    <t>404</t>
  </si>
  <si>
    <t>Riksheimdal</t>
  </si>
  <si>
    <t>097.6Z</t>
  </si>
  <si>
    <t>2003-12-19T00:00:00</t>
  </si>
  <si>
    <t>[{'KdbID': 889, 'Tittel': 'Regulering av Storevatn i Sykkylven'}, {'KdbID': 3365, 'Tittel': 'Riksheimdal småkraftverk'}]</t>
  </si>
  <si>
    <t>Rimbareid</t>
  </si>
  <si>
    <t>FITJAR KRAFTLAG SA</t>
  </si>
  <si>
    <t>971028548</t>
  </si>
  <si>
    <t>044.6C</t>
  </si>
  <si>
    <t>[{'AdressatID': 10420, 'Driftselskap': True, 'Hovedeier': True, 'Navn': 'FITJAR KRAFTLAG SA', 'OrgNr': 971028548, 'ProsentAndel': 100.0, 'ProsentAndelDrift': 100.0}]</t>
  </si>
  <si>
    <t>[{'KdbID': 2595, 'Tittel': 'Rimbareid kraftverk'}]</t>
  </si>
  <si>
    <t>Fitjarelva</t>
  </si>
  <si>
    <t>199</t>
  </si>
  <si>
    <t>Rime</t>
  </si>
  <si>
    <t>RIME KRAFT AS</t>
  </si>
  <si>
    <t>998925479</t>
  </si>
  <si>
    <t>012.CC3Z</t>
  </si>
  <si>
    <t>2014-02-06T00:00:00</t>
  </si>
  <si>
    <t>[{'AdressatID': 43830, 'Driftselskap': True, 'Hovedeier': True, 'Navn': 'RIME KRAFT AS', 'OrgNr': 998925479, 'ProsentAndel': 100.0, 'ProsentAndelDrift': 100.0}]</t>
  </si>
  <si>
    <t>[{'KdbID': 2109, 'Tittel': 'Rime Kraftverk'}]</t>
  </si>
  <si>
    <t>Ringdal</t>
  </si>
  <si>
    <t>RINGDAL KRAFTVERK AS</t>
  </si>
  <si>
    <t>890064892</t>
  </si>
  <si>
    <t>098.5AZ</t>
  </si>
  <si>
    <t>2011-04-16T00:00:00</t>
  </si>
  <si>
    <t>[{'AdressatID': 42727, 'Driftselskap': True, 'Hovedeier': True, 'Navn': 'RINGDAL KRAFTVERK AS', 'OrgNr': 890064892, 'ProsentAndel': 100.0, 'ProsentAndelDrift': 100.0}]</t>
  </si>
  <si>
    <t>[{'KdbID': 4394, 'Tittel': 'Ringdal kraftverk'}]</t>
  </si>
  <si>
    <t>Ringedalen</t>
  </si>
  <si>
    <t>049.B1</t>
  </si>
  <si>
    <t>2017-05-30T00:00:00</t>
  </si>
  <si>
    <t>[{'KdbID': 4633, 'Tittel': 'Ringedalen kraftverk'}]</t>
  </si>
  <si>
    <t>Ringheim</t>
  </si>
  <si>
    <t>KRISTIAN RINGHEIM</t>
  </si>
  <si>
    <t>976954661</t>
  </si>
  <si>
    <t>062.G24</t>
  </si>
  <si>
    <t>2015-04-03T00:00:00</t>
  </si>
  <si>
    <t>[{'AdressatID': 43859, 'Driftselskap': True, 'Hovedeier': True, 'Navn': 'KRISTIAN RINGHEIM', 'OrgNr': 976954661, 'ProsentAndel': 100.0, 'ProsentAndelDrift': 100.0}]</t>
  </si>
  <si>
    <t>[{'KdbID': 6853, 'Tittel': 'Grevleselva mikrokraftverk'}]</t>
  </si>
  <si>
    <t>Risvollelva</t>
  </si>
  <si>
    <t>RISVOLLELVA KRAFTVERK AS</t>
  </si>
  <si>
    <t>823168292</t>
  </si>
  <si>
    <t>037.31</t>
  </si>
  <si>
    <t>[{'AdressatID': 53584, 'Driftselskap': True, 'Hovedeier': True, 'Navn': 'RISVOLLELVA KRAFTVERK AS', 'OrgNr': 823168292, 'ProsentAndel': 100.0, 'ProsentAndelDrift': 100.0}]</t>
  </si>
  <si>
    <t>[{'KdbID': 7775, 'Tittel': 'Risvollelva kraftverk'}]</t>
  </si>
  <si>
    <t>Risvollfossen</t>
  </si>
  <si>
    <t>[{'KdbID': 1999, 'Tittel': 'Mikrokraftverk Risvollfossen'}]</t>
  </si>
  <si>
    <t>Ritaelva</t>
  </si>
  <si>
    <t>203.41A</t>
  </si>
  <si>
    <t>2021-07-08T00:00:00</t>
  </si>
  <si>
    <t>[{'KdbID': 4888, 'Tittel': 'Ritaelva kraftverk'}, {'KdbID': 7901, 'Tittel': 'Ritaelva kraftverk planendring'}]</t>
  </si>
  <si>
    <t>Riva</t>
  </si>
  <si>
    <t>002.JEAZ</t>
  </si>
  <si>
    <t>[{'AdressatID': 29056, 'Driftselskap': True, 'Hovedeier': True, 'Navn': 'ØSTERDALEN KRAFTPRODUKSJON AS', 'OrgNr': 980343235, 'ProsentAndel': 100.0, 'ProsentAndelDrift': 100.0}]</t>
  </si>
  <si>
    <t>[{'KdbID': 6935, 'Tittel': 'Riva kraftverk'}]</t>
  </si>
  <si>
    <t>Rivedal</t>
  </si>
  <si>
    <t>RIVEDAL KRAFTVERK AS</t>
  </si>
  <si>
    <t>986159401</t>
  </si>
  <si>
    <t>083.4Z</t>
  </si>
  <si>
    <t>2005-02-17T00:00:00</t>
  </si>
  <si>
    <t>[{'AdressatID': 41183, 'Driftselskap': True, 'Hovedeier': True, 'Navn': 'RIVEDAL KRAFTVERK AS', 'OrgNr': 986159401, 'ProsentAndel': 100.0, 'ProsentAndelDrift': 100.0}]</t>
  </si>
  <si>
    <t>[{'KdbID': 3340, 'Tittel': 'Småkraftverk i Rivedalselva'}]</t>
  </si>
  <si>
    <t>Rivedalselva</t>
  </si>
  <si>
    <t>340</t>
  </si>
  <si>
    <t>Robekk</t>
  </si>
  <si>
    <t>JOHANNES GRØTTELAND</t>
  </si>
  <si>
    <t>930169609</t>
  </si>
  <si>
    <t>024.B2B0</t>
  </si>
  <si>
    <t>2025-01-01T00:00:00</t>
  </si>
  <si>
    <t>[{'AdressatID': 74331, 'Driftselskap': True, 'Hovedeier': True, 'Navn': 'JOHANNES GRØTTELAND', 'OrgNr': 930169609, 'ProsentAndel': 100.0, 'ProsentAndelDrift': 100.0}]</t>
  </si>
  <si>
    <t>[{'KdbID': 8761, 'Tittel': 'Robekk mikrokraftverk '}]</t>
  </si>
  <si>
    <t>Rodal</t>
  </si>
  <si>
    <t>RODAL KRAFT AS</t>
  </si>
  <si>
    <t>994687786</t>
  </si>
  <si>
    <t>113.511Z</t>
  </si>
  <si>
    <t>2011-04-02T00:00:00</t>
  </si>
  <si>
    <t>[{'AdressatID': 43281, 'Driftselskap': True, 'Hovedeier': True, 'Navn': 'RODAL KRAFT AS', 'OrgNr': 994687786, 'ProsentAndel': 100.0, 'ProsentAndelDrift': 100.0}]</t>
  </si>
  <si>
    <t>[{'KdbID': 5171, 'Tittel': 'Rodal kraftverk'}]</t>
  </si>
  <si>
    <t>Dennåa</t>
  </si>
  <si>
    <t>Rogheien</t>
  </si>
  <si>
    <t>030.1E</t>
  </si>
  <si>
    <t>[{'KdbID': 4153, 'Tittel': 'Rogheien minikraftverk'}]</t>
  </si>
  <si>
    <t>Rognsfossen</t>
  </si>
  <si>
    <t>062.G2</t>
  </si>
  <si>
    <t>1989-04-24T00:00:00</t>
  </si>
  <si>
    <t>Rolleivstadvatn</t>
  </si>
  <si>
    <t>019.DCAC</t>
  </si>
  <si>
    <t>Romøyri</t>
  </si>
  <si>
    <t>078.1Z</t>
  </si>
  <si>
    <t>2017-12-11T00:00:00</t>
  </si>
  <si>
    <t>[{'KdbID': 4245, 'Tittel': 'Romøyri kraftverk'}]</t>
  </si>
  <si>
    <t>Rommedøla</t>
  </si>
  <si>
    <t>318</t>
  </si>
  <si>
    <t>Rongkleiv</t>
  </si>
  <si>
    <t>RONGKLEIV KRAFT AS</t>
  </si>
  <si>
    <t>988357936</t>
  </si>
  <si>
    <t>086.C</t>
  </si>
  <si>
    <t>2006-05-10T00:00:00</t>
  </si>
  <si>
    <t>[{'AdressatID': 42446, 'Driftselskap': True, 'Hovedeier': True, 'Navn': 'RONGKLEIV KRAFT AS', 'OrgNr': 988357936, 'ProsentAndel': 100.0, 'ProsentAndelDrift': 100.0}]</t>
  </si>
  <si>
    <t>[{'KdbID': 3135, 'Tittel': 'Rongkleiv kraftverk'}]</t>
  </si>
  <si>
    <t>Gjengedalsvassdraget</t>
  </si>
  <si>
    <t>367</t>
  </si>
  <si>
    <t>Roppa</t>
  </si>
  <si>
    <t>002.DDD0</t>
  </si>
  <si>
    <t>1976-07-01T00:00:00</t>
  </si>
  <si>
    <t>[{'KdbID': 42, 'Tittel': 'Erverv og regulering av Roppavassdraget (og Rauavassdraget).'}, {'KdbID': 1844, 'Tittel': 'Erverv av fall og overf. reg.kons. for Roppa- og Rauavassdr.'}, {'KdbID': 8375, 'Tittel': 'Revisjon av vilkår for Raua- og Roppavassdraget'}]</t>
  </si>
  <si>
    <t>Rosendal</t>
  </si>
  <si>
    <t>ROSENDAL ELEKTRISITETSVERK AS</t>
  </si>
  <si>
    <t>982173779</t>
  </si>
  <si>
    <t>045.4AA</t>
  </si>
  <si>
    <t>[{'AdressatID': 42847, 'Driftselskap': True, 'Hovedeier': True, 'Navn': 'ROSENDAL ELEKTRISITETSVERK AS', 'OrgNr': 982173779, 'ProsentAndel': 100.0, 'ProsentAndelDrift': 100.0}]</t>
  </si>
  <si>
    <t>Roskrepp</t>
  </si>
  <si>
    <t>025.J0</t>
  </si>
  <si>
    <t>1979-12-19T00:00:00</t>
  </si>
  <si>
    <t>[{'KdbID': 193, 'Tittel': 'Sira-Kvina - Utbygging av Roskrepp kraftverk'}, {'KdbID': 918, 'Tittel': 'Reguleringer og overføringer i Sira-Kvinavassdragene'}, {'KdbID': 2056, 'Tittel': 'Erv. av 3,3 av statens prosentand. i Sira-Kvina krv.'}]</t>
  </si>
  <si>
    <t>Rosten</t>
  </si>
  <si>
    <t>002.DJ31</t>
  </si>
  <si>
    <t>2018-03-15T00:00:00</t>
  </si>
  <si>
    <t>[{'AdressatID': 10242, 'Driftselskap': True, 'Hovedeier': True, 'Navn': 'HAFSLUND KRAFT AS', 'OrgNr': 976894677, 'ProsentAndel': None, 'ProsentAndelDrift': 100.0}, {'AdressatID': 41020, 'Driftselskap': False, 'Hovedeier': False, 'Navn': 'HAFSLUND KRAFT INNLANDET AS', 'OrgNr': 887396752, 'ProsentAndel': 72.0, 'ProsentAndelDrift': None}, {'AdressatID': 53346, 'Driftselskap': False, 'Hovedeier': False, 'Navn': 'EIDEFOSS VANNKRAFT AS', 'OrgNr': 923354220, 'ProsentAndel': 28.0, 'ProsentAndelDrift': None}]</t>
  </si>
  <si>
    <t>[{'KdbID': 5089, 'Tittel': 'Rosten kraftverk'}, {'KdbID': 8133, 'Tittel': 'Rosten kraftverk - redusert minste slukeevne'}]</t>
  </si>
  <si>
    <t>Rotnes Bruk</t>
  </si>
  <si>
    <t>ROTNES BRUK DRIFT AS</t>
  </si>
  <si>
    <t>927372193</t>
  </si>
  <si>
    <t>Nittedal</t>
  </si>
  <si>
    <t>002.CD2</t>
  </si>
  <si>
    <t>1940-01-01T00:00:00</t>
  </si>
  <si>
    <t>[{'AdressatID': 61592, 'Driftselskap': True, 'Hovedeier': True, 'Navn': 'ROTNES BRUK DRIFT AS', 'OrgNr': 927372193, 'ProsentAndel': 100.0, 'ProsentAndelDrift': 100.0}]</t>
  </si>
  <si>
    <t>[{'KdbID': 2606, 'Tittel': 'Minikraftverk Rotnes'}]</t>
  </si>
  <si>
    <t>Rottenvik</t>
  </si>
  <si>
    <t>204.3A2</t>
  </si>
  <si>
    <t>[{'KdbID': 82, 'Tittel': 'Erverv og regulering av Rottenvikvassdraget i Lyngen'}, {'KdbID': 743, 'Tittel': 'Overdragelse av reguleringstillatelser m.v. - Troms kraftforsyning'}, {'KdbID': 4500, 'Tittel': 'Nytt Rottenvik kraftverk'}]</t>
  </si>
  <si>
    <t>Storelva (råttenvik)</t>
  </si>
  <si>
    <t>814</t>
  </si>
  <si>
    <t>Rovde</t>
  </si>
  <si>
    <t>093.4A1</t>
  </si>
  <si>
    <t>Videildselva</t>
  </si>
  <si>
    <t>387</t>
  </si>
  <si>
    <t>Rud 1</t>
  </si>
  <si>
    <t>077.12</t>
  </si>
  <si>
    <t>2008-05-14T00:00:00</t>
  </si>
  <si>
    <t>[{'KdbID': 4794, 'Tittel': 'Rud 1 minikraftverk i Rudsbekken'}]</t>
  </si>
  <si>
    <t>Rud Gårdskraftverk</t>
  </si>
  <si>
    <t>012.DBAZ</t>
  </si>
  <si>
    <t>1935-01-01T00:00:00</t>
  </si>
  <si>
    <t>Rusdalsåni</t>
  </si>
  <si>
    <t>RUSDALSÅNI KRAFT AS</t>
  </si>
  <si>
    <t>918085394</t>
  </si>
  <si>
    <t>026.BF</t>
  </si>
  <si>
    <t>2019-05-28T00:00:00</t>
  </si>
  <si>
    <t>[{'AdressatID': 51281, 'Driftselskap': True, 'Hovedeier': True, 'Navn': 'RUSDALSÅNI KRAFT AS', 'OrgNr': 918085394, 'ProsentAndel': 100.0, 'ProsentAndelDrift': 100.0}]</t>
  </si>
  <si>
    <t>[{'KdbID': 5230, 'Tittel': 'Rusdal kraftverk'}]</t>
  </si>
  <si>
    <t>Russagjela</t>
  </si>
  <si>
    <t>INGE ASKELAND</t>
  </si>
  <si>
    <t>955280334</t>
  </si>
  <si>
    <t>[{'AdressatID': 50855, 'Driftselskap': True, 'Hovedeier': True, 'Navn': 'INGE ASKELAND', 'OrgNr': 955280334, 'ProsentAndel': 100.0, 'ProsentAndelDrift': 100.0}]</t>
  </si>
  <si>
    <t>[{'KdbID': 3407, 'Tittel': 'Russagjela mikrokraftverk'}]</t>
  </si>
  <si>
    <t>Ryddøla</t>
  </si>
  <si>
    <t>LHI SOLARWIND HYDRO RYDDØLA 2643 AS</t>
  </si>
  <si>
    <t>991936475</t>
  </si>
  <si>
    <t>Dovre</t>
  </si>
  <si>
    <t>002.DJ5Z</t>
  </si>
  <si>
    <t>2013-12-03T00:00:00</t>
  </si>
  <si>
    <t>[{'AdressatID': 43789, 'Driftselskap': True, 'Hovedeier': True, 'Navn': 'LHI SOLARWIND HYDRO RYDDØLA 2643 AS', 'OrgNr': 991936475, 'ProsentAndel': 100.0, 'ProsentAndelDrift': 100.0}]</t>
  </si>
  <si>
    <t>[{'KdbID': 5379, 'Tittel': 'Ryddøla kraftverk'}]</t>
  </si>
  <si>
    <t>Rygene</t>
  </si>
  <si>
    <t>019.A3</t>
  </si>
  <si>
    <t>[{'KdbID': 148, 'Tittel': 'Rygene Kraftverk - Utbygging, erverv, ekspropriasjon mv.'}, {'KdbID': 703, 'Tittel': 'Rygene Kraftverk - Endring av vilkår om minstevannføring'}]</t>
  </si>
  <si>
    <t>Rygene miniaggregat</t>
  </si>
  <si>
    <t>019.A13</t>
  </si>
  <si>
    <t>Rysna</t>
  </si>
  <si>
    <t>012.NA</t>
  </si>
  <si>
    <t>2022-11-18T00:00:00</t>
  </si>
  <si>
    <t>[{'KdbID': 6373, 'Tittel': 'Rysna kraftverk'}]</t>
  </si>
  <si>
    <t>Ryssdal</t>
  </si>
  <si>
    <t>RYSSDAL KRAFT AS</t>
  </si>
  <si>
    <t>980348997</t>
  </si>
  <si>
    <t>087.A3</t>
  </si>
  <si>
    <t>1999-12-03T00:00:00</t>
  </si>
  <si>
    <t>[{'AdressatID': 41097, 'Driftselskap': True, 'Hovedeier': True, 'Navn': 'RYSSDAL KRAFT AS', 'OrgNr': 980348997, 'ProsentAndel': 100.0, 'ProsentAndelDrift': 100.0}]</t>
  </si>
  <si>
    <t>[{'KdbID': 2304, 'Tittel': 'Ryssdal I minikraftverk'}, {'KdbID': 2498, 'Tittel': 'Småkraftverk, Ryssdal II'}]</t>
  </si>
  <si>
    <t>2006-05-28T00:00:00</t>
  </si>
  <si>
    <t>Ryånda</t>
  </si>
  <si>
    <t>RYÅNDA KRAFTVERK AS</t>
  </si>
  <si>
    <t>990219451</t>
  </si>
  <si>
    <t>121.B4</t>
  </si>
  <si>
    <t>[{'AdressatID': 41015, 'Driftselskap': True, 'Hovedeier': True, 'Navn': 'RYÅNDA KRAFTVERK AS', 'OrgNr': 990219451, 'ProsentAndel': 100.0, 'ProsentAndelDrift': 100.0}]</t>
  </si>
  <si>
    <t>[{'KdbID': 4089, 'Tittel': 'Ryånda minikraftverk'}]</t>
  </si>
  <si>
    <t>Rødberg</t>
  </si>
  <si>
    <t>015.JA2</t>
  </si>
  <si>
    <t>2009-02-02T00:00:00</t>
  </si>
  <si>
    <t>[{'KdbID': 4008, 'Tittel': 'Rødberg kraftverk'}]</t>
  </si>
  <si>
    <t>Rødne</t>
  </si>
  <si>
    <t>038.3Z</t>
  </si>
  <si>
    <t>2006-04-26T00:00:00</t>
  </si>
  <si>
    <t>[{'KdbID': 2861, 'Tittel': 'Rødne kraftverk'}]</t>
  </si>
  <si>
    <t>Øvstabøelva</t>
  </si>
  <si>
    <t>176</t>
  </si>
  <si>
    <t>Rødset</t>
  </si>
  <si>
    <t>098.3C3</t>
  </si>
  <si>
    <t>2015-05-15T00:00:00</t>
  </si>
  <si>
    <t>[{'KdbID': 5220, 'Tittel': 'Rødset kraftverk'}]</t>
  </si>
  <si>
    <t>Rødstøl</t>
  </si>
  <si>
    <t>103.B0</t>
  </si>
  <si>
    <t>[{'KdbID': 2741, 'Tittel': 'Rauåa mikrokraftverk'}]</t>
  </si>
  <si>
    <t>Røfsdalselva</t>
  </si>
  <si>
    <t>2019-06-03T00:00:00</t>
  </si>
  <si>
    <t>[{'KdbID': 5420, 'Tittel': 'Røfsdalselva kraftverk'}]</t>
  </si>
  <si>
    <t>Røldal</t>
  </si>
  <si>
    <t>036.E30</t>
  </si>
  <si>
    <t>[{'KdbID': 46, 'Tittel': 'Erverv og regulering i Røldal-Suldalsvassdragene m.v.'}, {'KdbID': 8571, 'Tittel': 'Revisjon av konsesjonsvilkår - Røldal-Suldalsvassdragene'}, {'KdbID': 9242, 'Tittel': 'Midlertidig fravik fra manøvreringsreglementet - Røldal\xa0kraftverk\xa0-\xa0HYDRO ENERGI AS - Tapping under LRV ;  - 01.07.2024 til 01.10.2024- Referansenr:MBRCOX'}, {'KdbID': 9500, 'Tittel': 'Søknad - Midlertidig fravik fra manøvreringsreglementet - Røldal\xa0kraftverk\xa0-\xa0HYDRO ENERGI AS - Tapping under LRV ;  - 01.01.2025 til 01.05.2025- Referansenr:FOKPWP'}, {'KdbID': 9691, 'Tittel': 'Søknad - Midlertidig fravik fra manøvreringsreglementet - Røldal\xa0kraftverk\xa0-\xa0HYDRO ENERGI AS - Tapping under LRV ;  - 01.08.2025 til 01.10.2025- Referansenr:UJIBQG'}]</t>
  </si>
  <si>
    <t>Røneid</t>
  </si>
  <si>
    <t>076.A0</t>
  </si>
  <si>
    <t>2016-11-23T00:00:00</t>
  </si>
  <si>
    <t>[{'KdbID': 5179, 'Tittel': 'Røneid kraftverk'}]</t>
  </si>
  <si>
    <t>Rønnestad</t>
  </si>
  <si>
    <t>JOSTEIN RØNNESTAD</t>
  </si>
  <si>
    <t>984661436</t>
  </si>
  <si>
    <t>094.31</t>
  </si>
  <si>
    <t>[{'AdressatID': 43727, 'Driftselskap': True, 'Hovedeier': True, 'Navn': 'JOSTEIN RØNNESTAD', 'OrgNr': 984661436, 'ProsentAndel': 100.0, 'ProsentAndelDrift': 100.0}]</t>
  </si>
  <si>
    <t>[{'KdbID': 3588, 'Tittel': 'Kvidalselva mikrokraftverk'}]</t>
  </si>
  <si>
    <t>Rørheim</t>
  </si>
  <si>
    <t>ARNE RØRHEIM</t>
  </si>
  <si>
    <t>969817705</t>
  </si>
  <si>
    <t>034.1</t>
  </si>
  <si>
    <t>2004-10-15T00:00:00</t>
  </si>
  <si>
    <t>[{'AdressatID': 43499, 'Driftselskap': True, 'Hovedeier': True, 'Navn': 'ARNE RØRHEIM', 'OrgNr': 969817705, 'ProsentAndel': 100.0, 'ProsentAndelDrift': 100.0}]</t>
  </si>
  <si>
    <t>[{'KdbID': 3386, 'Tittel': 'Rosså minikraftverk'}]</t>
  </si>
  <si>
    <t>Rørtveit</t>
  </si>
  <si>
    <t>HAUGSLAND JOHAN</t>
  </si>
  <si>
    <t>969807866</t>
  </si>
  <si>
    <t>035.7B4</t>
  </si>
  <si>
    <t>[{'AdressatID': 41112, 'Driftselskap': True, 'Hovedeier': True, 'Navn': 'HAUGSLAND JOHAN', 'OrgNr': 969807866, 'ProsentAndel': 100.0, 'ProsentAndelDrift': 100.0}]</t>
  </si>
  <si>
    <t>[{'KdbID': 2553, 'Tittel': 'Rørtveit minikraftverk'}]</t>
  </si>
  <si>
    <t>Rørvikbekken</t>
  </si>
  <si>
    <t>131.91</t>
  </si>
  <si>
    <t>[{'KdbID': 2275, 'Tittel': 'Mikrokraftverk i Rørvikbekken'}]</t>
  </si>
  <si>
    <t>Røssåga Mikrokraftverk</t>
  </si>
  <si>
    <t>155.C1</t>
  </si>
  <si>
    <t>[{'KdbID': 3086, 'Tittel': 'Mikrokraftverk i Røssåga'}]</t>
  </si>
  <si>
    <t>Røstad</t>
  </si>
  <si>
    <t>131.4Z</t>
  </si>
  <si>
    <t>2010-11-01T00:00:00</t>
  </si>
  <si>
    <t>[{'KdbID': 4502, 'Tittel': 'Røstad kraftverk'}]</t>
  </si>
  <si>
    <t>Innerelva</t>
  </si>
  <si>
    <t>531</t>
  </si>
  <si>
    <t>Røstefoss</t>
  </si>
  <si>
    <t>Os</t>
  </si>
  <si>
    <t>002.Q12</t>
  </si>
  <si>
    <t>1913-10-04T00:00:00</t>
  </si>
  <si>
    <t>64</t>
  </si>
  <si>
    <t>Røvassåga</t>
  </si>
  <si>
    <t>156.CAC</t>
  </si>
  <si>
    <t>[{'KdbID': 6646, 'Tittel': 'Røvassåga kraftverk'}, {'KdbID': 8420, 'Tittel': 'Røvassåga kraftverk - endret slukeevne '}]</t>
  </si>
  <si>
    <t>Røylandsfoss</t>
  </si>
  <si>
    <t>025.AD80</t>
  </si>
  <si>
    <t>2004-11-11T00:00:00</t>
  </si>
  <si>
    <t>[{'KdbID': 2171, 'Tittel': 'Røylandsfossen kraftverk'}, {'KdbID': 7561, 'Tittel': 'Røylandsfossen kraftverk - økt slukeevne'}]</t>
  </si>
  <si>
    <t>Røyrvatn</t>
  </si>
  <si>
    <t>ISE PRODUKSJON RØYRVATN AS</t>
  </si>
  <si>
    <t>914385172</t>
  </si>
  <si>
    <t>166.4C</t>
  </si>
  <si>
    <t>[{'AdressatID': 50130, 'Driftselskap': True, 'Hovedeier': True, 'Navn': 'ISE PRODUKSJON RØYRVATN AS', 'OrgNr': 914385172, 'ProsentAndel': 100.0, 'ProsentAndelDrift': 100.0}]</t>
  </si>
  <si>
    <t>[{'KdbID': 349, 'Tittel': 'Erverv, reg. av Røyrvatn og Nevervatn i forb. med Røyrvatn kraftv.'}, {'KdbID': 4013, 'Tittel': 'Foregrepet hjemfall og konsesjon nytt Røyrvatn kraftverk'}]</t>
  </si>
  <si>
    <t>elv fra Straumvatnet</t>
  </si>
  <si>
    <t>708</t>
  </si>
  <si>
    <t>Røyrvik</t>
  </si>
  <si>
    <t>085.H6</t>
  </si>
  <si>
    <t>2021-01-04T00:00:00</t>
  </si>
  <si>
    <t>[{'KdbID': 7031, 'Tittel': 'Røyrvik kraftverk'}]</t>
  </si>
  <si>
    <t>Røyrvikfoss</t>
  </si>
  <si>
    <t>307.3bc8</t>
  </si>
  <si>
    <t>1965-05-28T00:00:00</t>
  </si>
  <si>
    <t>[{'KdbID': 45, 'Tittel': 'Ytt. reg. av Vekteren i Røyrvik - Røyrvikfoss kraftv.'}, {'KdbID': 228, 'Tittel': 'Regulering av Namsvatna i Røyrvik'}, {'KdbID': 1144, 'Tittel': 'Reg. av Vekteren og Limingen - Manøvreringreglement'}]</t>
  </si>
  <si>
    <t>Råfossen</t>
  </si>
  <si>
    <t>2008-11-11T00:00:00</t>
  </si>
  <si>
    <t>[{'KdbID': 2290, 'Tittel': 'Mikrokraftverk i Hauka'}]</t>
  </si>
  <si>
    <t>Rånåsfoss</t>
  </si>
  <si>
    <t>002.D32</t>
  </si>
  <si>
    <t>[{'KdbID': 2879, 'Tittel': 'Heving av Rånåsfoss overvann'}, {'KdbID': 6925, 'Tittel': 'Rånåsfoss I utskifting av turbiner og generatorer'}]</t>
  </si>
  <si>
    <t>Råssåfoss</t>
  </si>
  <si>
    <t>111.711D</t>
  </si>
  <si>
    <t>2010-04-10T00:00:00</t>
  </si>
  <si>
    <t>[{'KdbID': 4104, 'Tittel': 'Råssåfoss kraftverk'}]</t>
  </si>
  <si>
    <t>456</t>
  </si>
  <si>
    <t>Sagabekken 1</t>
  </si>
  <si>
    <t>2006-09-18T00:00:00</t>
  </si>
  <si>
    <t>[{'KdbID': 3006, 'Tittel': 'Minikraftverk i Sagabekken'}]</t>
  </si>
  <si>
    <t>Sagabekken 2</t>
  </si>
  <si>
    <t>[{'KdbID': 4580, 'Tittel': 'Sagabekken II minikraftverk'}]</t>
  </si>
  <si>
    <t>Sagabekken 3</t>
  </si>
  <si>
    <t>[{'KdbID': 4581, 'Tittel': 'Sagabekken III minikraftverk'}]</t>
  </si>
  <si>
    <t>Sagbergfossen</t>
  </si>
  <si>
    <t>122.2B11</t>
  </si>
  <si>
    <t>1916-06-01T00:00:00</t>
  </si>
  <si>
    <t>[{'KdbID': 6088, 'Tittel': 'Sagbergfossen kraftverk'}]</t>
  </si>
  <si>
    <t>496</t>
  </si>
  <si>
    <t>Sage</t>
  </si>
  <si>
    <t>LUSTER ENERGIVERK AS</t>
  </si>
  <si>
    <t>933297292</t>
  </si>
  <si>
    <t>075.5B</t>
  </si>
  <si>
    <t>[{'AdressatID': 10453, 'Driftselskap': True, 'Hovedeier': True, 'Navn': 'LUSTER ENERGIVERK AS', 'OrgNr': 933297292, 'ProsentAndel': 100.0, 'ProsentAndelDrift': 100.0}]</t>
  </si>
  <si>
    <t>[{'KdbID': 153, 'Tittel': 'Bruksrett til og regulering av Kolstadelva'}, {'KdbID': 1043, 'Tittel': 'Bruksrett og reg. av Kolstadelv m.v.'}, {'KdbID': 1361, 'Tittel': 'Ytt. reg. av Smørviv. og Kringlev., stadf. av erverv i Kolstadelva.'}, {'KdbID': 1373, 'Tittel': 'Midl. ytt. reg. av Kringlevatn i Kolstadelva.'}, {'KdbID': 2224, 'Tittel': 'Opprusting av Sage kraftverk'}]</t>
  </si>
  <si>
    <t>Sagefoss</t>
  </si>
  <si>
    <t>025.32A</t>
  </si>
  <si>
    <t>129</t>
  </si>
  <si>
    <t>Sagefossen</t>
  </si>
  <si>
    <t>085.F2</t>
  </si>
  <si>
    <t>1986-02-02T00:00:00</t>
  </si>
  <si>
    <t>[{'KdbID': 695, 'Tittel': 'Reg., erverv mv. for bygging av to småkraftv. Sagefossen / Skogheim'}, {'KdbID': 1035, 'Tittel': 'Sagefossen og Skogheim kraftverk i Osenvassdr. - Planendring'}]</t>
  </si>
  <si>
    <t>SILJE STUEFLOTTEN</t>
  </si>
  <si>
    <t>927754835</t>
  </si>
  <si>
    <t>103.BA0</t>
  </si>
  <si>
    <t>2006-04-24T00:00:00</t>
  </si>
  <si>
    <t>[{'AdressatID': 61615, 'Driftselskap': True, 'Hovedeier': True, 'Navn': 'SILJE STUEFLOTTEN', 'OrgNr': 927754835, 'ProsentAndel': 100.0, 'ProsentAndelDrift': 100.0}]</t>
  </si>
  <si>
    <t>[{'KdbID': 3743, 'Tittel': 'Sagelva minikraftverk'}]</t>
  </si>
  <si>
    <t>SAGELVA ENERGI AS</t>
  </si>
  <si>
    <t>990236550</t>
  </si>
  <si>
    <t>2007-11-08T00:00:00</t>
  </si>
  <si>
    <t>[{'AdressatID': 42964, 'Driftselskap': True, 'Hovedeier': True, 'Navn': 'SAGELVA ENERGI AS', 'OrgNr': 990236550, 'ProsentAndel': 100.0, 'ProsentAndelDrift': 100.0}]</t>
  </si>
  <si>
    <t>[{'KdbID': 4311, 'Tittel': 'Sagelva minikraftverk'}]</t>
  </si>
  <si>
    <t>SAGELVA KRAFTVERK AS</t>
  </si>
  <si>
    <t>915311555</t>
  </si>
  <si>
    <t>124.C30</t>
  </si>
  <si>
    <t>2019-03-30T00:00:00</t>
  </si>
  <si>
    <t>[{'AdressatID': 43065, 'Driftselskap': True, 'Hovedeier': False, 'Navn': 'Brødrene Dahl A/S', 'OrgNr': 945757280, 'ProsentAndel': None, 'ProsentAndelDrift': None}, {'AdressatID': 50131, 'Driftselskap': False, 'Hovedeier': True, 'Navn': 'SAGELVA KRAFTVERK AS', 'OrgNr': 915311555, 'ProsentAndel': 100.0, 'ProsentAndelDrift': 100.0}]</t>
  </si>
  <si>
    <t>[{'KdbID': 5552, 'Tittel': 'Sagelva kraftverk'}]</t>
  </si>
  <si>
    <t>Sagelva 1</t>
  </si>
  <si>
    <t>[{'AdressatID': 40938, 'Driftselskap': True, 'Hovedeier': True, 'Navn': 'KVANNVATN KRAFT AS', 'OrgNr': 882370542, 'ProsentAndel': 100.0, 'ProsentAndelDrift': 100.0}]</t>
  </si>
  <si>
    <t>[{'KdbID': 2921, 'Tittel': 'Minikraftverk i Sagelva'}, {'KdbID': 4094, 'Tittel': 'Reg. av Kvannevann og utvidelse av Sagelva 1 og 2'}]</t>
  </si>
  <si>
    <t>Sagelva 2</t>
  </si>
  <si>
    <t>[{'KdbID': 3108, 'Tittel': 'Minikraftverk i Sagelva'}, {'KdbID': 4094, 'Tittel': 'Reg. av Kvannevann og utvidelse av Sagelva 1 og 2'}]</t>
  </si>
  <si>
    <t>Sagelvi</t>
  </si>
  <si>
    <t>079.31</t>
  </si>
  <si>
    <t>[{'KdbID': 4601, 'Tittel': 'Sagelvi kraftverk'}]</t>
  </si>
  <si>
    <t>303</t>
  </si>
  <si>
    <t>Sagevikelv</t>
  </si>
  <si>
    <t>SAGEVIKELV KRAFT AS</t>
  </si>
  <si>
    <t>985384045</t>
  </si>
  <si>
    <t>083.1Z</t>
  </si>
  <si>
    <t>2004-02-01T00:00:00</t>
  </si>
  <si>
    <t>[{'AdressatID': 41094, 'Driftselskap': True, 'Hovedeier': True, 'Navn': 'SAGEVIKELV KRAFT AS', 'OrgNr': 985384045, 'ProsentAndel': 100.0, 'ProsentAndelDrift': 100.0}]</t>
  </si>
  <si>
    <t>[{'KdbID': 3134, 'Tittel': 'Sagevikelv kraftverk'}]</t>
  </si>
  <si>
    <t>Bjørvikelva</t>
  </si>
  <si>
    <t>336</t>
  </si>
  <si>
    <t>Sagfossen</t>
  </si>
  <si>
    <t>170.A</t>
  </si>
  <si>
    <t>1979-11-20T00:00:00</t>
  </si>
  <si>
    <t>[{'KdbID': 213, 'Tittel': 'Regulering av Rotvatn og Strindvatn, erverv av fall i Sagelvvassdr.'}, {'KdbID': 749, 'Tittel': 'Erverv av fall i Sagelv- og Muskenvassdragene, Slunkajavrre krv'}]</t>
  </si>
  <si>
    <t>LØVENSKIOLD-VÆKERØ Carl Otto Løvenskiold</t>
  </si>
  <si>
    <t>971083107</t>
  </si>
  <si>
    <t>002.CD120</t>
  </si>
  <si>
    <t>2008-04-16T00:00:00</t>
  </si>
  <si>
    <t>[{'AdressatID': 43212, 'Driftselskap': True, 'Hovedeier': True, 'Navn': 'LØVENSKIOLD-VÆKERØ Carl Otto Løvenskiold', 'OrgNr': 971083107, 'ProsentAndel': 100.0, 'ProsentAndelDrift': 100.0}]</t>
  </si>
  <si>
    <t>1988-10-26T00:00:00</t>
  </si>
  <si>
    <t>Sagnfossen</t>
  </si>
  <si>
    <t>311.B2</t>
  </si>
  <si>
    <t>2004-11-24T00:00:00</t>
  </si>
  <si>
    <t>[{'KdbID': 680, 'Tittel': 'Overdragelse av konsesjoner og nye ervervskonsesjoner til Lutufallet, Brødbølfoss og Sandkilfossen '}, {'KdbID': 940, 'Tittel': 'Erverv av vann- og grunnrettigheter i Sagnfossen i Trysil'}, {'KdbID': 977, 'Tittel': 'Erverv av vann- og grunn i Sagnfossen - Kons. på ubegrenset tid'}, {'KdbID': 1340, 'Tittel': 'Stadf. erverv av rettigheter i Sagnfossen i Trysilelva'}, {'KdbID': 2637, 'Tittel': 'Opprusting og utvidelse av Sagnfossen kraftverk i Trysilvassdraget'}]</t>
  </si>
  <si>
    <t>Sagåna</t>
  </si>
  <si>
    <t>032.4E</t>
  </si>
  <si>
    <t>2021-11-29T00:00:00</t>
  </si>
  <si>
    <t>[{'KdbID': 6229, 'Tittel': 'Sagåna kraftverk'}]</t>
  </si>
  <si>
    <t>Sajå</t>
  </si>
  <si>
    <t>SAJÅ KRAFT AS</t>
  </si>
  <si>
    <t>979894791</t>
  </si>
  <si>
    <t>[{'AdressatID': 25516, 'Driftselskap': True, 'Hovedeier': True, 'Navn': 'SAJÅ KRAFT AS', 'OrgNr': 979894791, 'ProsentAndel': 100.0, 'ProsentAndelDrift': 100.0}]</t>
  </si>
  <si>
    <t>[{'KdbID': 3074, 'Tittel': 'Mikrokraftverk i Ikdalselva'}]</t>
  </si>
  <si>
    <t>Sakrisåga</t>
  </si>
  <si>
    <t>[{'KdbID': 3083, 'Tittel': 'Minikraftverk i Sakrisåga'}]</t>
  </si>
  <si>
    <t>Saksenvik</t>
  </si>
  <si>
    <t>SAKSENVIK KRAFT AS</t>
  </si>
  <si>
    <t>980411060</t>
  </si>
  <si>
    <t>163.5Z</t>
  </si>
  <si>
    <t>2012-05-22T00:00:00</t>
  </si>
  <si>
    <t>[{'AdressatID': 43231, 'Driftselskap': True, 'Hovedeier': True, 'Navn': 'SAKSENVIK KRAFT AS', 'OrgNr': 980411060, 'ProsentAndel': 100.0, 'ProsentAndelDrift': 100.0}]</t>
  </si>
  <si>
    <t>[{'KdbID': 3137, 'Tittel': 'Saksenvik småkraftverk'}]</t>
  </si>
  <si>
    <t>Saksenvikelva</t>
  </si>
  <si>
    <t>696</t>
  </si>
  <si>
    <t>Salen Mikrokraftverk</t>
  </si>
  <si>
    <t>Salhuselva</t>
  </si>
  <si>
    <t>SALHUSELVA KRAFT AS</t>
  </si>
  <si>
    <t>922643172</t>
  </si>
  <si>
    <t>168.6B</t>
  </si>
  <si>
    <t>[{'AdressatID': 43794, 'Driftselskap': True, 'Hovedeier': False, 'Navn': 'CLEMENS KRAFT AS', 'OrgNr': 912511480, 'ProsentAndel': None, 'ProsentAndelDrift': None}, {'AdressatID': 60199, 'Driftselskap': False, 'Hovedeier': True, 'Navn': 'SALHUSELVA KRAFT AS', 'OrgNr': 922643172, 'ProsentAndel': 100.0, 'ProsentAndelDrift': 100.0}]</t>
  </si>
  <si>
    <t>[{'KdbID': 2828, 'Tittel': 'Salhuselva kraftverk'}]</t>
  </si>
  <si>
    <t>elv fra Hopvatnet</t>
  </si>
  <si>
    <t>718</t>
  </si>
  <si>
    <t>Salsbruket</t>
  </si>
  <si>
    <t>141.A0</t>
  </si>
  <si>
    <t>Saltdalelva</t>
  </si>
  <si>
    <t>198.72</t>
  </si>
  <si>
    <t>[{'KdbID': 4848, 'Tittel': 'Saltdalelva kraftverk'}, {'KdbID': 6722, 'Tittel': 'Saltdalelva kraftverk'}]</t>
  </si>
  <si>
    <t>Saltåno</t>
  </si>
  <si>
    <t>SALTÅNO KRAFT AS</t>
  </si>
  <si>
    <t>990765359</t>
  </si>
  <si>
    <t>042.32Z</t>
  </si>
  <si>
    <t>2011-04-05T00:00:00</t>
  </si>
  <si>
    <t>[{'AdressatID': 42922, 'Driftselskap': True, 'Hovedeier': True, 'Navn': 'SALTÅNO KRAFT AS', 'OrgNr': 990765359, 'ProsentAndel': 100.0, 'ProsentAndelDrift': 100.0}]</t>
  </si>
  <si>
    <t>[{'KdbID': 3310, 'Tittel': 'Saltåna minikraftverk'}]</t>
  </si>
  <si>
    <t>Saltåna</t>
  </si>
  <si>
    <t>Salvasskardelva</t>
  </si>
  <si>
    <t>196.AC7C0</t>
  </si>
  <si>
    <t>2021-02-25T00:00:00</t>
  </si>
  <si>
    <t>[{'KdbID': 6948, 'Tittel': 'Salvasskardelva kraftverk'}]</t>
  </si>
  <si>
    <t>Sama</t>
  </si>
  <si>
    <t>122.AC4</t>
  </si>
  <si>
    <t>1979-05-12T00:00:00</t>
  </si>
  <si>
    <t>[{'KdbID': 280, 'Tittel': 'Regulering av Håen i Lundesokna og reg. og overf. av Holtsjøen'}, {'KdbID': 328, 'Tittel': 'Utbygging og erverv av Sama i Lundesokna mellom Samsjøen og Håen'}, {'KdbID': 448, 'Tittel': 'Overføring av Hukla og Kusma til Lundesokna'}, {'KdbID': 1934, 'Tittel': 'Ekspropriasjon av fallrettigheter i Lundesokna.'}, {'KdbID': 6812, 'Tittel': 'Revisjon av konsesjonsvilkår for reguleringer i Lundesokna og Holta'}]</t>
  </si>
  <si>
    <t>Sand</t>
  </si>
  <si>
    <t>SULDAL ELVERK AS</t>
  </si>
  <si>
    <t>921996829</t>
  </si>
  <si>
    <t>036.A10</t>
  </si>
  <si>
    <t>2007-08-22T00:00:00</t>
  </si>
  <si>
    <t>[{'AdressatID': 53401, 'Driftselskap': True, 'Hovedeier': True, 'Navn': 'SULDAL ELVERK AS', 'OrgNr': 921996829, 'ProsentAndel': 100.0, 'ProsentAndelDrift': 100.0}]</t>
  </si>
  <si>
    <t>[{'KdbID': 2255, 'Tittel': 'Regulering av Hiimsvatn og o/u av Sand kraftverk'}, {'KdbID': 9746, 'Tittel': 'Søknad - Midlertidig fravik fra manøvreringsreglementet - Sand\xa0kraftverk\xa0-\xa0SULDAL ELVERK AS - Fravik fra minstevannføring;  - 25.08.2025 til 30.09.2025- Referansenr:BZGBJE'}]</t>
  </si>
  <si>
    <t>Sandal og Fossheim</t>
  </si>
  <si>
    <t>SANDAL &amp; FOSSHEIM KRAFT AS</t>
  </si>
  <si>
    <t>985569851</t>
  </si>
  <si>
    <t>087.CB2Z</t>
  </si>
  <si>
    <t>2004-04-21T00:00:00</t>
  </si>
  <si>
    <t>[{'AdressatID': 41096, 'Driftselskap': True, 'Hovedeier': True, 'Navn': 'SANDAL &amp; FOSSHEIM KRAFT AS', 'OrgNr': 985569851, 'ProsentAndel': None, 'ProsentAndelDrift': 100.0}, {'AdressatID': 42738, 'Driftselskap': False, 'Hovedeier': False, 'Navn': 'UKJENT', 'OrgNr': None, 'ProsentAndel': 48.8, 'ProsentAndelDrift': None}, {'AdressatID': 43021, 'Driftselskap': False, 'Hovedeier': False, 'Navn': 'NYDALSELVA KRAFT AS', 'OrgNr': 893040412, 'ProsentAndel': 51.2, 'ProsentAndelDrift': None}]</t>
  </si>
  <si>
    <t>[{'KdbID': 3277, 'Tittel': 'Sandal småkraftverk'}]</t>
  </si>
  <si>
    <t>Sanddal</t>
  </si>
  <si>
    <t>2007-12-16T00:00:00</t>
  </si>
  <si>
    <t>[{'KdbID': 4197, 'Tittel': 'Sanddal kraftverk'}]</t>
  </si>
  <si>
    <t>Sandneselva</t>
  </si>
  <si>
    <t>[{'KdbID': 2729, 'Tittel': 'Sandnes mikrokraftverk'}]</t>
  </si>
  <si>
    <t>067.10</t>
  </si>
  <si>
    <t>[{'KdbID': 5604, 'Tittel': 'Sandneselva kraftverk'}]</t>
  </si>
  <si>
    <t>Sandvand</t>
  </si>
  <si>
    <t>026.D1B</t>
  </si>
  <si>
    <t>2020-03-25T00:00:00</t>
  </si>
  <si>
    <t>[{'KdbID': 5975, 'Tittel': 'Sandvand kraftverk'}]</t>
  </si>
  <si>
    <t>Sandvik</t>
  </si>
  <si>
    <t>SANDVIK KRAFTVERK AS</t>
  </si>
  <si>
    <t>918982515</t>
  </si>
  <si>
    <t>038.42</t>
  </si>
  <si>
    <t>2018-03-14T00:00:00</t>
  </si>
  <si>
    <t>[{'AdressatID': 43017, 'Driftselskap': False, 'Hovedeier': False, 'Navn': 'KAMBO ENERGI AS', 'OrgNr': 992529970, 'ProsentAndel': 100.0, 'ProsentAndelDrift': None}, {'AdressatID': 51637, 'Driftselskap': True, 'Hovedeier': True, 'Navn': 'SANDVIK KRAFTVERK AS', 'OrgNr': 918982515, 'ProsentAndel': None, 'ProsentAndelDrift': 100.0}]</t>
  </si>
  <si>
    <t>[{'KdbID': 5202, 'Tittel': 'Sandvik kraftverk'}]</t>
  </si>
  <si>
    <t>Sarp</t>
  </si>
  <si>
    <t>002.A51</t>
  </si>
  <si>
    <t>[{'AdressatID': 10242, 'Driftselskap': True, 'Hovedeier': True, 'Navn': 'HAFSLUND KRAFT AS', 'OrgNr': 976894677, 'ProsentAndel': None, 'ProsentAndelDrift': 50.0}, {'AdressatID': 11075, 'Driftselskap': False, 'Hovedeier': False, 'Navn': 'SARPSFOSS LIMITED NUF', 'OrgNr': 916694385, 'ProsentAndel': 50.0, 'ProsentAndelDrift': 50.0}, {'AdressatID': 40552, 'Driftselskap': False, 'Hovedeier': False, 'Navn': 'SARP KRAFTSTASJON AS', 'OrgNr': 943646465, 'ProsentAndel': 50.0, 'ProsentAndelDrift': None}]</t>
  </si>
  <si>
    <t>Saupstadfossen</t>
  </si>
  <si>
    <t>180.52Z</t>
  </si>
  <si>
    <t>Saupstadvassdraget</t>
  </si>
  <si>
    <t>Saurdal</t>
  </si>
  <si>
    <t>036.B1B</t>
  </si>
  <si>
    <t>1985-10-19T00:00:00</t>
  </si>
  <si>
    <t>Savalen</t>
  </si>
  <si>
    <t>Alvdal</t>
  </si>
  <si>
    <t>002.N21</t>
  </si>
  <si>
    <t>1971-09-14T00:00:00</t>
  </si>
  <si>
    <t>[{'KdbID': 7656, 'Tittel': 'Revisjon av konsesjonsvilkår for regulering av Savalen, Fundin og for delvis overføring av Glomma til Rendalen'}]</t>
  </si>
  <si>
    <t>Scheldefoss</t>
  </si>
  <si>
    <t>1994-09-03T00:00:00</t>
  </si>
  <si>
    <t>Segadal</t>
  </si>
  <si>
    <t>SEGADAL KRAFT AS</t>
  </si>
  <si>
    <t>925613029</t>
  </si>
  <si>
    <t>035.42Z</t>
  </si>
  <si>
    <t>2024-12-19T00:00:00</t>
  </si>
  <si>
    <t>[{'AdressatID': 63329, 'Driftselskap': True, 'Hovedeier': True, 'Navn': 'SEGADAL KRAFT AS', 'OrgNr': 925613029, 'ProsentAndel': 100.0, 'ProsentAndelDrift': 100.0}]</t>
  </si>
  <si>
    <t>[{'KdbID': 6832, 'Tittel': 'Segadal kraftverk '}]</t>
  </si>
  <si>
    <t>Segadalsåna</t>
  </si>
  <si>
    <t>Seimsdal</t>
  </si>
  <si>
    <t>SEIMSDAL KRAFT AS</t>
  </si>
  <si>
    <t>988457434</t>
  </si>
  <si>
    <t>074.4A4</t>
  </si>
  <si>
    <t>[{'AdressatID': 42467, 'Driftselskap': True, 'Hovedeier': True, 'Navn': 'SEIMSDAL KRAFT AS', 'OrgNr': 988457434, 'ProsentAndel': 100.0, 'ProsentAndelDrift': 100.0}]</t>
  </si>
  <si>
    <t>[{'KdbID': 4754, 'Tittel': 'Seimsdal kraftverk (Øyni kraftverk)'}]</t>
  </si>
  <si>
    <t>Seimsdalselvi</t>
  </si>
  <si>
    <t>300</t>
  </si>
  <si>
    <t>Sekkelva</t>
  </si>
  <si>
    <t>052.53</t>
  </si>
  <si>
    <t>2015-11-24T00:00:00</t>
  </si>
  <si>
    <t>[{'KdbID': 5564, 'Tittel': 'Sekkelva minikraftverk'}]</t>
  </si>
  <si>
    <t>Selland</t>
  </si>
  <si>
    <t>SVEINUNG MEDÅS SELLAND</t>
  </si>
  <si>
    <t>983895417</t>
  </si>
  <si>
    <t>[{'AdressatID': 50158, 'Driftselskap': True, 'Hovedeier': True, 'Navn': 'SVEINUNG MEDÅS SELLAND', 'OrgNr': 983895417, 'ProsentAndel': 100.0, 'ProsentAndelDrift': 100.0}]</t>
  </si>
  <si>
    <t>[{'KdbID': 7689, 'Tittel': 'Selland mikrokraftverk'}]</t>
  </si>
  <si>
    <t>Selselva</t>
  </si>
  <si>
    <t>SELSELVA KRAFT AS</t>
  </si>
  <si>
    <t>995897695</t>
  </si>
  <si>
    <t>083.22Z</t>
  </si>
  <si>
    <t>2016-05-16T00:00:00</t>
  </si>
  <si>
    <t>[{'AdressatID': 50343, 'Driftselskap': True, 'Hovedeier': True, 'Navn': 'SELSELVA KRAFT AS', 'OrgNr': 995897695, 'ProsentAndel': 100.0, 'ProsentAndelDrift': 100.0}]</t>
  </si>
  <si>
    <t>[{'KdbID': 5064, 'Tittel': 'Selselva kraftverk'}]</t>
  </si>
  <si>
    <t>Senneset</t>
  </si>
  <si>
    <t>080.21C</t>
  </si>
  <si>
    <t>2021-09-26T00:00:00</t>
  </si>
  <si>
    <t>[{'KdbID': 2910, 'Tittel': 'Senneset kraftverk'}]</t>
  </si>
  <si>
    <t>Ytredalselva</t>
  </si>
  <si>
    <t>Sesselva</t>
  </si>
  <si>
    <t>SESSKRAFT AS</t>
  </si>
  <si>
    <t>992667125</t>
  </si>
  <si>
    <t>102.62Z</t>
  </si>
  <si>
    <t>2016-09-08T00:00:00</t>
  </si>
  <si>
    <t>[{'AdressatID': 42951, 'Driftselskap': True, 'Hovedeier': True, 'Navn': 'SESSKRAFT AS', 'OrgNr': 992667125, 'ProsentAndel': 100.0, 'ProsentAndelDrift': 100.0}]</t>
  </si>
  <si>
    <t>[{'KdbID': 5810, 'Tittel': 'Sesselva kraftverk'}]</t>
  </si>
  <si>
    <t>428</t>
  </si>
  <si>
    <t>Seterfossen</t>
  </si>
  <si>
    <t>SETERFOSSEN KRAFTVERK AS</t>
  </si>
  <si>
    <t>923172068</t>
  </si>
  <si>
    <t>139.E4E</t>
  </si>
  <si>
    <t>[{'AdressatID': 61387, 'Driftselskap': True, 'Hovedeier': True, 'Navn': 'SETERFOSSEN KRAFTVERK AS', 'OrgNr': 923172068, 'ProsentAndel': 100.0, 'ProsentAndelDrift': 100.0}]</t>
  </si>
  <si>
    <t>[{'KdbID': 5586, 'Tittel': 'Seterfossen kraftverk'}]</t>
  </si>
  <si>
    <t>Setergrytå</t>
  </si>
  <si>
    <t>112.B0</t>
  </si>
  <si>
    <t>2024-10-31T00:00:00</t>
  </si>
  <si>
    <t>[{'AdressatID': 10486, 'Driftselskap': True, 'Hovedeier': False, 'Navn': 'SVORKA ENERGI AS', 'OrgNr': 919763159, 'ProsentAndel': None, 'ProsentAndelDrift': None}, {'AdressatID': 58053, 'Driftselskap': False, 'Hovedeier': True, 'Navn': 'SVORKA SMÅKRAFT AS', 'OrgNr': 924428007, 'ProsentAndel': 100.0, 'ProsentAndelDrift': 100.0}]</t>
  </si>
  <si>
    <t>[{'KdbID': 4045, 'Tittel': 'Setergrytå kraftverk'}, {'KdbID': 7120, 'Tittel': 'Setergrytå kraftverk'}]</t>
  </si>
  <si>
    <t>Seterkraft</t>
  </si>
  <si>
    <t>109.4AB4</t>
  </si>
  <si>
    <t>2014-05-25T00:00:00</t>
  </si>
  <si>
    <t>[{'KdbID': 5623, 'Tittel': 'Kraftverk i Gaudalselva - Seterkraft'}]</t>
  </si>
  <si>
    <t>Seteråa</t>
  </si>
  <si>
    <t>SETERÅA KRAFT AS</t>
  </si>
  <si>
    <t>988677035</t>
  </si>
  <si>
    <t>123.D61</t>
  </si>
  <si>
    <t>2006-10-20T00:00:00</t>
  </si>
  <si>
    <t>[{'AdressatID': 42719, 'Driftselskap': True, 'Hovedeier': True, 'Navn': 'SETERÅA KRAFT AS', 'OrgNr': 988677035, 'ProsentAndel': 100.0, 'ProsentAndelDrift': 100.0}]</t>
  </si>
  <si>
    <t>[{'KdbID': 4238, 'Tittel': 'Seteråa minikraftverk'}]</t>
  </si>
  <si>
    <t>Setredalen</t>
  </si>
  <si>
    <t>SETREDALEN KRAFT AS</t>
  </si>
  <si>
    <t>995773570</t>
  </si>
  <si>
    <t>086.5AB</t>
  </si>
  <si>
    <t>2019-03-06T00:00:00</t>
  </si>
  <si>
    <t>[{'AdressatID': 43290, 'Driftselskap': True, 'Hovedeier': True, 'Navn': 'SETREDALEN KRAFT AS', 'OrgNr': 995773570, 'ProsentAndel': 100.0, 'ProsentAndelDrift': 100.0}]</t>
  </si>
  <si>
    <t>[{'KdbID': 4109, 'Tittel': 'Sætredalen kraftverk, regulering av Sætredalsvatnet, overføring av Heimste tverrelva til Ytste Tverrelva'}, {'KdbID': 8034, 'Tittel': 'Sætredalen kraftverk - planendring'}]</t>
  </si>
  <si>
    <t>359</t>
  </si>
  <si>
    <t>Sevre</t>
  </si>
  <si>
    <t>SEVRE KRAFTVERK AS</t>
  </si>
  <si>
    <t>989883488</t>
  </si>
  <si>
    <t>012.CCZ</t>
  </si>
  <si>
    <t>[{'AdressatID': 42494, 'Driftselskap': True, 'Hovedeier': True, 'Navn': 'SEVRE KRAFTVERK AS', 'OrgNr': 989883488, 'ProsentAndel': 100.0, 'ProsentAndelDrift': 100.0}]</t>
  </si>
  <si>
    <t>[{'KdbID': 4235, 'Tittel': 'Sævre småkraftverk'}, {'KdbID': 7446, 'Tittel': 'Sevre kraftverk'}]</t>
  </si>
  <si>
    <t>92</t>
  </si>
  <si>
    <t>Sigdestad</t>
  </si>
  <si>
    <t>SIGDESTAD KRAFTVERK AS</t>
  </si>
  <si>
    <t>917886202</t>
  </si>
  <si>
    <t>086.5A</t>
  </si>
  <si>
    <t>2018-06-28T00:00:00</t>
  </si>
  <si>
    <t>[{'AdressatID': 40394, 'Driftselskap': True, 'Hovedeier': False, 'Navn': 'SMÅKRAFT AS', 'OrgNr': 984616155, 'ProsentAndel': None, 'ProsentAndelDrift': None}, {'AdressatID': 42738, 'Driftselskap': False, 'Hovedeier': False, 'Navn': 'UKJENT', 'OrgNr': None, 'ProsentAndel': None, 'ProsentAndelDrift': None}, {'AdressatID': 50566, 'Driftselskap': False, 'Hovedeier': True, 'Navn': 'SIGDESTAD KRAFTVERK AS', 'OrgNr': 917886202, 'ProsentAndel': 100.0, 'ProsentAndelDrift': 100.0}]</t>
  </si>
  <si>
    <t>[{'KdbID': 7041, 'Tittel': 'Sigdestad kraftverk'}]</t>
  </si>
  <si>
    <t>Sikkajokk</t>
  </si>
  <si>
    <t>206.52Z</t>
  </si>
  <si>
    <t>2010-12-23T00:00:00</t>
  </si>
  <si>
    <t>[{'KdbID': 124, 'Tittel': 'Erverv og regulering av Sikkajokkvassdraget'}, {'KdbID': 2885, 'Tittel': 'Endring av vilkår i tillatelse for erv./reg. av Sikkajokkvdr'}]</t>
  </si>
  <si>
    <t>Sikkajåkka</t>
  </si>
  <si>
    <t>824</t>
  </si>
  <si>
    <t>Sikkilsdalseter</t>
  </si>
  <si>
    <t>LANDBRUKS- OG MATDEPARTEMENTET</t>
  </si>
  <si>
    <t>972417874</t>
  </si>
  <si>
    <t>002.DFBCC</t>
  </si>
  <si>
    <t>[{'AdressatID': 10021, 'Driftselskap': True, 'Hovedeier': True, 'Navn': 'LANDBRUKS- OG MATDEPARTEMENTET', 'OrgNr': 972417874, 'ProsentAndel': 100.0, 'ProsentAndelDrift': 100.0}]</t>
  </si>
  <si>
    <t>Sildhopen</t>
  </si>
  <si>
    <t>NORDLAKS SMOLT AS</t>
  </si>
  <si>
    <t>991193332</t>
  </si>
  <si>
    <t>168.4A</t>
  </si>
  <si>
    <t>2010-02-11T00:00:00</t>
  </si>
  <si>
    <t>[{'AdressatID': 43500, 'Driftselskap': True, 'Hovedeier': True, 'Navn': 'NORDLAKS SMOLT AS', 'OrgNr': 991193332, 'ProsentAndel': 100.0, 'ProsentAndelDrift': 100.0}]</t>
  </si>
  <si>
    <t>[{'KdbID': 3809, 'Tittel': 'Vannuttak og regulering Sildhopvatnet'}]</t>
  </si>
  <si>
    <t>Sildvik</t>
  </si>
  <si>
    <t>174.33A</t>
  </si>
  <si>
    <t>1982-01-15T00:00:00</t>
  </si>
  <si>
    <t>[{'KdbID': 161, 'Tittel': 'Erverv, regulering, overføring m.v. for utb. av Sildvik kraftanlegg'}]</t>
  </si>
  <si>
    <t>Indre sildvikelva</t>
  </si>
  <si>
    <t>742</t>
  </si>
  <si>
    <t>Simavik</t>
  </si>
  <si>
    <t>TROMSØ KOMMUNE - VANN OG AVLØP</t>
  </si>
  <si>
    <t>974567253</t>
  </si>
  <si>
    <t>200.4</t>
  </si>
  <si>
    <t>2015-05-21T00:00:00</t>
  </si>
  <si>
    <t>[{'AdressatID': 60492, 'Driftselskap': True, 'Hovedeier': True, 'Navn': 'TROMSØ KOMMUNE - VANN OG AVLØP', 'OrgNr': 974567253, 'ProsentAndel': 100.0, 'ProsentAndelDrift': 100.0}]</t>
  </si>
  <si>
    <t>[{'KdbID': 5699, 'Tittel': 'Simavika kraftverk'}]</t>
  </si>
  <si>
    <t>Simsfossen</t>
  </si>
  <si>
    <t>122.1A</t>
  </si>
  <si>
    <t>1921-01-01T00:00:00</t>
  </si>
  <si>
    <t>Siplo</t>
  </si>
  <si>
    <t>079.AAB</t>
  </si>
  <si>
    <t>Sireåne</t>
  </si>
  <si>
    <t>SIREÅNE KRAFT DA</t>
  </si>
  <si>
    <t>985982015</t>
  </si>
  <si>
    <t>012.CE30</t>
  </si>
  <si>
    <t>[{'AdressatID': 43772, 'Driftselskap': True, 'Hovedeier': True, 'Navn': 'SIREÅNE KRAFT DA', 'OrgNr': 985982015, 'ProsentAndel': 100.0, 'ProsentAndelDrift': 100.0}]</t>
  </si>
  <si>
    <t>[{'KdbID': 2460, 'Tittel': 'Mikrokraftverk Sireåne'}]</t>
  </si>
  <si>
    <t>Sirkelvann</t>
  </si>
  <si>
    <t>174.4B8</t>
  </si>
  <si>
    <t>1999-06-01T00:00:00</t>
  </si>
  <si>
    <t>[{'KdbID': 2281, 'Tittel': 'Sirkelvatn minikraftverk'}]</t>
  </si>
  <si>
    <t>Siso</t>
  </si>
  <si>
    <t>166.4B</t>
  </si>
  <si>
    <t>1968-09-07T00:00:00</t>
  </si>
  <si>
    <t>[{'KdbID': 440, 'Tittel': 'Erverv og regulering av Fagerbakkvassdraget (Siso) m.v. i Fauske'}, {'KdbID': 467, 'Tittel': 'Regulering av Fagerbakkvassdraget - Planendring og ytterl. reg.'}]</t>
  </si>
  <si>
    <t>709</t>
  </si>
  <si>
    <t>Sjona</t>
  </si>
  <si>
    <t>157.1Z</t>
  </si>
  <si>
    <t>1973-12-02T00:00:00</t>
  </si>
  <si>
    <t>[{'KdbID': 845, 'Tittel': 'Erverv. regulering og overføring av Holmvassdraget i Rana'}, {'KdbID': 2711, 'Tittel': 'Reg./overf. m.v. Isvatn, Lille Isvatn, Trolldalselva, Rundtuvvatn'}]</t>
  </si>
  <si>
    <t>Sjøfossen</t>
  </si>
  <si>
    <t>2020-08-21T00:00:00</t>
  </si>
  <si>
    <t>[{'KdbID': 7842, 'Tittel': 'Sjøfossen kraftverk'}]</t>
  </si>
  <si>
    <t>Sjølingstad Uldvarefabrikk</t>
  </si>
  <si>
    <t>AS SJØLINGSTAD ULDVAREFABRIK</t>
  </si>
  <si>
    <t>915873537</t>
  </si>
  <si>
    <t>022.4B</t>
  </si>
  <si>
    <t>[{'AdressatID': 11934, 'Driftselskap': True, 'Hovedeier': True, 'Navn': 'AS SJØLINGSTAD ULDVAREFABRIK', 'OrgNr': 915873537, 'ProsentAndel': 100.0, 'ProsentAndelDrift': 100.0}]</t>
  </si>
  <si>
    <t>[{'KdbID': 3271, 'Tittel': 'Økt regulering av Stuvann'}]</t>
  </si>
  <si>
    <t>Skjøllungstadbekken</t>
  </si>
  <si>
    <t>Sjølset</t>
  </si>
  <si>
    <t>SJØLSETKRAFT AS</t>
  </si>
  <si>
    <t>992355166</t>
  </si>
  <si>
    <t>109.4A0</t>
  </si>
  <si>
    <t>2009-12-21T00:00:00</t>
  </si>
  <si>
    <t>[{'AdressatID': 42699, 'Driftselskap': True, 'Hovedeier': True, 'Navn': 'SJØLSETKRAFT AS', 'OrgNr': 992355166, 'ProsentAndel': 100.0, 'ProsentAndelDrift': 100.0}]</t>
  </si>
  <si>
    <t>[{'KdbID': 5134, 'Tittel': 'Sjølset kraftverk'}]</t>
  </si>
  <si>
    <t>Sjønstå</t>
  </si>
  <si>
    <t>164.B42</t>
  </si>
  <si>
    <t>1983-11-01T00:00:00</t>
  </si>
  <si>
    <t>[{'KdbID': 35, 'Tittel': 'Overføring av Tverrelva til Sjønstå kraftverk'}, {'KdbID': 404, 'Tittel': 'Erverv og regulering i Lomivassdraget i Fauske'}, {'KdbID': 675, 'Tittel': 'Erverv og utbygging av Sjønstå kraftverk i Sulitjelmavassdraget'}]</t>
  </si>
  <si>
    <t>SULITJELMAVASSDRAGET</t>
  </si>
  <si>
    <t>Skagen</t>
  </si>
  <si>
    <t>[{'KdbID': 85, 'Tittel': 'Erverv og reg. av Fortun-Grandfastavassdragene m.v.'}, {'KdbID': 8786, 'Tittel': 'Midlertidig fravik fra manøvreringsreglementet - Tapping av Øvre og Nedre Grønevatn under LRV\xa0-\xa0HYDRO ENERGI AS - 19.04.2022 til 01.05.2022- Referansenr: WFBFJJ'}, {'KdbID': 9056, 'Tittel': 'Midlertidig fravik fra manøvreringsreglementet - Skagen\xa0kraftverk\xa0-\xa0HYDRO ENERGI AS - Fravik fra minstevannføring;Annet;  - 26.12.2024 til 15.04.2025- Referansenr:IGUWCT'}, {'KdbID': 9752, 'Tittel': 'Søknad - Midlertidig fravik fra manøvreringsreglementet - Skagen\xa0kraftverk\xa0-\xa0HYDRO ENERGI AS - Tapping under LRV ;  - 15.12.2025 til 25.02.2026- Referansenr:RNUKNL'}]</t>
  </si>
  <si>
    <t>Skar</t>
  </si>
  <si>
    <t>111.4B</t>
  </si>
  <si>
    <t>1920-12-09T00:00:00</t>
  </si>
  <si>
    <t>[{'KdbID': 925, 'Tittel': 'Regulering av Skarvassdraget'}, {'KdbID': 2503, 'Tittel': 'Ombygging av Skar kraftverk i Skarselva'}]</t>
  </si>
  <si>
    <t>453</t>
  </si>
  <si>
    <t>Skarelva</t>
  </si>
  <si>
    <t>173.6A</t>
  </si>
  <si>
    <t>[{'KdbID': 4396, 'Tittel': 'Skarelva kraftverk'}]</t>
  </si>
  <si>
    <t>722</t>
  </si>
  <si>
    <t>Skarg</t>
  </si>
  <si>
    <t>021.GB111</t>
  </si>
  <si>
    <t>2014-06-10T00:00:00</t>
  </si>
  <si>
    <t>[{'KdbID': 575, 'Tittel': 'Div. overf. til Brokke kr.v. og erverv av fall Skarg kraftverk'}]</t>
  </si>
  <si>
    <t>Skarje</t>
  </si>
  <si>
    <t>021.GB11C</t>
  </si>
  <si>
    <t>Skarsfjord</t>
  </si>
  <si>
    <t>200.5D</t>
  </si>
  <si>
    <t>[{'KdbID': 743, 'Tittel': 'Overdragelse av reguleringstillatelser m.v. - Troms kraftforsyning'}, {'KdbID': 3626, 'Tittel': 'Tilleggsoverføring til Skarsfjord kraftverk, Troms'}]</t>
  </si>
  <si>
    <t>Nordkjoselva</t>
  </si>
  <si>
    <t>805</t>
  </si>
  <si>
    <t>Skaråa</t>
  </si>
  <si>
    <t>SKARÅA KRAFT AS</t>
  </si>
  <si>
    <t>922913501</t>
  </si>
  <si>
    <t>121.B2B</t>
  </si>
  <si>
    <t>[{'AdressatID': 53309, 'Driftselskap': True, 'Hovedeier': True, 'Navn': 'SKARÅA KRAFT AS', 'OrgNr': 922913501, 'ProsentAndel': 100.0, 'ProsentAndelDrift': 100.0}]</t>
  </si>
  <si>
    <t>[{'KdbID': 2643, 'Tittel': 'Frilsjøen mikrokraftverk'}]</t>
  </si>
  <si>
    <t>Skauma</t>
  </si>
  <si>
    <t>KVIKNE-RENNEBU KRAFTLAG AS</t>
  </si>
  <si>
    <t>955664361</t>
  </si>
  <si>
    <t>121.C4</t>
  </si>
  <si>
    <t>[{'AdressatID': 10506, 'Driftselskap': True, 'Hovedeier': True, 'Navn': 'KVIKNE-RENNEBU KRAFTLAG AS', 'OrgNr': 955664361, 'ProsentAndel': 100.0, 'ProsentAndelDrift': 100.0}]</t>
  </si>
  <si>
    <t>[{'KdbID': 2330, 'Tittel': 'Skauma minikraftverk'}]</t>
  </si>
  <si>
    <t>Skeidsflåten</t>
  </si>
  <si>
    <t>SKEIDSFLÅTEN KRAFT AS</t>
  </si>
  <si>
    <t>911605260</t>
  </si>
  <si>
    <t>078.2B</t>
  </si>
  <si>
    <t>2020-05-20T00:00:00</t>
  </si>
  <si>
    <t>[{'AdressatID': 50532, 'Driftselskap': True, 'Hovedeier': True, 'Navn': 'SKEIDSFLÅTEN KRAFT AS', 'OrgNr': 911605260, 'ProsentAndel': 100.0, 'ProsentAndelDrift': 100.0}]</t>
  </si>
  <si>
    <t>[{'KdbID': 6906, 'Tittel': 'Skeidsflåten kraftverk'}]</t>
  </si>
  <si>
    <t>Skibeli</t>
  </si>
  <si>
    <t>026.D1A20</t>
  </si>
  <si>
    <t>[{'KdbID': 3375, 'Tittel': 'Skibeli mikrokraftverk'}]</t>
  </si>
  <si>
    <t>Skibotn</t>
  </si>
  <si>
    <t>205.A7</t>
  </si>
  <si>
    <t>1979-11-07T00:00:00</t>
  </si>
  <si>
    <t>[{'KdbID': 390, 'Tittel': 'Erverv og regulering av Skibottselva m.v.'}]</t>
  </si>
  <si>
    <t>Skinvik</t>
  </si>
  <si>
    <t>094.44A</t>
  </si>
  <si>
    <t>2008-10-28T00:00:00</t>
  </si>
  <si>
    <t>[{'KdbID': 4534, 'Tittel': 'Skinvik kraftverk'}]</t>
  </si>
  <si>
    <t>Skinnvikelva</t>
  </si>
  <si>
    <t>Skipelva</t>
  </si>
  <si>
    <t>SKIPELVA KRAFTVERK AS</t>
  </si>
  <si>
    <t>993772194</t>
  </si>
  <si>
    <t>137.2AZ</t>
  </si>
  <si>
    <t>[{'AdressatID': 43368, 'Driftselskap': True, 'Hovedeier': True, 'Navn': 'SKIPELVA KRAFTVERK AS', 'OrgNr': 993772194, 'ProsentAndel': 100.0, 'ProsentAndelDrift': 100.0}]</t>
  </si>
  <si>
    <t>[{'KdbID': 4852, 'Tittel': 'Skipelva kraftverk'}]</t>
  </si>
  <si>
    <t>Steinselva</t>
  </si>
  <si>
    <t>Skjefstadfoss I</t>
  </si>
  <si>
    <t>Elverum</t>
  </si>
  <si>
    <t>002.H43</t>
  </si>
  <si>
    <t>1910-12-10T00:00:00</t>
  </si>
  <si>
    <t>[{'KdbID': 438, 'Tittel': 'Erverv av fall m.v. ved ombygging av Skjefstadfoss kraftverk'}]</t>
  </si>
  <si>
    <t>Skjefstadfoss II</t>
  </si>
  <si>
    <t>1972-11-20T00:00:00</t>
  </si>
  <si>
    <t>[{'KdbID': 438, 'Tittel': 'Erverv av fall m.v. ved ombygging av Skjefstadfoss kraftverk'}, {'KdbID': 7829, 'Tittel': 'Skjefstadfoss 2 kraftstasjon - installasjon av nytt løpehjul'}]</t>
  </si>
  <si>
    <t>Skjeggedal</t>
  </si>
  <si>
    <t>049.A</t>
  </si>
  <si>
    <t>Skjeggfoss</t>
  </si>
  <si>
    <t>SKJEGGFOSS KRAFTVERK AS</t>
  </si>
  <si>
    <t>922414424</t>
  </si>
  <si>
    <t>017.G2</t>
  </si>
  <si>
    <t>2024-05-23T00:00:00</t>
  </si>
  <si>
    <t>[{'AdressatID': 53027, 'Driftselskap': True, 'Hovedeier': False, 'Navn': 'FOSSBERG KRAFT AS', 'OrgNr': 920721087, 'ProsentAndel': None, 'ProsentAndelDrift': None}, {'AdressatID': 68031, 'Driftselskap': False, 'Hovedeier': True, 'Navn': 'SKJEGGFOSS KRAFTVERK AS', 'OrgNr': 922414424, 'ProsentAndel': 100.0, 'ProsentAndelDrift': 100.0}]</t>
  </si>
  <si>
    <t>[{'KdbID': 6235, 'Tittel': 'Skjeggfoss kraftverk'}, {'KdbID': 8350, 'Tittel': 'Planendring Skjeggfoss kraftverk'}]</t>
  </si>
  <si>
    <t>Skjelfoss</t>
  </si>
  <si>
    <t>SKJELFOSS ENERGI AS</t>
  </si>
  <si>
    <t>991938168</t>
  </si>
  <si>
    <t>003.C0</t>
  </si>
  <si>
    <t>[{'AdressatID': 43322, 'Driftselskap': True, 'Hovedeier': True, 'Navn': 'SKJELFOSS ENERGI AS', 'OrgNr': 991938168, 'ProsentAndel': 100.0, 'ProsentAndelDrift': 100.0}]</t>
  </si>
  <si>
    <t>[{'KdbID': 6778, 'Tittel': 'Skjelfoss minikraftverk'}, {'KdbID': 7411, 'Tittel': 'Skjelfoss kraftverk'}]</t>
  </si>
  <si>
    <t>Skjenaldfossen</t>
  </si>
  <si>
    <t>121.1A3</t>
  </si>
  <si>
    <t>2017-11-15T00:00:00</t>
  </si>
  <si>
    <t>[{'AdressatID': 10499, 'Driftselskap': True, 'Hovedeier': True, 'Navn': "CHR SALVESEN &amp; CHR THAMS'S COMMUNICATIONS AKTIESELSKAB", 'OrgNr': 915640850, 'ProsentAndel': 100.0, 'ProsentAndelDrift': 100.0}, {'AdressatID': 40394, 'Driftselskap': True, 'Hovedeier': False, 'Navn': 'SMÅKRAFT AS', 'OrgNr': 984616155, 'ProsentAndel': None, 'ProsentAndelDrift': None}]</t>
  </si>
  <si>
    <t>[{'KdbID': 1689, 'Tittel': 'Erverv av vannfall i Skjenaldelva på gården Songli i Orkedalen.'}]</t>
  </si>
  <si>
    <t>Skjenaldelva</t>
  </si>
  <si>
    <t>492</t>
  </si>
  <si>
    <t>Skjerdal</t>
  </si>
  <si>
    <t>SKJERDAL KRAFT AS</t>
  </si>
  <si>
    <t>990963681</t>
  </si>
  <si>
    <t>086.81B</t>
  </si>
  <si>
    <t>2008-06-18T00:00:00</t>
  </si>
  <si>
    <t>[{'AdressatID': 42749, 'Driftselskap': True, 'Hovedeier': True, 'Navn': 'SKJERDAL KRAFT AS', 'OrgNr': 990963681, 'ProsentAndel': 100.0, 'ProsentAndelDrift': 100.0}]</t>
  </si>
  <si>
    <t>[{'KdbID': 4436, 'Tittel': 'Skjerdal kraftverk'}]</t>
  </si>
  <si>
    <t>365</t>
  </si>
  <si>
    <t>Skjerka</t>
  </si>
  <si>
    <t>022.E21</t>
  </si>
  <si>
    <t>1997-02-01T00:00:00</t>
  </si>
  <si>
    <t>[{'KdbID': 858, 'Tittel': 'Overdr. av halvdel av statens retter og reg. av Skjerkavassdr. mv.'}, {'KdbID': 860, 'Tittel': 'Leie av del av statens vassrett. og videre regulering i Skjerkavdr.'}, {'KdbID': 861, 'Tittel': 'Regulering av Stegil-(Stikil-)vatn i Skjerkavassdraget'}, {'KdbID': 865, 'Tittel': 'Overføring av Faråna i Åseral til Skjerkavassdraget'}, {'KdbID': 4768, 'Tittel': 'økt effekt Skjerka kraftverk'}, {'KdbID': 5493, 'Tittel': 'Utvidet regulering av Skjerkevatn (nye dammer)'}, {'KdbID': 5494, 'Tittel': 'Åseralprosjektene - Ny tunnel Langevatn-Nåvatn, Øygard og Kvernevatn kraftverk og ny dam Langevatn '}]</t>
  </si>
  <si>
    <t>Skjerva</t>
  </si>
  <si>
    <t>SKJERVA KRAFT AS</t>
  </si>
  <si>
    <t>992621362</t>
  </si>
  <si>
    <t>121.B12</t>
  </si>
  <si>
    <t>[{'AdressatID': 43224, 'Driftselskap': False, 'Hovedeier': True, 'Navn': 'SKJERVA KRAFT AS', 'OrgNr': 992621362, 'ProsentAndel': 100.0, 'ProsentAndelDrift': 100.0}, {'AdressatID': 43794, 'Driftselskap': True, 'Hovedeier': False, 'Navn': 'CLEMENS KRAFT AS', 'OrgNr': 912511480, 'ProsentAndel': None, 'ProsentAndelDrift': None}]</t>
  </si>
  <si>
    <t>[{'KdbID': 6165, 'Tittel': 'Skjerva kraftverk'}]</t>
  </si>
  <si>
    <t>Skjomen</t>
  </si>
  <si>
    <t>173.Z</t>
  </si>
  <si>
    <t>1973-11-25T00:00:00</t>
  </si>
  <si>
    <t>Skjærdalselva</t>
  </si>
  <si>
    <t>012.D82</t>
  </si>
  <si>
    <t>2016-04-26T00:00:00</t>
  </si>
  <si>
    <t>[{'KdbID': 6359, 'Tittel': 'Skjærdalselva kraftverk'}]</t>
  </si>
  <si>
    <t>Skjærlivatn</t>
  </si>
  <si>
    <t>137.1D3</t>
  </si>
  <si>
    <t>1993-09-01T00:00:00</t>
  </si>
  <si>
    <t>[{'KdbID': 622, 'Tittel': 'Erverv og overt. av reg.konsesjoner. Bygging av Skjerlivatn kr.v.'}, {'KdbID': 1765, 'Tittel': 'Utb. av Skjærlivatn Krv. i Vikvassdraget, planendr., fristforl.'}, {'KdbID': 8675, 'Tittel': 'Midlertidig fravik fra manøvreringsreglementet - Skjærlivatn\xa0kraftverk\xa0-\xa0TRØNDERENERGI KRAFT AS - Tapping under LRV ;  - 01.08.2021 til 01.11.2021- Referansenr:BWCPYI'}, {'KdbID': 8726, 'Tittel': 'Midlertidig fravik fra manøvreringsreglementet - Skjærlivatn\xa0kraftverk\xa0-\xa0TRØNDERENERGI KRAFT AS - Tapping under LRV ;  - 01.04.2022 til 01.11.2022- Referansenr:FGAYHG'}, {'KdbID': 8916, 'Tittel': 'Midlertidig fravik fra manøvreringsreglementet - Skjærlivatn\xa0kraftverk\xa0-\xa0TRØNDERENERGI KRAFT AS - Tapping under LRV ;  - 01.11.2022 til 01.12.2022- Referansenr:YWIOIV'}]</t>
  </si>
  <si>
    <t>Vikelva</t>
  </si>
  <si>
    <t>561</t>
  </si>
  <si>
    <t>Skjæveland</t>
  </si>
  <si>
    <t>027.BA</t>
  </si>
  <si>
    <t>[{'KdbID': 3921, 'Tittel': 'Skjæveland mikrokraftverk'}]</t>
  </si>
  <si>
    <t>Skjåk I</t>
  </si>
  <si>
    <t>002.DHE0</t>
  </si>
  <si>
    <t>1965-11-12T00:00:00</t>
  </si>
  <si>
    <t>[{'AdressatID': 10242, 'Driftselskap': True, 'Hovedeier': True, 'Navn': 'HAFSLUND KRAFT AS', 'OrgNr': 976894677, 'ProsentAndel': 25.0, 'ProsentAndelDrift': 100.0}, {'AdressatID': 10300, 'Driftselskap': False, 'Hovedeier': False, 'Navn': 'OPPLANDSKRAFT DA', 'OrgNr': 944237631, 'ProsentAndel': None, 'ProsentAndelDrift': None}, {'AdressatID': 41020, 'Driftselskap': False, 'Hovedeier': False, 'Navn': 'HAFSLUND KRAFT INNLANDET AS', 'OrgNr': 887396752, 'ProsentAndel': 33.5, 'ProsentAndelDrift': None}, {'AdressatID': 50181, 'Driftselskap': False, 'Hovedeier': False, 'Navn': 'LÅGEN OG ØVRE GLOMMA KRAFTPRODUKSJON AS', 'OrgNr': 987287527, 'ProsentAndel': 25.0, 'ProsentAndelDrift': None}, {'AdressatID': 63172, 'Driftselskap': False, 'Hovedeier': False, 'Navn': 'SKJÅK VASSKRAFT AS', 'OrgNr': 825700382, 'ProsentAndel': 16.5, 'ProsentAndelDrift': None}]</t>
  </si>
  <si>
    <t>[{'KdbID': 267, 'Tittel': 'Regulering av Aursjøen m.v. og overføring til Otta'}]</t>
  </si>
  <si>
    <t>Skjåstad</t>
  </si>
  <si>
    <t>SKJÅSTAD KRAFTVERK AS</t>
  </si>
  <si>
    <t>985964327</t>
  </si>
  <si>
    <t>097.2C</t>
  </si>
  <si>
    <t>2004-12-16T00:00:00</t>
  </si>
  <si>
    <t>[{'AdressatID': 41367, 'Driftselskap': True, 'Hovedeier': True, 'Navn': 'SKJÅSTAD KRAFTVERK AS', 'OrgNr': 985964327, 'ProsentAndel': 100.0, 'ProsentAndelDrift': 100.0}]</t>
  </si>
  <si>
    <t>[{'KdbID': 3645, 'Tittel': 'Skjåstad kraftverk'}]</t>
  </si>
  <si>
    <t>401</t>
  </si>
  <si>
    <t>Skoddeberg</t>
  </si>
  <si>
    <t>189.C4</t>
  </si>
  <si>
    <t>1953-10-28T00:00:00</t>
  </si>
  <si>
    <t>[{'KdbID': 946, 'Tittel': 'Sør-Troms - Konsesjoner med sammenslutning - Erv. fall Tømmerelv'}, {'KdbID': 3797, 'Tittel': 'Revisjon av konsesjonsvilkår - Skoddebergvatn'}]</t>
  </si>
  <si>
    <t>Skogbuåna</t>
  </si>
  <si>
    <t>019.E5B</t>
  </si>
  <si>
    <t>[{'KdbID': 2613, 'Tittel': 'Skogbuåna minikraftverk'}]</t>
  </si>
  <si>
    <t>Skogelva</t>
  </si>
  <si>
    <t>SKOGELVA KRAFTVERK AS</t>
  </si>
  <si>
    <t>913292251</t>
  </si>
  <si>
    <t>128.C41C</t>
  </si>
  <si>
    <t>2015-02-25T00:00:00</t>
  </si>
  <si>
    <t>[{'AdressatID': 43879, 'Driftselskap': True, 'Hovedeier': True, 'Navn': 'SKOGELVA KRAFTVERK AS', 'OrgNr': 913292251, 'ProsentAndel': 100.0, 'ProsentAndelDrift': 100.0}]</t>
  </si>
  <si>
    <t>[{'KdbID': 3861, 'Tittel': 'Skogelva minikraftverk'}]</t>
  </si>
  <si>
    <t>Skogfoss</t>
  </si>
  <si>
    <t>246.D1</t>
  </si>
  <si>
    <t>1964-09-15T00:00:00</t>
  </si>
  <si>
    <t>[{'KdbID': 4, 'Tittel': 'Skogfoss kraftverk'}, {'KdbID': 887, 'Tittel': 'Bortleie av Skogfoss i Pasvikelva til A/S Sydvaranger'}, {'KdbID': 3469, 'Tittel': 'Bruksrettskonsesjon for Skogfoss og Melkefoss'}]</t>
  </si>
  <si>
    <t>Skogheim</t>
  </si>
  <si>
    <t>085.G2A</t>
  </si>
  <si>
    <t>1987-12-01T00:00:00</t>
  </si>
  <si>
    <t>Skogkraft</t>
  </si>
  <si>
    <t>039.23</t>
  </si>
  <si>
    <t>2003-12-31T00:00:00</t>
  </si>
  <si>
    <t>[{'KdbID': 3587, 'Tittel': 'Skogskraft minikraftverk'}]</t>
  </si>
  <si>
    <t>Skollenborg</t>
  </si>
  <si>
    <t>015.D12</t>
  </si>
  <si>
    <t>[{'AdressatID': 40113, 'Driftselskap': False, 'Hovedeier': False, 'Navn': 'SKAGERAK KRAFT AS', 'OrgNr': 979563531, 'ProsentAndel': 30.8, 'ProsentAndelDrift': 30.8}, {'AdressatID': 40121, 'Driftselskap': True, 'Hovedeier': True, 'Navn': 'Å ENERGI VANNKRAFT AS', 'OrgNr': 882973972, 'ProsentAndel': 69.2, 'ProsentAndelDrift': 69.2}]</t>
  </si>
  <si>
    <t>[{'KdbID': 771, 'Tittel': 'Skollenborg kraftverk'}]</t>
  </si>
  <si>
    <t>Skoltefoss</t>
  </si>
  <si>
    <t>ØYSTRE SLIDRE KOMMUNE</t>
  </si>
  <si>
    <t>961382068</t>
  </si>
  <si>
    <t>Øystre Slidre</t>
  </si>
  <si>
    <t>012.LC42</t>
  </si>
  <si>
    <t>[{'AdressatID': 544, 'Driftselskap': True, 'Hovedeier': True, 'Navn': 'ØYSTRE SLIDRE KOMMUNE', 'OrgNr': 961382068, 'ProsentAndel': 100.0, 'ProsentAndelDrift': 100.0}]</t>
  </si>
  <si>
    <t>Skolten</t>
  </si>
  <si>
    <t>SKOLTEN KRAFT AS</t>
  </si>
  <si>
    <t>929156072</t>
  </si>
  <si>
    <t>085.A5A</t>
  </si>
  <si>
    <t>[{'AdressatID': 63660, 'Driftselskap': True, 'Hovedeier': True, 'Navn': 'SKOLTEN KRAFT AS', 'OrgNr': 929156072, 'ProsentAndel': 100.0, 'ProsentAndelDrift': 100.0}]</t>
  </si>
  <si>
    <t>[{'KdbID': 3063, 'Tittel': 'Skolten småkraftverk'}]</t>
  </si>
  <si>
    <t>Skonningsfoss</t>
  </si>
  <si>
    <t>HALDEN KRAFTPRODUKSJON AS</t>
  </si>
  <si>
    <t>887287562</t>
  </si>
  <si>
    <t>001.A</t>
  </si>
  <si>
    <t>1997-12-12T00:00:00</t>
  </si>
  <si>
    <t>[{'AdressatID': 41009, 'Driftselskap': True, 'Hovedeier': True, 'Navn': 'HALDEN KRAFTPRODUKSJON AS', 'OrgNr': 887287562, 'ProsentAndel': 100.0, 'ProsentAndelDrift': 100.0}]</t>
  </si>
  <si>
    <t>[{'KdbID': 2263, 'Tittel': 'Rehab av Skonningsfoss kr.verk'}]</t>
  </si>
  <si>
    <t>Skorga</t>
  </si>
  <si>
    <t>SKORGA KRAFTVERK AS</t>
  </si>
  <si>
    <t>999577431</t>
  </si>
  <si>
    <t>104.13</t>
  </si>
  <si>
    <t>2019-01-24T00:00:00</t>
  </si>
  <si>
    <t>[{'AdressatID': 50977, 'Driftselskap': True, 'Hovedeier': False, 'Navn': 'PROXIMA HYDROTECH AS', 'OrgNr': 918808302, 'ProsentAndel': None, 'ProsentAndelDrift': None}, {'AdressatID': 51245, 'Driftselskap': False, 'Hovedeier': True, 'Navn': 'SKORGA KRAFTVERK AS', 'OrgNr': 999577431, 'ProsentAndel': 100.0, 'ProsentAndelDrift': 100.0}]</t>
  </si>
  <si>
    <t>[{'KdbID': 5825, 'Tittel': 'Skorga kraftverk'}]</t>
  </si>
  <si>
    <t>Skorge</t>
  </si>
  <si>
    <t>092.3Z</t>
  </si>
  <si>
    <t>[{'KdbID': 926, 'Tittel': 'Erverv og regulering av Skorgevassdraget'}]</t>
  </si>
  <si>
    <t>Skorgelva</t>
  </si>
  <si>
    <t>377</t>
  </si>
  <si>
    <t>Skorgeelva</t>
  </si>
  <si>
    <t>103.5Z</t>
  </si>
  <si>
    <t>2021-09-27T00:00:00</t>
  </si>
  <si>
    <t>[{'KdbID': 6965, 'Tittel': 'Skorgeelva kraftverk'}]</t>
  </si>
  <si>
    <t>Skorovasselva</t>
  </si>
  <si>
    <t>SKOROVASKRAFT AS</t>
  </si>
  <si>
    <t>952629808</t>
  </si>
  <si>
    <t>139.D5AZ</t>
  </si>
  <si>
    <t>[{'AdressatID': 25515, 'Driftselskap': True, 'Hovedeier': True, 'Navn': 'SKOROVASKRAFT AS', 'OrgNr': 952629808, 'ProsentAndel': 100.0, 'ProsentAndelDrift': 100.0}]</t>
  </si>
  <si>
    <t>[{'KdbID': 2333, 'Tittel': 'Minikraftverk i Skorovasselva'}]</t>
  </si>
  <si>
    <t>Skotfoss</t>
  </si>
  <si>
    <t>016.B2</t>
  </si>
  <si>
    <t>[{'KdbID': 7622, 'Tittel': 'Skotfoss kraftverk - Innkalling til konsesjonsbehandling'}]</t>
  </si>
  <si>
    <t>Skotselv</t>
  </si>
  <si>
    <t>EIKER KRAFTPRODUKSJON AS</t>
  </si>
  <si>
    <t>979497563</t>
  </si>
  <si>
    <t>012.B4A</t>
  </si>
  <si>
    <t>[{'AdressatID': 10339, 'Driftselskap': True, 'Hovedeier': True, 'Navn': 'EIKER KRAFTPRODUKSJON AS', 'OrgNr': 979497563, 'ProsentAndel': 100.0, 'ProsentAndelDrift': 100.0}]</t>
  </si>
  <si>
    <t>[{'KdbID': 1122, 'Tittel': 'Gjenoppbygging av kraftverk i Bingselva'}]</t>
  </si>
  <si>
    <t>98</t>
  </si>
  <si>
    <t>Skravlåga</t>
  </si>
  <si>
    <t>155.21Z</t>
  </si>
  <si>
    <t>2014-08-13T00:00:00</t>
  </si>
  <si>
    <t>[{'KdbID': 5094, 'Tittel': 'Skravlåga kraftverk'}]</t>
  </si>
  <si>
    <t>Skree</t>
  </si>
  <si>
    <t>019.H42</t>
  </si>
  <si>
    <t>1995-12-14T00:00:00</t>
  </si>
  <si>
    <t>[{'KdbID': 584, 'Tittel': 'Erverv, utbygging m.v. i Skafsåvassdraget, endring vilkår, Telemark'}, {'KdbID': 778, 'Tittel': 'Erverv av fall Hyllebuhylen og Espekleiv m.v. i Åmdalselv'}, {'KdbID': 1970, 'Tittel': 'Erv. utb. Skafsåvassdraget, planendring'}, {'KdbID': 2012, 'Tittel': 'Planendr. utb. Skafsåvassdraget'}]</t>
  </si>
  <si>
    <t>Skripelandsfossen</t>
  </si>
  <si>
    <t>2014-09-13T00:00:00</t>
  </si>
  <si>
    <t>[{'KdbID': 4737, 'Tittel': 'Skripelandsfossen kraftverk'}]</t>
  </si>
  <si>
    <t>Skromma</t>
  </si>
  <si>
    <t>160.51B</t>
  </si>
  <si>
    <t>2008-12-09T00:00:00</t>
  </si>
  <si>
    <t>[{'KdbID': 5268, 'Tittel': 'Skromma kraftverk'}]</t>
  </si>
  <si>
    <t>677</t>
  </si>
  <si>
    <t>Skråstadbekken</t>
  </si>
  <si>
    <t>131.9D</t>
  </si>
  <si>
    <t>[{'KdbID': 2379, 'Tittel': 'Mikrokraftverk i Skråstadbekken'}]</t>
  </si>
  <si>
    <t>Skulafossen</t>
  </si>
  <si>
    <t>053.2Z</t>
  </si>
  <si>
    <t>2020-12-01T00:00:00</t>
  </si>
  <si>
    <t>[{'KdbID': 7, 'Tittel': 'Reguleringer og overføringer i Tordalsvassdraget i Hordaland'}, {'KdbID': 8459, 'Tittel': 'Skulafossen kraftverk'}]</t>
  </si>
  <si>
    <t>Strandadalselvi</t>
  </si>
  <si>
    <t>238</t>
  </si>
  <si>
    <t>Skulbørstadfoss</t>
  </si>
  <si>
    <t>1910-10-01T00:00:00</t>
  </si>
  <si>
    <t>Skyggeelva</t>
  </si>
  <si>
    <t>083.12C</t>
  </si>
  <si>
    <t>2010-05-04T00:00:00</t>
  </si>
  <si>
    <t>[{'KdbID': 4527, 'Tittel': 'Skyggeelva kraftverk'}]</t>
  </si>
  <si>
    <t>Skytjelva</t>
  </si>
  <si>
    <t>333</t>
  </si>
  <si>
    <t>Skålheim</t>
  </si>
  <si>
    <t>SKÅLHEIM KRAFTVERK AS</t>
  </si>
  <si>
    <t>990727074</t>
  </si>
  <si>
    <t>2008-02-07T00:00:00</t>
  </si>
  <si>
    <t>[{'AdressatID': 42687, 'Driftselskap': True, 'Hovedeier': True, 'Navn': 'SKÅLHEIM KRAFTVERK AS', 'OrgNr': 990727074, 'ProsentAndel': 100.0, 'ProsentAndelDrift': 100.0}]</t>
  </si>
  <si>
    <t>[{'KdbID': 2964, 'Tittel': 'Skålheim minikraftverk i Åsheimselva'}]</t>
  </si>
  <si>
    <t>Skår</t>
  </si>
  <si>
    <t>093.32</t>
  </si>
  <si>
    <t>2015-01-26T00:00:00</t>
  </si>
  <si>
    <t>[{'KdbID': 4653, 'Tittel': 'Skår småkraftverk'}]</t>
  </si>
  <si>
    <t>Slagstad</t>
  </si>
  <si>
    <t>NÆRHEIM KJELL OVE</t>
  </si>
  <si>
    <t>969817179</t>
  </si>
  <si>
    <t>036.B1AA</t>
  </si>
  <si>
    <t>[{'AdressatID': 24260, 'Driftselskap': True, 'Hovedeier': True, 'Navn': 'NÆRHEIM KJELL OVE', 'OrgNr': 969817179, 'ProsentAndel': 100.0, 'ProsentAndelDrift': 100.0}]</t>
  </si>
  <si>
    <t>[{'KdbID': 3341, 'Tittel': 'Slagstad mikrokraftverk'}]</t>
  </si>
  <si>
    <t>Slemmå</t>
  </si>
  <si>
    <t>104.12B</t>
  </si>
  <si>
    <t>2019-09-04T00:00:00</t>
  </si>
  <si>
    <t>[{'KdbID': 5067, 'Tittel': 'Slemmå småkraftverk'}]</t>
  </si>
  <si>
    <t>Slemmeelva</t>
  </si>
  <si>
    <t>Slettevann</t>
  </si>
  <si>
    <t>016.AC21</t>
  </si>
  <si>
    <t>Slettevoll</t>
  </si>
  <si>
    <t>ÅNEN GALDAL</t>
  </si>
  <si>
    <t>933521516</t>
  </si>
  <si>
    <t>2023-03-15T00:00:00</t>
  </si>
  <si>
    <t>[{'AdressatID': 74337, 'Driftselskap': True, 'Hovedeier': True, 'Navn': 'ÅNEN GALDAL', 'OrgNr': 933521516, 'ProsentAndel': 100.0, 'ProsentAndelDrift': 100.0}]</t>
  </si>
  <si>
    <t>[{'KdbID': 8941, 'Tittel': 'Slettevoll kraftverk'}]</t>
  </si>
  <si>
    <t>Sleveåne</t>
  </si>
  <si>
    <t>SLEVEÅNE KRAFT AS</t>
  </si>
  <si>
    <t>914442451</t>
  </si>
  <si>
    <t>048.5</t>
  </si>
  <si>
    <t>2017-11-22T00:00:00</t>
  </si>
  <si>
    <t>[{'AdressatID': 43794, 'Driftselskap': True, 'Hovedeier': False, 'Navn': 'CLEMENS KRAFT AS', 'OrgNr': 912511480, 'ProsentAndel': None, 'ProsentAndelDrift': None}, {'AdressatID': 51118, 'Driftselskap': False, 'Hovedeier': True, 'Navn': 'SLEVEÅNE KRAFT AS', 'OrgNr': 914442451, 'ProsentAndel': 100.0, 'ProsentAndelDrift': 100.0}]</t>
  </si>
  <si>
    <t>[{'KdbID': 6283, 'Tittel': 'Sleveåne kraftverk'}]</t>
  </si>
  <si>
    <t>Slind</t>
  </si>
  <si>
    <t>123.B7AA</t>
  </si>
  <si>
    <t>1985-03-15T00:00:00</t>
  </si>
  <si>
    <t>[{'KdbID': 144, 'Tittel': 'Regulering av Slindvatnene i Selbu'}, {'KdbID': 410, 'Tittel': 'Erverv, ekspr. for utbygging av Slind kraftverk i Slindelva i Selbu'}]</t>
  </si>
  <si>
    <t>Slunkajavrre</t>
  </si>
  <si>
    <t>170.BB</t>
  </si>
  <si>
    <t>1983-03-09T00:00:00</t>
  </si>
  <si>
    <t>[{'KdbID': 749, 'Tittel': 'Erverv av fall i Sagelv- og Muskenvassdragene, Slunkajavrre krv'}, {'KdbID': 921, 'Tittel': 'Ytt. reg. m.v. i Sagelvvassdraget'}]</t>
  </si>
  <si>
    <t>Smeland</t>
  </si>
  <si>
    <t>022.EA</t>
  </si>
  <si>
    <t>[{'KdbID': 711, 'Tittel': 'Erverv, overføring m.v. for utbygging av Smeland kraftverk'}]</t>
  </si>
  <si>
    <t>Smibelg</t>
  </si>
  <si>
    <t>SMISTO KRAFT AS</t>
  </si>
  <si>
    <t>915372805</t>
  </si>
  <si>
    <t>159.2110</t>
  </si>
  <si>
    <t>2022-05-10T00:00:00</t>
  </si>
  <si>
    <t>[{'AdressatID': 50132, 'Driftselskap': False, 'Hovedeier': True, 'Navn': 'SMISTO KRAFT AS', 'OrgNr': 915372805, 'ProsentAndel': 100.0, 'ProsentAndelDrift': 100.0}, {'AdressatID': 51392, 'Driftselskap': True, 'Hovedeier': False, 'Navn': 'HELGELAND KRAFT VANNKRAFT AS', 'OrgNr': 917424896, 'ProsentAndel': None, 'ProsentAndelDrift': None}]</t>
  </si>
  <si>
    <t>[{'KdbID': 2528, 'Tittel': 'Smibelg og Storåvatn kraftverk'}]</t>
  </si>
  <si>
    <t>Smørklepp I</t>
  </si>
  <si>
    <t>016.BEC2</t>
  </si>
  <si>
    <t>Smørklepp II</t>
  </si>
  <si>
    <t>Smådalselva</t>
  </si>
  <si>
    <t>055.4</t>
  </si>
  <si>
    <t>2025-06-20T00:00:00</t>
  </si>
  <si>
    <t>[{'KdbID': 8451, 'Tittel': 'Smådalselva kraftverk'}]</t>
  </si>
  <si>
    <t>240</t>
  </si>
  <si>
    <t>Smådøla</t>
  </si>
  <si>
    <t>SMÅDØLA KRAFT AS</t>
  </si>
  <si>
    <t>986671846</t>
  </si>
  <si>
    <t>015.JAA</t>
  </si>
  <si>
    <t>2008-08-22T00:00:00</t>
  </si>
  <si>
    <t>[{'AdressatID': 42904, 'Driftselskap': True, 'Hovedeier': True, 'Navn': 'SMÅDØLA KRAFT AS', 'OrgNr': 986671846, 'ProsentAndel': 100.0, 'ProsentAndelDrift': 100.0}]</t>
  </si>
  <si>
    <t>[{'KdbID': 3483, 'Tittel': 'Smådøla minikraftverk'}]</t>
  </si>
  <si>
    <t>002.DHB2D</t>
  </si>
  <si>
    <t>[{'KdbID': 5449, 'Tittel': 'Smådøla kraftverk'}]</t>
  </si>
  <si>
    <t>Småvatna</t>
  </si>
  <si>
    <t>1970-01-01T00:00:00</t>
  </si>
  <si>
    <t>[{'KdbID': 414, 'Tittel': 'Erverv av bruksrett og overf., utbygging av Småvatna kraftverk'}, {'KdbID': 4387, 'Tittel': 'Fornyet tillatelse til overføring av Boulanjokka til Lassajavrri'}, {'KdbID': 7546, 'Tittel': 'Revisjon av konsesjonsvilkår - Kvænangen'}]</t>
  </si>
  <si>
    <t>Småvoll</t>
  </si>
  <si>
    <t>SMÅVOLL KRAFTVERK AS</t>
  </si>
  <si>
    <t>992328835</t>
  </si>
  <si>
    <t>109.C0</t>
  </si>
  <si>
    <t>2025-12-10T00:00:00</t>
  </si>
  <si>
    <t>[{'AdressatID': 68000, 'Driftselskap': True, 'Hovedeier': True, 'Navn': 'SMÅVOLL KRAFTVERK AS', 'OrgNr': 992328835, 'ProsentAndel': 100.0, 'ProsentAndelDrift': 100.0}]</t>
  </si>
  <si>
    <t>[{'KdbID': 4447, 'Tittel': 'Småvoll kraftverk'}]</t>
  </si>
  <si>
    <t>Snefjellå</t>
  </si>
  <si>
    <t>SNEFJELLÅKRAFT AS</t>
  </si>
  <si>
    <t>996170098</t>
  </si>
  <si>
    <t>156.CB4</t>
  </si>
  <si>
    <t>2014-06-15T00:00:00</t>
  </si>
  <si>
    <t>[{'AdressatID': 43504, 'Driftselskap': True, 'Hovedeier': True, 'Navn': 'SNEFJELLÅKRAFT AS', 'OrgNr': 996170098, 'ProsentAndel': 100.0, 'ProsentAndelDrift': 100.0}]</t>
  </si>
  <si>
    <t>[{'KdbID': 5026, 'Tittel': 'Snefjellå kraftverk'}]</t>
  </si>
  <si>
    <t>Sokna</t>
  </si>
  <si>
    <t>122.AA4</t>
  </si>
  <si>
    <t>1964-09-09T00:00:00</t>
  </si>
  <si>
    <t>[{'KdbID': 280, 'Tittel': 'Regulering av Håen i Lundesokna og reg. og overf. av Holtsjøen'}, {'KdbID': 1934, 'Tittel': 'Ekspropriasjon av fallrettigheter i Lundesokna.'}, {'KdbID': 6812, 'Tittel': 'Revisjon av konsesjonsvilkår for reguleringer i Lundesokna og Holta'}, {'KdbID': 8724, 'Tittel': 'Midlertidig fravik fra manøvreringsreglementet - Sokna\xa0kraftverk\xa0-\xa0TRØNDERENERGI KRAFT AS - Tapping under LRV ;Annet;  - 01.11.2021 til 31.12.2021- Referansenr:ZNCZVC'}, {'KdbID': 8857, 'Tittel': 'Midlertidig fravik fra manøvreringsreglementet - Sokna\xa0kraftverk\xa0-\xa0TRØNDERENERGI KRAFT AS - Tapping under LRV ;  - 27.06.2022 til 04.09.2022- Referansenr:PBHWSS'}, {'KdbID': 9152, 'Tittel': 'Midlertidig fravik fra manøvreringsreglementet - Sokna\xa0kraftverk\xa0-\xa0TRØNDERENERGI KRAFT AS - Tapping under LRV ;  - 23.10.2023 til 12.11.2023- Referansenr:RREWJX'}]</t>
  </si>
  <si>
    <t>Soks</t>
  </si>
  <si>
    <t>019.CAB</t>
  </si>
  <si>
    <t>2009-11-11T00:00:00</t>
  </si>
  <si>
    <t>[{'KdbID': 5160, 'Tittel': 'Soks minikraftverk'}, {'KdbID': 7855, 'Tittel': 'Soks kraftverk '}, {'KdbID': 8192, 'Tittel': 'Soks kraftverk'}]</t>
  </si>
  <si>
    <t>Solbergfoss</t>
  </si>
  <si>
    <t>002.B5</t>
  </si>
  <si>
    <t>1924-10-07T00:00:00</t>
  </si>
  <si>
    <t>[{'AdressatID': 10242, 'Driftselskap': True, 'Hovedeier': True, 'Navn': 'HAFSLUND KRAFT AS', 'OrgNr': 976894677, 'ProsentAndel': 66.67, 'ProsentAndelDrift': 64.4}, {'AdressatID': 41005, 'Driftselskap': False, 'Hovedeier': False, 'Navn': 'STATKRAFT ENERGI AS', 'OrgNr': 987059729, 'ProsentAndel': 33.33, 'ProsentAndelDrift': 35.6}]</t>
  </si>
  <si>
    <t>Solbjørn</t>
  </si>
  <si>
    <t>Flakstad</t>
  </si>
  <si>
    <t>181.3A</t>
  </si>
  <si>
    <t>[{'KdbID': 1845, 'Tittel': 'Erv. fall/overf. av reg.kons. i Tennes- Krokfoss- og Solbjørnv.'}]</t>
  </si>
  <si>
    <t>Solbjørnelva</t>
  </si>
  <si>
    <t>753</t>
  </si>
  <si>
    <t>Solhom</t>
  </si>
  <si>
    <t>025.F2</t>
  </si>
  <si>
    <t>1974-07-10T00:00:00</t>
  </si>
  <si>
    <t>[{'KdbID': 918, 'Tittel': 'Reguleringer og overføringer i Sira-Kvinavassdragene'}, {'KdbID': 2056, 'Tittel': 'Erv. av 3,3 av statens prosentand. i Sira-Kvina krv.'}, {'KdbID': 8681, 'Tittel': 'Midlertidig fravik fra manøvreringsreglementet Eivindsvatn- Referansenr:IQYWOX'}]</t>
  </si>
  <si>
    <t>Solnør Gård</t>
  </si>
  <si>
    <t>Ålesund</t>
  </si>
  <si>
    <t>101.2A</t>
  </si>
  <si>
    <t>1913-01-01T00:00:00</t>
  </si>
  <si>
    <t>Solnørelva</t>
  </si>
  <si>
    <t>Somrungen</t>
  </si>
  <si>
    <t>2025-05-30T00:00:00</t>
  </si>
  <si>
    <t>[{'KdbID': 5760, 'Tittel': 'Somrungen kraftverk'}]</t>
  </si>
  <si>
    <t>Songa</t>
  </si>
  <si>
    <t>016.BG52</t>
  </si>
  <si>
    <t>1964-11-09T00:00:00</t>
  </si>
  <si>
    <t>[{'KdbID': 909, 'Tittel': 'Statsreg. m.v. av Tokke-Vinjevassdraget'}, {'KdbID': 913, 'Tittel': 'Ytt. statsreg. av Tokke-Vinjevassdraget'}, {'KdbID': 2090, 'Tittel': 'Ekspropriasjon for Tokke II og III.'}]</t>
  </si>
  <si>
    <t>Spetal Verk</t>
  </si>
  <si>
    <t>Spigerbruksfallet</t>
  </si>
  <si>
    <t>KALK EIENDOM AS</t>
  </si>
  <si>
    <t>982434289</t>
  </si>
  <si>
    <t>Bærum</t>
  </si>
  <si>
    <t>008.AA0</t>
  </si>
  <si>
    <t>[{'AdressatID': 42498, 'Driftselskap': True, 'Hovedeier': True, 'Navn': 'KALK EIENDOM AS', 'OrgNr': 982434289, 'ProsentAndel': 100.0, 'ProsentAndelDrift': 100.0}]</t>
  </si>
  <si>
    <t>Sandvikselva</t>
  </si>
  <si>
    <t>033</t>
  </si>
  <si>
    <t>Spilling</t>
  </si>
  <si>
    <t>023.A</t>
  </si>
  <si>
    <t>2008-11-20T00:00:00</t>
  </si>
  <si>
    <t>[{'KdbID': 4196, 'Tittel': 'Spilling kraftverk'}]</t>
  </si>
  <si>
    <t>Stadheim</t>
  </si>
  <si>
    <t>098.6Z</t>
  </si>
  <si>
    <t>2001-11-29T00:00:00</t>
  </si>
  <si>
    <t>[{'KdbID': 1903, 'Tittel': 'Stadheim kraftverk'}]</t>
  </si>
  <si>
    <t>Staffi</t>
  </si>
  <si>
    <t>042.C</t>
  </si>
  <si>
    <t>[{'KdbID': 484, 'Tittel': 'Ytt. erverv, reg. og overføring i Blådalsvassdraget mv.'}, {'KdbID': 1946, 'Tittel': 'Utb. Staffi kraftverk, reg. Kvanndalsvatn'}, {'KdbID': 3534, 'Tittel': 'Ytterligere erverv, regulering og overføring i Blådalsvassdraget mv'}]</t>
  </si>
  <si>
    <t>Stakaldefoss</t>
  </si>
  <si>
    <t>084.D3</t>
  </si>
  <si>
    <t>1954-07-01T00:00:00</t>
  </si>
  <si>
    <t>[{'KdbID': 849, 'Tittel': 'Erverv av bruksrett til Stakaldefoss i Jølstra'}, {'KdbID': 3473, 'Tittel': 'Endring av kons.vilkår i bruksrettskonsesjon for Stakaldefossen'}, {'KdbID': 7482, 'Tittel': 'Erverv fallrett Stakaldefoss i Jølstervassdraget'}]</t>
  </si>
  <si>
    <t>Stampaelva</t>
  </si>
  <si>
    <t>047.11</t>
  </si>
  <si>
    <t>2021-12-22T00:00:00</t>
  </si>
  <si>
    <t>[{'KdbID': 8176, 'Tittel': 'Stampaelva kraftverk'}]</t>
  </si>
  <si>
    <t>217</t>
  </si>
  <si>
    <t>Standal</t>
  </si>
  <si>
    <t>2012-05-16T00:00:00</t>
  </si>
  <si>
    <t>[{'KdbID': 5029, 'Tittel': 'Standal kraftverk'}]</t>
  </si>
  <si>
    <t>Stardalen</t>
  </si>
  <si>
    <t>STARDALEN KRAFT AS</t>
  </si>
  <si>
    <t>995445174</t>
  </si>
  <si>
    <t>087.D8</t>
  </si>
  <si>
    <t>[{'AdressatID': 10382, 'Driftselskap': True, 'Hovedeier': False, 'Navn': 'TINFOS AS', 'OrgNr': 916763476, 'ProsentAndel': None, 'ProsentAndelDrift': None}, {'AdressatID': 50442, 'Driftselskap': False, 'Hovedeier': True, 'Navn': 'STARDALEN KRAFT AS', 'OrgNr': 995445174, 'ProsentAndel': 100.0, 'ProsentAndelDrift': 100.0}]</t>
  </si>
  <si>
    <t>[{'KdbID': 5274, 'Tittel': 'Stardalen kraftverk'}, {'KdbID': 7952, 'Tittel': 'Planendring - Stardalen kraftverk'}]</t>
  </si>
  <si>
    <t>Stedjeåna</t>
  </si>
  <si>
    <t>STEDJEÅNA KRAFTVERK AS</t>
  </si>
  <si>
    <t>986793305</t>
  </si>
  <si>
    <t>019.CB2A</t>
  </si>
  <si>
    <t>2007-01-05T00:00:00</t>
  </si>
  <si>
    <t>[{'AdressatID': 42820, 'Driftselskap': True, 'Hovedeier': True, 'Navn': 'STEDJEÅNA KRAFTVERK AS', 'OrgNr': 986793305, 'ProsentAndel': 100.0, 'ProsentAndelDrift': 100.0}]</t>
  </si>
  <si>
    <t>[{'KdbID': 2655, 'Tittel': 'Stedjeåna kraftverk'}]</t>
  </si>
  <si>
    <t>Stegaros</t>
  </si>
  <si>
    <t>TINN ENERGI PRODUKSJON AS</t>
  </si>
  <si>
    <t>983771408</t>
  </si>
  <si>
    <t>016.G5C21</t>
  </si>
  <si>
    <t>2002-11-25T00:00:00</t>
  </si>
  <si>
    <t>[{'AdressatID': 40073, 'Driftselskap': True, 'Hovedeier': True, 'Navn': 'TINN ENERGI PRODUKSJON AS', 'OrgNr': 983771408, 'ProsentAndel': 50.0, 'ProsentAndelDrift': None}, {'AdressatID': 41005, 'Driftselskap': False, 'Hovedeier': False, 'Navn': 'STATKRAFT ENERGI AS', 'OrgNr': 987059729, 'ProsentAndel': 50.0, 'ProsentAndelDrift': 100.0}]</t>
  </si>
  <si>
    <t>[{'KdbID': 895, 'Tittel': 'Ytterligere regulering av Mårvatn'}, {'KdbID': 2563, 'Tittel': 'Erverv fall Stegaros kraftverk'}]</t>
  </si>
  <si>
    <t>Steinbekken</t>
  </si>
  <si>
    <t>156.B1A</t>
  </si>
  <si>
    <t>[{'KdbID': 6090, 'Tittel': 'Mikrokraftverk i Steinbekken'}]</t>
  </si>
  <si>
    <t>Steinbergdalen</t>
  </si>
  <si>
    <t>2022-08-15T00:00:00</t>
  </si>
  <si>
    <t>[{'KdbID': 5780, 'Tittel': 'Steinbergdalen kraftverk'}]</t>
  </si>
  <si>
    <t>Steindal (Steindal)</t>
  </si>
  <si>
    <t>STEINDAL KRAFTVERK AS</t>
  </si>
  <si>
    <t>918330178</t>
  </si>
  <si>
    <t>085.A5B</t>
  </si>
  <si>
    <t>2019-07-11T00:00:00</t>
  </si>
  <si>
    <t>[{'AdressatID': 50477, 'Driftselskap': False, 'Hovedeier': True, 'Navn': 'STEINDAL KRAFTVERK AS', 'OrgNr': 918330178, 'ProsentAndel': 100.0, 'ProsentAndelDrift': 100.0}, {'AdressatID': 50977, 'Driftselskap': True, 'Hovedeier': False, 'Navn': 'PROXIMA HYDROTECH AS', 'OrgNr': 918808302, 'ProsentAndel': None, 'ProsentAndelDrift': None}]</t>
  </si>
  <si>
    <t>[{'KdbID': 6977, 'Tittel': 'Steindal kraftverk'}]</t>
  </si>
  <si>
    <t>Steindal (Støylselva)</t>
  </si>
  <si>
    <t>085.A5D</t>
  </si>
  <si>
    <t>Steindøla</t>
  </si>
  <si>
    <t>STEINDØLA KRAFT AS</t>
  </si>
  <si>
    <t>992310146</t>
  </si>
  <si>
    <t>088.3Z</t>
  </si>
  <si>
    <t>[{'AdressatID': 42731, 'Driftselskap': True, 'Hovedeier': True, 'Navn': 'STEINDØLA KRAFT AS', 'OrgNr': 992310146, 'ProsentAndel': 100.0, 'ProsentAndelDrift': 100.0}]</t>
  </si>
  <si>
    <t>[{'KdbID': 4388, 'Tittel': 'Steindøla kraftverk'}]</t>
  </si>
  <si>
    <t>374</t>
  </si>
  <si>
    <t>Steine</t>
  </si>
  <si>
    <t>STEINE KRAFT AS</t>
  </si>
  <si>
    <t>988207969</t>
  </si>
  <si>
    <t>036.A4AB</t>
  </si>
  <si>
    <t>2006-04-10T00:00:00</t>
  </si>
  <si>
    <t>[{'AdressatID': 42966, 'Driftselskap': True, 'Hovedeier': True, 'Navn': 'STEINE KRAFT AS', 'OrgNr': 988207969, 'ProsentAndel': 100.0, 'ProsentAndelDrift': 100.0}]</t>
  </si>
  <si>
    <t>[{'KdbID': 3984, 'Tittel': 'Steine småkraftverk'}]</t>
  </si>
  <si>
    <t>93</t>
  </si>
  <si>
    <t>Steinsfoss</t>
  </si>
  <si>
    <t>021.A61</t>
  </si>
  <si>
    <t>Steinsland</t>
  </si>
  <si>
    <t>064.B1</t>
  </si>
  <si>
    <t>[{'KdbID': 389, 'Tittel': 'Reguleringer m.v. i Steinslandsvassdraget'}, {'KdbID': 6923, 'Tittel': 'Steinsland kraftverk-opprusting utskifting av turbinhjul'}]</t>
  </si>
  <si>
    <t>Steinsvik</t>
  </si>
  <si>
    <t>STEINSVIK KRAFT AS</t>
  </si>
  <si>
    <t>916368313</t>
  </si>
  <si>
    <t>094.21AZ</t>
  </si>
  <si>
    <t>2009-01-28T00:00:00</t>
  </si>
  <si>
    <t>[{'AdressatID': 10455, 'Driftselskap': True, 'Hovedeier': False, 'Navn': 'SOGNEKRAFT PRODUKSJON AS', 'OrgNr': 916069634, 'ProsentAndel': None, 'ProsentAndelDrift': None}, {'AdressatID': 43021, 'Driftselskap': False, 'Hovedeier': False, 'Navn': 'NYDALSELVA KRAFT AS', 'OrgNr': 893040412, 'ProsentAndel': 100.0, 'ProsentAndelDrift': None}, {'AdressatID': 50330, 'Driftselskap': False, 'Hovedeier': True, 'Navn': 'STEINSVIK KRAFT AS', 'OrgNr': 916368313, 'ProsentAndel': None, 'ProsentAndelDrift': 100.0}]</t>
  </si>
  <si>
    <t>[{'KdbID': 3818, 'Tittel': 'Steinsvik kraftverk og reg. vesle Trevassdalsvatn/Blåfjellvatn'}, {'KdbID': 9724, 'Tittel': 'Søknad - Midlertidig fravik fra manøvreringsreglementet - Steinsvik\xa0kraftverk\xa0-\xa0(ukjent) - Tapping under LRV ;  - 01.09.2025 til 14.09.2025- Referansenr:UHXWQR'}]</t>
  </si>
  <si>
    <t>Vassbakkelva</t>
  </si>
  <si>
    <t>389</t>
  </si>
  <si>
    <t>Steinåga</t>
  </si>
  <si>
    <t>161.AB0</t>
  </si>
  <si>
    <t>2013-11-02T00:00:00</t>
  </si>
  <si>
    <t>[{'KdbID': 4014, 'Tittel': 'Steinåga kraftverk'}]</t>
  </si>
  <si>
    <t>Stend</t>
  </si>
  <si>
    <t>STEND KRAFTVERK AS</t>
  </si>
  <si>
    <t>826818352</t>
  </si>
  <si>
    <t>056.22</t>
  </si>
  <si>
    <t>1985-03-01T00:00:00</t>
  </si>
  <si>
    <t>[{'AdressatID': 76518, 'Driftselskap': True, 'Hovedeier': True, 'Navn': 'STEND KRAFTVERK AS', 'OrgNr': 826818352, 'ProsentAndel': 100.0, 'ProsentAndelDrift': 100.0}]</t>
  </si>
  <si>
    <t>Stifoss</t>
  </si>
  <si>
    <t>AS EGELANDS VERK</t>
  </si>
  <si>
    <t>911281732</t>
  </si>
  <si>
    <t>Risør</t>
  </si>
  <si>
    <t>018.2B0</t>
  </si>
  <si>
    <t>[{'AdressatID': 12066, 'Driftselskap': True, 'Hovedeier': True, 'Navn': 'AS EGELANDS VERK', 'OrgNr': 911281732, 'ProsentAndel': 100.0, 'ProsentAndelDrift': 100.0}]</t>
  </si>
  <si>
    <t>Gjerstadvassdraget</t>
  </si>
  <si>
    <t>Stokkelandsåna</t>
  </si>
  <si>
    <t>025.AA</t>
  </si>
  <si>
    <t>2010-04-23T00:00:00</t>
  </si>
  <si>
    <t>[{'KdbID': 4451, 'Tittel': 'Stokkelandsåna kraftverk'}, {'KdbID': 8799, 'Tittel': 'Stokkelandsåna kraftverk - redusert slukeevne'}]</t>
  </si>
  <si>
    <t>Stongfjord</t>
  </si>
  <si>
    <t>084.1Z</t>
  </si>
  <si>
    <t>Storbekken</t>
  </si>
  <si>
    <t>STORBEKKEN SMÅKRAFTVERK AS</t>
  </si>
  <si>
    <t>931323636</t>
  </si>
  <si>
    <t>002.M62</t>
  </si>
  <si>
    <t>[{'AdressatID': 67521, 'Driftselskap': True, 'Hovedeier': True, 'Navn': 'STORBEKKEN SMÅKRAFTVERK AS', 'OrgNr': 931323636, 'ProsentAndel': 100.0, 'ProsentAndelDrift': 100.0}]</t>
  </si>
  <si>
    <t>[{'KdbID': 5752, 'Tittel': 'Storbekken kraftverk'}, {'KdbID': 8898, 'Tittel': 'Overføring av Kjøltjønnbekken og økt effekt i Storbekken kraftverk'}]</t>
  </si>
  <si>
    <t>Stordal</t>
  </si>
  <si>
    <t>067.3D2</t>
  </si>
  <si>
    <t>1974-01-19T00:00:00</t>
  </si>
  <si>
    <t>Storebekk</t>
  </si>
  <si>
    <t>STOREBEKK KRAFTVERK AS</t>
  </si>
  <si>
    <t>986152482</t>
  </si>
  <si>
    <t>021.BD</t>
  </si>
  <si>
    <t>2004-12-28T00:00:00</t>
  </si>
  <si>
    <t>[{'AdressatID': 41033, 'Driftselskap': True, 'Hovedeier': True, 'Navn': 'STOREBEKK KRAFTVERK AS', 'OrgNr': 986152482, 'ProsentAndel': 100.0, 'ProsentAndelDrift': 100.0}]</t>
  </si>
  <si>
    <t>[{'KdbID': 3832, 'Tittel': 'Storebekk småkraftverk'}]</t>
  </si>
  <si>
    <t>Storedalen</t>
  </si>
  <si>
    <t>STOREDALEN KRAFTVERK AS</t>
  </si>
  <si>
    <t>983103030</t>
  </si>
  <si>
    <t>[{'AdressatID': 43848, 'Driftselskap': True, 'Hovedeier': True, 'Navn': 'STOREDALEN KRAFTVERK AS', 'OrgNr': 983103030, 'ProsentAndel': 100.0, 'ProsentAndelDrift': 100.0}]</t>
  </si>
  <si>
    <t>[{'KdbID': 2603, 'Tittel': 'Minikraftverk Snarebotnelva'}]</t>
  </si>
  <si>
    <t>CADRE ELVEKRAFT 2 AS</t>
  </si>
  <si>
    <t>831565292</t>
  </si>
  <si>
    <t>192.2</t>
  </si>
  <si>
    <t>1948-09-27T00:00:00</t>
  </si>
  <si>
    <t>[{'AdressatID': 50288, 'Driftselskap': True, 'Hovedeier': False, 'Navn': 'NORDKRAFT ENERGIDRIFT AS', 'OrgNr': 916116993, 'ProsentAndel': None, 'ProsentAndelDrift': None}, {'AdressatID': 69372, 'Driftselskap': False, 'Hovedeier': True, 'Navn': 'CADRE ELVEKRAFT 2 AS', 'OrgNr': 831565292, 'ProsentAndel': 100.0, 'ProsentAndelDrift': 100.0}]</t>
  </si>
  <si>
    <t>STORELVA KRAFTVERK AS</t>
  </si>
  <si>
    <t>829139332</t>
  </si>
  <si>
    <t>[{'AdressatID': 63814, 'Driftselskap': True, 'Hovedeier': True, 'Navn': 'STORELVA KRAFTVERK AS', 'OrgNr': 829139332, 'ProsentAndel': 100.0, 'ProsentAndelDrift': 100.0}]</t>
  </si>
  <si>
    <t>[{'KdbID': 2306, 'Tittel': 'Minikraftverk i Grøndalen'}]</t>
  </si>
  <si>
    <t>144.7B</t>
  </si>
  <si>
    <t>2019-01-09T00:00:00</t>
  </si>
  <si>
    <t>[{'KdbID': 4853, 'Tittel': 'Storelva kraftverk'}]</t>
  </si>
  <si>
    <t>613</t>
  </si>
  <si>
    <t>2021-01-09T00:00:00</t>
  </si>
  <si>
    <t>[{'KdbID': 4506, 'Tittel': 'Storelva kraftverk'}]</t>
  </si>
  <si>
    <t>STORELVI KRAFTVERK AS</t>
  </si>
  <si>
    <t>891908792</t>
  </si>
  <si>
    <t>049.32</t>
  </si>
  <si>
    <t>2017-06-30T00:00:00</t>
  </si>
  <si>
    <t>[{'AdressatID': 10437, 'Driftselskap': True, 'Hovedeier': False, 'Navn': 'SUNNHORDLAND KRAFTLAG AS', 'OrgNr': 916435711, 'ProsentAndel': None, 'ProsentAndelDrift': None}, {'AdressatID': 43785, 'Driftselskap': False, 'Hovedeier': True, 'Navn': 'STORELVI KRAFTVERK AS', 'OrgNr': 891908792, 'ProsentAndel': 100.0, 'ProsentAndelDrift': 100.0}]</t>
  </si>
  <si>
    <t>[{'KdbID': 5438, 'Tittel': 'Storelvi kraftverk'}]</t>
  </si>
  <si>
    <t>Storelvvatnet</t>
  </si>
  <si>
    <t>164.DB</t>
  </si>
  <si>
    <t>2015-07-06T00:00:00</t>
  </si>
  <si>
    <t>[{'KdbID': 5958, 'Tittel': 'Storelvvatnet kraftverk'}]</t>
  </si>
  <si>
    <t>Storfallet</t>
  </si>
  <si>
    <t>002.K6A0</t>
  </si>
  <si>
    <t>1990-12-07T00:00:00</t>
  </si>
  <si>
    <t>Storli</t>
  </si>
  <si>
    <t>037.B22</t>
  </si>
  <si>
    <t>Storlia</t>
  </si>
  <si>
    <t>050.D2</t>
  </si>
  <si>
    <t>2020-09-04T00:00:00</t>
  </si>
  <si>
    <t>[{'KdbID': 2720, 'Tittel': 'Storlia kraftverk'}, {'KdbID': 7517, 'Tittel': 'Storlia kraftverk - planendring'}]</t>
  </si>
  <si>
    <t>Storlivatn</t>
  </si>
  <si>
    <t>037.BB12</t>
  </si>
  <si>
    <t>[{'KdbID': 1099, 'Tittel': 'Utbygging, regulering, overf. m.v. i Saudavassdraget m.fl, Rogaland'}, {'KdbID': 9038, 'Tittel': 'Midlertidig fravik fra manøvreringsreglementet - Fetavatnet (15.06.-30.09) og Slettedalsvatnet (15.07-15.09.2023)'}, {'KdbID': 9365, 'Tittel': 'Midlertidig fravik fra manøvreringsreglementet - Storlivatn\xa0kraftverk\xa0-\xa0Aktieselskabet Saudefaldene - Annet;  - 15.07.2024 til 15.09.2024- Referansenr:EKLSHI'}, {'KdbID': 9802, 'Tittel': 'Søknad - Midlertidig fravik fra manøvreringsreglementet - Storlivatn\xa0kraftverk\xa0-\xa0Aktieselskabet Saudefaldene - Tapping under LRV ;  - 01.02.2026 til 01.05.2026- Referansenr:PURQOT'}]</t>
  </si>
  <si>
    <t>Storrøvatnet</t>
  </si>
  <si>
    <t>[{'KdbID': 3112, 'Tittel': 'Høgseth minikraftverk'}]</t>
  </si>
  <si>
    <t>Storvatnet</t>
  </si>
  <si>
    <t>170.3A</t>
  </si>
  <si>
    <t>2015-10-20T00:00:00</t>
  </si>
  <si>
    <t>[{'KdbID': 4752, 'Tittel': 'Storvatnet kraftverk (tidl. Innhavet krv)'}]</t>
  </si>
  <si>
    <t>Storvasselva</t>
  </si>
  <si>
    <t>726</t>
  </si>
  <si>
    <t>Storå</t>
  </si>
  <si>
    <t>171.71</t>
  </si>
  <si>
    <t>2011-08-30T00:00:00</t>
  </si>
  <si>
    <t>[{'KdbID': 4293, 'Tittel': 'Storå kraftverk'}]</t>
  </si>
  <si>
    <t>723</t>
  </si>
  <si>
    <t>Storåselva</t>
  </si>
  <si>
    <t>128.F3</t>
  </si>
  <si>
    <t>[{'KdbID': 5451, 'Tittel': 'Storåselva kraftverk'}]</t>
  </si>
  <si>
    <t>Storåvatn 1</t>
  </si>
  <si>
    <t>159.2C</t>
  </si>
  <si>
    <t>Oldervikelva</t>
  </si>
  <si>
    <t>663</t>
  </si>
  <si>
    <t>Storåvatn 2</t>
  </si>
  <si>
    <t>159.32C</t>
  </si>
  <si>
    <t>2023-05-11T00:00:00</t>
  </si>
  <si>
    <t>[{'KdbID': 2528, 'Tittel': 'Smibelg og Storåvatn kraftverk'}, {'KdbID': 7950, 'Tittel': 'Planendring Storåvatn kraftverk - Regulering av Hyttvatnet'}]</t>
  </si>
  <si>
    <t>Sandvikelva</t>
  </si>
  <si>
    <t>Strand I</t>
  </si>
  <si>
    <t>[{'KdbID': 5238, 'Tittel': 'Strand I mikrokraftverk'}]</t>
  </si>
  <si>
    <t>Strandeelva</t>
  </si>
  <si>
    <t>JONN RINDEN</t>
  </si>
  <si>
    <t>969161192</t>
  </si>
  <si>
    <t>2005-02-20T00:00:00</t>
  </si>
  <si>
    <t>[{'AdressatID': 43472, 'Driftselskap': True, 'Hovedeier': True, 'Navn': 'JONN RINDEN', 'OrgNr': 969161192, 'ProsentAndel': 100.0, 'ProsentAndelDrift': 100.0}]</t>
  </si>
  <si>
    <t>Strandfossen</t>
  </si>
  <si>
    <t>002.H62</t>
  </si>
  <si>
    <t>1979-07-01T00:00:00</t>
  </si>
  <si>
    <t>[{'KdbID': 133, 'Tittel': 'Erverv, ekspropr. m.v. for utbygging av Strandfossen i Glomma'}, {'KdbID': 746, 'Tittel': 'Strandfossen Kraftverk , Ytterligere heving av vannstand i inntaket'}, {'KdbID': 9432, 'Tittel': 'Midlertidig fravik fra manøvreringsreglementet - Strandfossen\xa0kraftverk\xa0-\xa0HAFSLUND ECO VANNKRAFT AS - Fravik fra minstevannføring;  - 16.09.2024 til 31.10.2024- Referansenr:IMMZFW'}]</t>
  </si>
  <si>
    <t>Strandjordselva</t>
  </si>
  <si>
    <t>156.E0</t>
  </si>
  <si>
    <t>2005-10-31T00:00:00</t>
  </si>
  <si>
    <t>[{'AdressatID': 43339, 'Driftselskap': True, 'Hovedeier': True, 'Navn': 'STORFORSHEI NATURKRAFT AS', 'OrgNr': 985229244, 'ProsentAndel': None, 'ProsentAndelDrift': 100.0}, {'AdressatID': 51503, 'Driftselskap': False, 'Hovedeier': False, 'Navn': 'AVENTRON NORWAY AS', 'OrgNr': 913494512, 'ProsentAndel': 100.0, 'ProsentAndelDrift': None}]</t>
  </si>
  <si>
    <t>[{'KdbID': 7124, 'Tittel': 'Strandjordselva minikraftverk'}]</t>
  </si>
  <si>
    <t>Strandos</t>
  </si>
  <si>
    <t>STRANDOS KRAFT AS</t>
  </si>
  <si>
    <t>995358670</t>
  </si>
  <si>
    <t>080.4H</t>
  </si>
  <si>
    <t>[{'AdressatID': 43333, 'Driftselskap': True, 'Hovedeier': True, 'Navn': 'STRANDOS KRAFT AS', 'OrgNr': 995358670, 'ProsentAndel': 100.0, 'ProsentAndelDrift': 100.0}]</t>
  </si>
  <si>
    <t>[{'KdbID': 4866, 'Tittel': 'Strandos kraftverk'}]</t>
  </si>
  <si>
    <t>Straumane</t>
  </si>
  <si>
    <t>086.2Z</t>
  </si>
  <si>
    <t>2005-05-29T00:00:00</t>
  </si>
  <si>
    <t>[{'KdbID': 5592, 'Tittel': 'Straumane kraftverk'}]</t>
  </si>
  <si>
    <t>357</t>
  </si>
  <si>
    <t>Straume</t>
  </si>
  <si>
    <t>021.E3A</t>
  </si>
  <si>
    <t>2017-09-12T00:00:00</t>
  </si>
  <si>
    <t>[{'KdbID': 7011, 'Tittel': 'Straume kraftverk'}, {'KdbID': 7767, 'Tittel': 'Planendring Straume kraftverk'}]</t>
  </si>
  <si>
    <t>Straumsmo</t>
  </si>
  <si>
    <t>196.AC4</t>
  </si>
  <si>
    <t>1966-02-10T00:00:00</t>
  </si>
  <si>
    <t>[{'KdbID': 870, 'Tittel': 'Regulering av Altevatn'}, {'KdbID': 871, 'Tittel': 'Statsreg. av Altevatn og overf. av Salvasskarelv til Altevatn'}, {'KdbID': 872, 'Tittel': 'Overf. av Mouldajokka og Irggasjaurie til Altevatn'}, {'KdbID': 873, 'Tittel': 'Innføring av Straumsli-Tverrelv på dr.tunnel for Straumsmo kr.v.'}]</t>
  </si>
  <si>
    <t>Straumstøyl</t>
  </si>
  <si>
    <t>JON LINDESTAD BAKKEN</t>
  </si>
  <si>
    <t>983997279</t>
  </si>
  <si>
    <t>016.BEC5</t>
  </si>
  <si>
    <t>2006-06-21T00:00:00</t>
  </si>
  <si>
    <t>[{'AdressatID': 43453, 'Driftselskap': True, 'Hovedeier': True, 'Navn': 'JON LINDESTAD BAKKEN', 'OrgNr': 983997279, 'ProsentAndel': 100.0, 'ProsentAndelDrift': 100.0}]</t>
  </si>
  <si>
    <t>[{'KdbID': 3977, 'Tittel': 'Straumstøyl minikraftverk'}]</t>
  </si>
  <si>
    <t>Strielv</t>
  </si>
  <si>
    <t>178.442Z</t>
  </si>
  <si>
    <t>[{'KdbID': 407, 'Tittel': 'Regulering og utbygging av Strielva'}]</t>
  </si>
  <si>
    <t>Stridelva</t>
  </si>
  <si>
    <t>Strindmoelva</t>
  </si>
  <si>
    <t>128.C3Z</t>
  </si>
  <si>
    <t>[{'KdbID': 2325, 'Tittel': 'Ombygging/rehab av mikrokraftverk i Strindmovassdraget'}]</t>
  </si>
  <si>
    <t>Strupen</t>
  </si>
  <si>
    <t>STRUPEN ENERGI AS</t>
  </si>
  <si>
    <t>979909551</t>
  </si>
  <si>
    <t>1999-04-20T00:00:00</t>
  </si>
  <si>
    <t>[{'AdressatID': 42408, 'Driftselskap': True, 'Hovedeier': True, 'Navn': 'STRUPEN ENERGI AS', 'OrgNr': 979909551, 'ProsentAndel': 100.0, 'ProsentAndelDrift': 100.0}]</t>
  </si>
  <si>
    <t>[{'KdbID': 2311, 'Tittel': 'Minikraftverk i Sundalen'}]</t>
  </si>
  <si>
    <t>STRUPEN KRAFT AS</t>
  </si>
  <si>
    <t>911605333</t>
  </si>
  <si>
    <t>087.CC</t>
  </si>
  <si>
    <t>2017-06-21T00:00:00</t>
  </si>
  <si>
    <t>[{'AdressatID': 50164, 'Driftselskap': True, 'Hovedeier': True, 'Navn': 'STRUPEN KRAFT AS', 'OrgNr': 911605333, 'ProsentAndel': 100.0, 'ProsentAndelDrift': 100.0}]</t>
  </si>
  <si>
    <t>[{'KdbID': 4399, 'Tittel': 'Strupen kraftverk'}]</t>
  </si>
  <si>
    <t>Strømsfoss</t>
  </si>
  <si>
    <t>Aremark</t>
  </si>
  <si>
    <t>001.D3</t>
  </si>
  <si>
    <t>1994-10-05T00:00:00</t>
  </si>
  <si>
    <t>Stråpa</t>
  </si>
  <si>
    <t>STRÅPA KRAFT AS</t>
  </si>
  <si>
    <t>989777432</t>
  </si>
  <si>
    <t>036.A3</t>
  </si>
  <si>
    <t>2007-04-24T00:00:00</t>
  </si>
  <si>
    <t>[{'AdressatID': 43154, 'Driftselskap': True, 'Hovedeier': True, 'Navn': 'STRÅPA KRAFT AS', 'OrgNr': 989777432, 'ProsentAndel': 100.0, 'ProsentAndelDrift': 100.0}]</t>
  </si>
  <si>
    <t>[{'KdbID': 4228, 'Tittel': 'Stråpa småkraftverk'}]</t>
  </si>
  <si>
    <t>Stublielva</t>
  </si>
  <si>
    <t>174.2AA0</t>
  </si>
  <si>
    <t>2014-11-11T00:00:00</t>
  </si>
  <si>
    <t>[{'KdbID': 4497, 'Tittel': 'Stublielva småkraftverk'}]</t>
  </si>
  <si>
    <t>Lakselva (beisfjord)</t>
  </si>
  <si>
    <t>741</t>
  </si>
  <si>
    <t>Stuttgongfossen</t>
  </si>
  <si>
    <t>STUTTGONGFOSSEN KRAFTVERK AS</t>
  </si>
  <si>
    <t>962091059</t>
  </si>
  <si>
    <t>002.DGE4</t>
  </si>
  <si>
    <t>2007-05-08T00:00:00</t>
  </si>
  <si>
    <t>[{'AdressatID': 43712, 'Driftselskap': True, 'Hovedeier': True, 'Navn': 'STUTTGONGFOSSEN KRAFTVERK AS', 'OrgNr': 962091059, 'ProsentAndel': 100.0, 'ProsentAndelDrift': 100.0}]</t>
  </si>
  <si>
    <t>[{'KdbID': 4256, 'Tittel': 'Stuttgongfossen minikraftverk'}]</t>
  </si>
  <si>
    <t>Stuvane</t>
  </si>
  <si>
    <t>OKKEN KRAFT AS</t>
  </si>
  <si>
    <t>919372362</t>
  </si>
  <si>
    <t>073.B1</t>
  </si>
  <si>
    <t>1988-11-01T00:00:00</t>
  </si>
  <si>
    <t>[{'AdressatID': 41137, 'Driftselskap': True, 'Hovedeier': False, 'Navn': 'ØSTFOLD ENERGI AS', 'OrgNr': 879904412, 'ProsentAndel': None, 'ProsentAndelDrift': None}, {'AdressatID': 51489, 'Driftselskap': False, 'Hovedeier': True, 'Navn': 'OKKEN KRAFT AS', 'OrgNr': 919372362, 'ProsentAndel': 100.0, 'ProsentAndelDrift': 100.0}]</t>
  </si>
  <si>
    <t>[{'KdbID': 710, 'Tittel': 'Erverv av fall/ bruksrett til fall - Stuvane kraftverk'}, {'KdbID': 4712, 'Tittel': 'Overføring av Vadhaugane og planendring Borgund kraftverk i Lærdalsvassdraget'}, {'KdbID': 6787, 'Tittel': 'Mørkedøla pumpe i Lærdalsvassdraget'}]</t>
  </si>
  <si>
    <t>Styrkesneselva</t>
  </si>
  <si>
    <t>STYRKESNESELVA KRAFT AS</t>
  </si>
  <si>
    <t>930182516</t>
  </si>
  <si>
    <t>167.4Z</t>
  </si>
  <si>
    <t>2024-06-16T00:00:00</t>
  </si>
  <si>
    <t>[{'AdressatID': 67194, 'Driftselskap': False, 'Hovedeier': True, 'Navn': 'STYRKESNESELVA KRAFT AS', 'OrgNr': 930182516, 'ProsentAndel': 100.0, 'ProsentAndelDrift': 100.0}, {'AdressatID': 67314, 'Driftselskap': True, 'Hovedeier': False, 'Navn': 'NORSK VANNKRAFT AS', 'OrgNr': 926581880, 'ProsentAndel': None, 'ProsentAndelDrift': None}]</t>
  </si>
  <si>
    <t>[{'KdbID': 5599, 'Tittel': 'Styrkesneselva kraftverk'}]</t>
  </si>
  <si>
    <t>Stølen</t>
  </si>
  <si>
    <t>025.CC</t>
  </si>
  <si>
    <t>2023-01-04T00:00:00</t>
  </si>
  <si>
    <t>[{'KdbID': 5185, 'Tittel': 'Stølen kraftverk'}, {'KdbID': 8316, 'Tittel': 'Planendring for Stølen kraftverk'}]</t>
  </si>
  <si>
    <t>Stølsdal</t>
  </si>
  <si>
    <t>035.4AB</t>
  </si>
  <si>
    <t>1986-05-03T00:00:00</t>
  </si>
  <si>
    <t>Førreelva</t>
  </si>
  <si>
    <t>Stølsdalselva</t>
  </si>
  <si>
    <t>047.2AZ</t>
  </si>
  <si>
    <t>2009-07-10T00:00:00</t>
  </si>
  <si>
    <t>[{'KdbID': 4877, 'Tittel': 'Stølsdalselva kraftverk'}, {'KdbID': 7571, 'Tittel': 'Stølsdalselva kraftverk - nytt aggregat'}]</t>
  </si>
  <si>
    <t>084.CA3</t>
  </si>
  <si>
    <t>2020-05-19T00:00:00</t>
  </si>
  <si>
    <t>[{'KdbID': 5983, 'Tittel': 'Stølselva kraftverk'}]</t>
  </si>
  <si>
    <t>Stølskraft</t>
  </si>
  <si>
    <t>STØLSKRAFT AS</t>
  </si>
  <si>
    <t>984016336</t>
  </si>
  <si>
    <t>027.D6B</t>
  </si>
  <si>
    <t>2003-03-21T00:00:00</t>
  </si>
  <si>
    <t>[{'AdressatID': 41102, 'Driftselskap': True, 'Hovedeier': True, 'Navn': 'STØLSKRAFT AS', 'OrgNr': 984016336, 'ProsentAndel': 100.0, 'ProsentAndelDrift': 100.0}]</t>
  </si>
  <si>
    <t>[{'KdbID': 3608, 'Tittel': 'Stølsvatn kraftstasjon i vannverkstunnel'}]</t>
  </si>
  <si>
    <t>144</t>
  </si>
  <si>
    <t>Stølslia</t>
  </si>
  <si>
    <t>STØLSLIA KRAFT AS</t>
  </si>
  <si>
    <t>889544422</t>
  </si>
  <si>
    <t>2007-03-19T00:00:00</t>
  </si>
  <si>
    <t>[{'AdressatID': 43355, 'Driftselskap': True, 'Hovedeier': True, 'Navn': 'STØLSLIA KRAFT AS', 'OrgNr': 889544422, 'ProsentAndel': 100.0, 'ProsentAndelDrift': 100.0}]</t>
  </si>
  <si>
    <t>[{'KdbID': 4157, 'Tittel': 'Stølslia kraftverk'}]</t>
  </si>
  <si>
    <t>Suldal I</t>
  </si>
  <si>
    <t>036.B9</t>
  </si>
  <si>
    <t>1965-01-01T00:00:00</t>
  </si>
  <si>
    <t>[{'KdbID': 46, 'Tittel': 'Erverv og regulering i Røldal-Suldalsvassdragene m.v.'}, {'KdbID': 7814, 'Tittel': 'Oppgradering av Suldal kraftverk'}, {'KdbID': 8571, 'Tittel': 'Revisjon av konsesjonsvilkår - Røldal-Suldalsvassdragene'}]</t>
  </si>
  <si>
    <t>Suldal II</t>
  </si>
  <si>
    <t>036.B9B</t>
  </si>
  <si>
    <t>[{'KdbID': 46, 'Tittel': 'Erverv og regulering i Røldal-Suldalsvassdragene m.v.'}, {'KdbID': 8571, 'Tittel': 'Revisjon av konsesjonsvilkår - Røldal-Suldalsvassdragene'}, {'KdbID': 9431, 'Tittel': 'Midlertidig fravik fra manøvreringsreglementet - Suldal II\xa0kraftverk\xa0- 04.08.2025 - 26.09.2025'}, {'KdbID': 9740, 'Tittel': 'Midlertidig fravik fra manøvreringsreglementet - Suldal II kraftverk - 01.10.2025-30.11.2025'}]</t>
  </si>
  <si>
    <t>Sundal</t>
  </si>
  <si>
    <t>SUNDAL KRAFT AS</t>
  </si>
  <si>
    <t>935650283</t>
  </si>
  <si>
    <t>094.45C</t>
  </si>
  <si>
    <t>[{'AdressatID': 76261, 'Driftselskap': True, 'Hovedeier': True, 'Navn': 'SUNDAL KRAFT AS', 'OrgNr': 935650283, 'ProsentAndel': 100.0, 'ProsentAndelDrift': 100.0}]</t>
  </si>
  <si>
    <t>[{'KdbID': 4072, 'Tittel': 'Sundal kraftverk'}, {'KdbID': 5801, 'Tittel': 'Sundal kraftverk planendring'}]</t>
  </si>
  <si>
    <t>Sunndalselva</t>
  </si>
  <si>
    <t>Sundfossen</t>
  </si>
  <si>
    <t>128.B6</t>
  </si>
  <si>
    <t>1998-07-15T00:00:00</t>
  </si>
  <si>
    <t>Sundli</t>
  </si>
  <si>
    <t>SUNDLIKRAFT AS</t>
  </si>
  <si>
    <t>995081881</t>
  </si>
  <si>
    <t>121.A21Z</t>
  </si>
  <si>
    <t>2015-02-04T00:00:00</t>
  </si>
  <si>
    <t>[{'AdressatID': 43341, 'Driftselskap': True, 'Hovedeier': True, 'Navn': 'SUNDLIKRAFT AS', 'OrgNr': 995081881, 'ProsentAndel': 100.0, 'ProsentAndelDrift': 100.0}]</t>
  </si>
  <si>
    <t>[{'KdbID': 5096, 'Tittel': 'Sundli kraftverk, reg. Strømtjønna'}]</t>
  </si>
  <si>
    <t>Sundsbarm</t>
  </si>
  <si>
    <t>016.CC2</t>
  </si>
  <si>
    <t>1970-11-01T00:00:00</t>
  </si>
  <si>
    <t>[{'AdressatID': 10384, 'Driftselskap': False, 'Hovedeier': False, 'Navn': 'VEST-TELEMARK KRAFTLAG AS', 'OrgNr': 955996836, 'ProsentAndel': 8.5, 'ProsentAndelDrift': 8.5}, {'AdressatID': 40113, 'Driftselskap': True, 'Hovedeier': True, 'Navn': 'SKAGERAK KRAFT AS', 'OrgNr': 979563531, 'ProsentAndel': 91.5, 'ProsentAndelDrift': 91.5}]</t>
  </si>
  <si>
    <t>[{'KdbID': 907, 'Tittel': 'Sundsbarm kraftverk - Regulering og overføring i Flatdalsvdr, Morgedalsvdr. og Dalaåi'}, {'KdbID': 7302, 'Tittel': 'Revisjon av konsesjonsvilkår - Sundsbarmreguleringen'}]</t>
  </si>
  <si>
    <t>Sundsfjord</t>
  </si>
  <si>
    <t>161.2Z</t>
  </si>
  <si>
    <t>1961-02-01T00:00:00</t>
  </si>
  <si>
    <t>[{'KdbID': 513, 'Tittel': 'Erverv og reg. av Forsåga og reg. og overf. av Sundsfjordelv'}, {'KdbID': 985, 'Tittel': 'Erverv av fall i Næveråga, reg. og overf. i Arstadelva m.v.'}, {'KdbID': 1181, 'Tittel': 'Reg. av Forsåga og Sundsfjordelv mv. - Planendr. mv.'}, {'KdbID': 4005, 'Tittel': 'Kraftverkene i Sundsfjord, endring av vilkår'}]</t>
  </si>
  <si>
    <t>Suvdal (Buvasselva)</t>
  </si>
  <si>
    <t>[{'KdbID': 3508, 'Tittel': 'Fikjestøl Kraftverk 1 og 2'}]</t>
  </si>
  <si>
    <t>Suvdal (Kleppsvatn)</t>
  </si>
  <si>
    <t>Svabo</t>
  </si>
  <si>
    <t>MO INDUSTRIPARK AS</t>
  </si>
  <si>
    <t>914780152</t>
  </si>
  <si>
    <t>156.3Z</t>
  </si>
  <si>
    <t>1996-05-23T00:00:00</t>
  </si>
  <si>
    <t>[{'AdressatID': 12216, 'Driftselskap': True, 'Hovedeier': True, 'Navn': 'MO INDUSTRIPARK AS', 'OrgNr': 914780152, 'ProsentAndel': 100.0, 'ProsentAndelDrift': 100.0}]</t>
  </si>
  <si>
    <t>[{'KdbID': 655, 'Tittel': 'Reg. Andfiskvatn, Småvatna og Fiskeløysvatn, erv. bruksrett fall'}]</t>
  </si>
  <si>
    <t>Andfiskåga</t>
  </si>
  <si>
    <t>654</t>
  </si>
  <si>
    <t>Svandalen</t>
  </si>
  <si>
    <t>SVANDALEN KRAFTVERK AS</t>
  </si>
  <si>
    <t>922592543</t>
  </si>
  <si>
    <t>2020-11-26T00:00:00</t>
  </si>
  <si>
    <t>[{'AdressatID': 53027, 'Driftselskap': True, 'Hovedeier': False, 'Navn': 'FOSSBERG KRAFT AS', 'OrgNr': 920721087, 'ProsentAndel': None, 'ProsentAndelDrift': None}, {'AdressatID': 53220, 'Driftselskap': False, 'Hovedeier': True, 'Navn': 'SVANDALEN KRAFTVERK AS', 'OrgNr': 922592543, 'ProsentAndel': 100.0, 'ProsentAndelDrift': 100.0}]</t>
  </si>
  <si>
    <t>[{'KdbID': 6806, 'Tittel': 'Svandalen kraftverk'}]</t>
  </si>
  <si>
    <t>177</t>
  </si>
  <si>
    <t>Svandalsflona</t>
  </si>
  <si>
    <t>[{'KdbID': 46, 'Tittel': 'Erverv og regulering i Røldal-Suldalsvassdragene m.v.'}, {'KdbID': 345, 'Tittel': 'Ytt. erverv og reg. i Røldal-Suldal for utb. av Svandalsflona kr.v.'}]</t>
  </si>
  <si>
    <t>Svanedal</t>
  </si>
  <si>
    <t>DESCONDA AS</t>
  </si>
  <si>
    <t>975966798</t>
  </si>
  <si>
    <t>027.31</t>
  </si>
  <si>
    <t>[{'AdressatID': 50176, 'Driftselskap': True, 'Hovedeier': True, 'Navn': 'DESCONDA AS', 'OrgNr': 975966798, 'ProsentAndel': 100.0, 'ProsentAndelDrift': 100.0}]</t>
  </si>
  <si>
    <t>[{'KdbID': 3543, 'Tittel': 'Overf. Kvelvelandsbekken, Svanedal kraftverk'}]</t>
  </si>
  <si>
    <t>Svardøla</t>
  </si>
  <si>
    <t>SVARDØLA KRAFT AS</t>
  </si>
  <si>
    <t>915148301</t>
  </si>
  <si>
    <t>077.D</t>
  </si>
  <si>
    <t>2018-12-20T00:00:00</t>
  </si>
  <si>
    <t>[{'AdressatID': 50412, 'Driftselskap': True, 'Hovedeier': True, 'Navn': 'SVARDØLA KRAFT AS', 'OrgNr': 915148301, 'ProsentAndel': 100.0, 'ProsentAndelDrift': 100.0}]</t>
  </si>
  <si>
    <t>[{'KdbID': 4656, 'Tittel': 'Svardøla kraftverk'}]</t>
  </si>
  <si>
    <t>Svartdalen</t>
  </si>
  <si>
    <t>067.1D</t>
  </si>
  <si>
    <t>2006-02-08T00:00:00</t>
  </si>
  <si>
    <t>[{'KdbID': 2389, 'Tittel': 'Svartdalen kraftverk'}]</t>
  </si>
  <si>
    <t>Andvikelvi</t>
  </si>
  <si>
    <t>264</t>
  </si>
  <si>
    <t>Svartefoss</t>
  </si>
  <si>
    <t>082.DB</t>
  </si>
  <si>
    <t>2020-11-04T00:00:00</t>
  </si>
  <si>
    <t>[{'KdbID': 6343, 'Tittel': 'Svartefoss (Tjøredalselva) kraftverk'}]</t>
  </si>
  <si>
    <t>Guddalsvassdraget</t>
  </si>
  <si>
    <t>334</t>
  </si>
  <si>
    <t>Svartelva</t>
  </si>
  <si>
    <t>132.AB</t>
  </si>
  <si>
    <t>1959-12-19T00:00:00</t>
  </si>
  <si>
    <t>[{'KdbID': 351, 'Tittel': 'Erverv av fall i Lundesokna, Svartelva og Søa, Overf. av reg.till.'}]</t>
  </si>
  <si>
    <t>536</t>
  </si>
  <si>
    <t>Svartevatn</t>
  </si>
  <si>
    <t>162.62B</t>
  </si>
  <si>
    <t>2008-03-01T00:00:00</t>
  </si>
  <si>
    <t>[{'KdbID': 4268, 'Tittel': 'Overføring av Tindvatn og Lurfjellskavlen til Oldereid kraftverk,'}]</t>
  </si>
  <si>
    <t>Skredelva</t>
  </si>
  <si>
    <t>Svartisen</t>
  </si>
  <si>
    <t>159.8Z</t>
  </si>
  <si>
    <t>1993-05-15T00:00:00</t>
  </si>
  <si>
    <t>[{'AdressatID': 41005, 'Driftselskap': True, 'Hovedeier': True, 'Navn': 'STATKRAFT ENERGI AS', 'OrgNr': 987059729, 'ProsentAndel': 70.0, 'ProsentAndelDrift': 70.0}, {'AdressatID': 50049, 'Driftselskap': False, 'Hovedeier': False, 'Navn': 'NORDLANDSKRAFT AS', 'OrgNr': 984660049, 'ProsentAndel': 30.0, 'ProsentAndelDrift': 30.0}]</t>
  </si>
  <si>
    <t>[{'KdbID': 605, 'Tittel': 'Saltfjellet/Svartisen - Stor-Glomfjord - Utbygging, regulering m.v.'}, {'KdbID': 685, 'Tittel': 'Stor-Glomfjordutbyggingen - overf. av Vatn 662 og Botteløyrabekken'}, {'KdbID': 4038, 'Tittel': 'Erverv av aksjer i Eastern Norge Svartisen AS'}, {'KdbID': 4815, 'Tittel': 'Nytt aggregat i Svartisen kraftverk'}]</t>
  </si>
  <si>
    <t>Storflatelva</t>
  </si>
  <si>
    <t>Svartkulp</t>
  </si>
  <si>
    <t>037.BD5</t>
  </si>
  <si>
    <t>2001-11-01T00:00:00</t>
  </si>
  <si>
    <t>[{'KdbID': 1099, 'Tittel': 'Utbygging, regulering, overf. m.v. i Saudavassdraget m.fl, Rogaland'}, {'KdbID': 2537, 'Tittel': 'Svartkulp  kraftverk'}]</t>
  </si>
  <si>
    <t>Svarttjern</t>
  </si>
  <si>
    <t>2008-03-05T00:00:00</t>
  </si>
  <si>
    <t>Svartvasselva</t>
  </si>
  <si>
    <t>UNIKRAFT AS</t>
  </si>
  <si>
    <t>988368768</t>
  </si>
  <si>
    <t>151.D2B</t>
  </si>
  <si>
    <t>2006-05-15T00:00:00</t>
  </si>
  <si>
    <t>[{'AdressatID': 43152, 'Driftselskap': True, 'Hovedeier': True, 'Navn': 'UNIKRAFT AS', 'OrgNr': 988368768, 'ProsentAndel': 100.0, 'ProsentAndelDrift': 100.0}]</t>
  </si>
  <si>
    <t>[{'KdbID': 4168, 'Tittel': 'Svartvasselva minikraftverk'}]</t>
  </si>
  <si>
    <t>Svartvatn</t>
  </si>
  <si>
    <t>148.31A3</t>
  </si>
  <si>
    <t>2012-11-27T00:00:00</t>
  </si>
  <si>
    <t>[{'KdbID': 5997, 'Tittel': 'Svartvatn kraftverk'}]</t>
  </si>
  <si>
    <t>Svatsum 1</t>
  </si>
  <si>
    <t>SVATSUM ELEKTRISITETSVERK AS</t>
  </si>
  <si>
    <t>916452705</t>
  </si>
  <si>
    <t>002.DDFA</t>
  </si>
  <si>
    <t>[{'AdressatID': 10308, 'Driftselskap': True, 'Hovedeier': True, 'Navn': 'SVATSUM ELEKTRISITETSVERK AS', 'OrgNr': 916452705, 'ProsentAndel': 100.0, 'ProsentAndelDrift': 100.0}]</t>
  </si>
  <si>
    <t>[{'KdbID': 1983, 'Tittel': 'Opprusting Svatsum kraftverk'}]</t>
  </si>
  <si>
    <t>Svatsum 2</t>
  </si>
  <si>
    <t>2009-09-16T00:00:00</t>
  </si>
  <si>
    <t>[{'KdbID': 4924, 'Tittel': 'Ongsjoa kraftverk'}]</t>
  </si>
  <si>
    <t>Svean</t>
  </si>
  <si>
    <t>123.A81</t>
  </si>
  <si>
    <t>Sveingård</t>
  </si>
  <si>
    <t>203.4AB</t>
  </si>
  <si>
    <t>2021-08-11T00:00:00</t>
  </si>
  <si>
    <t>[{'KdbID': 5556, 'Tittel': 'Sveingard kraftverk'}, {'KdbID': 7902, 'Tittel': 'Sveingard kraftverk planendring'}]</t>
  </si>
  <si>
    <t>Skogneselva</t>
  </si>
  <si>
    <t>Svelgen I</t>
  </si>
  <si>
    <t>[{'AdressatID': 10199, 'Driftselskap': True, 'Hovedeier': True, 'Navn': 'SVELGEN KRAFT AS', 'OrgNr': 986530649, 'ProsentAndel': 100.0, 'ProsentAndelDrift': 100.0}]</t>
  </si>
  <si>
    <t>[{'KdbID': 7321, 'Tittel': 'Erverv av fallrettigheter tilknyttet Svelgen I og II'}, {'KdbID': 7629, 'Tittel': 'Fornyet reguleringskonsesjon Svelgen I og II kraftverk'}]</t>
  </si>
  <si>
    <t>Svelgen II</t>
  </si>
  <si>
    <t>086.21A</t>
  </si>
  <si>
    <t>Riseelva</t>
  </si>
  <si>
    <t>Svelgen III</t>
  </si>
  <si>
    <t>086.1B1</t>
  </si>
  <si>
    <t>[{'KdbID': 312, 'Tittel': 'Erverv og regulering av Indrehusvassdraget og Haukåvassdraget'}, {'KdbID': 1879, 'Tittel': 'Reg. og overf.vann kote 462/Svelgen III, bygging av Lilleteig pumpe'}]</t>
  </si>
  <si>
    <t>Indrehuselva</t>
  </si>
  <si>
    <t>355</t>
  </si>
  <si>
    <t>Svelgen IV</t>
  </si>
  <si>
    <t>[{'KdbID': 392, 'Tittel': 'Erverv, reg. og overf. i Norddalsvassdraget, bygging av Svelgen IV'}]</t>
  </si>
  <si>
    <t>352</t>
  </si>
  <si>
    <t>Svelgfoss</t>
  </si>
  <si>
    <t>016.F2</t>
  </si>
  <si>
    <t>[{'AdressatID': 10282, 'Driftselskap': True, 'Hovedeier': True, 'Navn': 'HYDRO ENERGI AS', 'OrgNr': 930187240, 'ProsentAndel': None, 'ProsentAndelDrift': None}, {'AdressatID': 24453, 'Driftselskap': False, 'Hovedeier': False, 'Navn': 'Norsk Hydro ASA', 'OrgNr': 914778271, 'ProsentAndel': 70.22, 'ProsentAndelDrift': 70.22}, {'AdressatID': 26481, 'Driftselskap': False, 'Hovedeier': False, 'Navn': 'VESTMAR NETT AS', 'OrgNr': 979399901, 'ProsentAndel': 2.92, 'ProsentAndelDrift': 2.92}, {'AdressatID': 40113, 'Driftselskap': False, 'Hovedeier': False, 'Navn': 'SKAGERAK KRAFT AS', 'OrgNr': 979563531, 'ProsentAndel': 23.94, 'ProsentAndelDrift': 23.94}, {'AdressatID': 50043, 'Driftselskap': False, 'Hovedeier': False, 'Navn': 'NOTODDEN ENERGI AS', 'OrgNr': 999263798, 'ProsentAndel': 2.92, 'ProsentAndelDrift': 2.92}]</t>
  </si>
  <si>
    <t>[{'KdbID': 901, 'Tittel': 'Erverv av 0.4 m fall i Tinnelva - Svelgfoss kraftverk'}, {'KdbID': 1009, 'Tittel': 'Erverv av deler av Lienfoss i Hiterdal ( Svelgfoss i Tinnelva)'}, {'KdbID': 1105, 'Tittel': 'Erverv av 29.2 % av Svelgfoss kraftverk i Tinnelva'}, {'KdbID': 1829, 'Tittel': 'Erverv og bruksrett på eiendom for utb. av Svelgfossen.'}]</t>
  </si>
  <si>
    <t>Sviland</t>
  </si>
  <si>
    <t>029.2D1</t>
  </si>
  <si>
    <t>1998-08-19T00:00:00</t>
  </si>
  <si>
    <t>Imselva</t>
  </si>
  <si>
    <t>145</t>
  </si>
  <si>
    <t>Svoldal</t>
  </si>
  <si>
    <t>SVOLDAL KRAFT AS</t>
  </si>
  <si>
    <t>932463385</t>
  </si>
  <si>
    <t>046.11</t>
  </si>
  <si>
    <t>2025-05-07T00:00:00</t>
  </si>
  <si>
    <t>[{'AdressatID': 43327, 'Driftselskap': True, 'Hovedeier': False, 'Navn': 'FATLAND KRAFT AS', 'OrgNr': 999330061, 'ProsentAndel': None, 'ProsentAndelDrift': None}, {'AdressatID': 76263, 'Driftselskap': False, 'Hovedeier': True, 'Navn': 'SVOLDAL KRAFT AS', 'OrgNr': 932463385, 'ProsentAndel': 100.0, 'ProsentAndelDrift': 100.0}]</t>
  </si>
  <si>
    <t>[{'KdbID': 8378, 'Tittel': 'Svoldal kraftverk'}]</t>
  </si>
  <si>
    <t>Svorka</t>
  </si>
  <si>
    <t>112.3A1</t>
  </si>
  <si>
    <t>1963-04-04T00:00:00</t>
  </si>
  <si>
    <t>[{'KdbID': 936, 'Tittel': 'Regulering av Svorka og Lille Bævra, Øverføring av Lille Bævra og Brandåa'}, {'KdbID': 2036, 'Tittel': 'Erv. av fallrettigheter i Svorka. Svorka krs. i sameie med staten.'}, {'KdbID': 7241, 'Tittel': 'Revisjon av konsesjonsvilkår for Svorkareguleringen'}, {'KdbID': 9676, 'Tittel': 'Søknad - Midlertidig fravik fra manøvreringsreglementet - Svorka\xa0kraftverk\xa0-\xa0STATKRAFT ENERGI AS - Tapping under LRV ;  - 28.08.2025 til 10.09.2025- Referansenr:XWWGYI'}]</t>
  </si>
  <si>
    <t>Svorkmo</t>
  </si>
  <si>
    <t>121.A42</t>
  </si>
  <si>
    <t>1983-07-01T00:00:00</t>
  </si>
  <si>
    <t>[{'KdbID': 447, 'Tittel': 'Orkla-Grana utbyggingen - Erverv og regulering av Orkla og Grana'}, {'KdbID': 668, 'Tittel': 'Orkla-Grana utbyggingen - Svorkmo kraftv. uten forbislippingsventil'}, {'KdbID': 715, 'Tittel': 'Orkla-Grana utbyggingen - Svorkmo Kraftverk, Planendring'}, {'KdbID': 770, 'Tittel': 'Orkla-Grana utbyggingen - Ekspropriasjon for bygging av kraftverk'}]</t>
  </si>
  <si>
    <t>Sværa</t>
  </si>
  <si>
    <t>075.4Z</t>
  </si>
  <si>
    <t>Mørkrisvassdraget</t>
  </si>
  <si>
    <t>308</t>
  </si>
  <si>
    <t>Sværen</t>
  </si>
  <si>
    <t>078.6Z</t>
  </si>
  <si>
    <t>2010-05-26T00:00:00</t>
  </si>
  <si>
    <t>[{'KdbID': 4400, 'Tittel': 'Sværen kraftverk'}]</t>
  </si>
  <si>
    <t>Sværelvi</t>
  </si>
  <si>
    <t>324</t>
  </si>
  <si>
    <t>Sya</t>
  </si>
  <si>
    <t>SYA KRAFT AS</t>
  </si>
  <si>
    <t>993088234</t>
  </si>
  <si>
    <t>121.B31</t>
  </si>
  <si>
    <t>2009-12-14T00:00:00</t>
  </si>
  <si>
    <t>[{'AdressatID': 42696, 'Driftselskap': True, 'Hovedeier': True, 'Navn': 'SYA KRAFT AS', 'OrgNr': 993088234, 'ProsentAndel': 100.0, 'ProsentAndelDrift': 100.0}]</t>
  </si>
  <si>
    <t>[{'KdbID': 3985, 'Tittel': 'Sya kraftverk'}]</t>
  </si>
  <si>
    <t>Sylsjø</t>
  </si>
  <si>
    <t>123.H5</t>
  </si>
  <si>
    <t>[{'AdressatID': 41005, 'Driftselskap': True, 'Hovedeier': True, 'Navn': 'STATKRAFT ENERGI AS', 'OrgNr': 987059729, 'ProsentAndel': None, 'ProsentAndelDrift': 100.0}, {'AdressatID': 50145, 'Driftselskap': False, 'Hovedeier': False, 'Navn': 'STATKRAFT SVERIGE AB', 'OrgNr': 913182049, 'ProsentAndel': 100.0, 'ProsentAndelDrift': None}]</t>
  </si>
  <si>
    <t>[{'KdbID': 219, 'Tittel': 'Regulering av Sylsjøen i Nea på svensk grunn m.v.'}]</t>
  </si>
  <si>
    <t>Syrifossen</t>
  </si>
  <si>
    <t>SYRIKRAFT AS</t>
  </si>
  <si>
    <t>991730516</t>
  </si>
  <si>
    <t>062.E2Z</t>
  </si>
  <si>
    <t>2010-04-14T00:00:00</t>
  </si>
  <si>
    <t>[{'AdressatID': 43125, 'Driftselskap': True, 'Hovedeier': True, 'Navn': 'SYRIKRAFT AS', 'OrgNr': 991730516, 'ProsentAndel': 100.0, 'ProsentAndelDrift': 100.0}]</t>
  </si>
  <si>
    <t>[{'KdbID': 4669, 'Tittel': 'Syrifossen kraftverk'}]</t>
  </si>
  <si>
    <t>Sy-Sima</t>
  </si>
  <si>
    <t>050.4AZ</t>
  </si>
  <si>
    <t>1981-09-15T00:00:00</t>
  </si>
  <si>
    <t>[{'KdbID': 371, 'Tittel': 'Statsregulering for utbygging av Eidfjord-Nord - Reguleringsbest.'}, {'KdbID': 3678, 'Tittel': 'Overføring av Oneåa til Sy-Sima kraftverk'}]</t>
  </si>
  <si>
    <t>Simavassdraget</t>
  </si>
  <si>
    <t>223</t>
  </si>
  <si>
    <t>Syversætre Foss</t>
  </si>
  <si>
    <t>SYVERSÆTRE FOSS KRAFTVERK AS</t>
  </si>
  <si>
    <t>995673479</t>
  </si>
  <si>
    <t>002.GA12</t>
  </si>
  <si>
    <t>2012-04-17T00:00:00</t>
  </si>
  <si>
    <t>[{'AdressatID': 43205, 'Driftselskap': True, 'Hovedeier': True, 'Navn': 'SYVERSÆTRE FOSS KRAFTVERK AS', 'OrgNr': 995673479, 'ProsentAndel': 100.0, 'ProsentAndelDrift': 100.0}]</t>
  </si>
  <si>
    <t>[{'KdbID': 4680, 'Tittel': 'Syversætre kraftverk'}]</t>
  </si>
  <si>
    <t>Sædalen</t>
  </si>
  <si>
    <t>SÆDALEN KRAFT AS</t>
  </si>
  <si>
    <t>997748093</t>
  </si>
  <si>
    <t>061.4AZ</t>
  </si>
  <si>
    <t>2020-06-29T00:00:00</t>
  </si>
  <si>
    <t>[{'AdressatID': 43782, 'Driftselskap': False, 'Hovedeier': True, 'Navn': 'SÆDALEN KRAFT AS', 'OrgNr': 997748093, 'ProsentAndel': 100.0, 'ProsentAndelDrift': 100.0}, {'AdressatID': 43794, 'Driftselskap': True, 'Hovedeier': False, 'Navn': 'CLEMENS KRAFT AS', 'OrgNr': 912511480, 'ProsentAndel': None, 'ProsentAndelDrift': None}]</t>
  </si>
  <si>
    <t>[{'KdbID': 7008, 'Tittel': 'Sædalen kraftverk'}, {'KdbID': 7044, 'Tittel': 'Sedal kraftverk AS'}]</t>
  </si>
  <si>
    <t>Sæterstad</t>
  </si>
  <si>
    <t>KASTNES KNUT</t>
  </si>
  <si>
    <t>970565140</t>
  </si>
  <si>
    <t>155.D8</t>
  </si>
  <si>
    <t>[{'AdressatID': 50286, 'Driftselskap': True, 'Hovedeier': True, 'Navn': 'KASTNES KNUT', 'OrgNr': 970565140, 'ProsentAndel': 100.0, 'ProsentAndelDrift': 100.0}]</t>
  </si>
  <si>
    <t>[{'KdbID': 2881, 'Tittel': 'Sæterstad mikrokraftverk i eksisternde oppdrettsanlegg'}]</t>
  </si>
  <si>
    <t>Sæteråa</t>
  </si>
  <si>
    <t>002.G7</t>
  </si>
  <si>
    <t>[{'KdbID': 2556, 'Tittel': 'Sæteråa - Mikrokraftverk'}]</t>
  </si>
  <si>
    <t>Sætra</t>
  </si>
  <si>
    <t>179.41C2</t>
  </si>
  <si>
    <t>elv fra Svolværvatna</t>
  </si>
  <si>
    <t>Sævareid</t>
  </si>
  <si>
    <t>BOLAKS ENERGY AS</t>
  </si>
  <si>
    <t>986847707</t>
  </si>
  <si>
    <t>053.A</t>
  </si>
  <si>
    <t>2006-01-11T00:00:00</t>
  </si>
  <si>
    <t>[{'AdressatID': 43644, 'Driftselskap': True, 'Hovedeier': True, 'Navn': 'BOLAKS ENERGY AS', 'OrgNr': 986847707, 'ProsentAndel': 100.0, 'ProsentAndelDrift': 100.0}]</t>
  </si>
  <si>
    <t>[{'KdbID': 3913, 'Tittel': 'Sævareid minikraftverk'}]</t>
  </si>
  <si>
    <t>Søa</t>
  </si>
  <si>
    <t>119.1Z</t>
  </si>
  <si>
    <t>1967-11-10T00:00:00</t>
  </si>
  <si>
    <t>[{'KdbID': 351, 'Tittel': 'Erverv av fall i Lundesokna, Svartelva og Søa, Overf. av reg.till.'}, {'KdbID': 379, 'Tittel': 'Regulering av Søvatn og Vatslivatn i Søavassdraget m.v.'}, {'KdbID': 466, 'Tittel': 'Utbygging av Søavassdraget, Søa kraftverk'}, {'KdbID': 7224, 'Tittel': 'Revisjon av konsesjonsvilkår for reguleringer i Søavassdraget m.v.'}]</t>
  </si>
  <si>
    <t>475</t>
  </si>
  <si>
    <t>Søberg</t>
  </si>
  <si>
    <t>145.2C6</t>
  </si>
  <si>
    <t>2011-06-08T00:00:00</t>
  </si>
  <si>
    <t>[{'KdbID': 4505, 'Tittel': 'Søbergsvatnet kraftverk'}, {'KdbID': 8002, 'Tittel': 'Regulering av Søbergsvatnet'}]</t>
  </si>
  <si>
    <t>Eidselva</t>
  </si>
  <si>
    <t>616</t>
  </si>
  <si>
    <t>Søfferud</t>
  </si>
  <si>
    <t>012.EC40</t>
  </si>
  <si>
    <t>Søkkunda</t>
  </si>
  <si>
    <t>SØKKUNDA KRAFTVERK AS</t>
  </si>
  <si>
    <t>915099807</t>
  </si>
  <si>
    <t>002.K6A32</t>
  </si>
  <si>
    <t>[{'AdressatID': 50700, 'Driftselskap': True, 'Hovedeier': True, 'Navn': 'SØKKUNDA KRAFTVERK AS', 'OrgNr': 915099807, 'ProsentAndel': 100.0, 'ProsentAndelDrift': 100.0}]</t>
  </si>
  <si>
    <t>[{'KdbID': 5409, 'Tittel': 'Søkkunda kraftverk'}, {'KdbID': 7563, 'Tittel': 'Planendring - Søkkunda kraftverk'}]</t>
  </si>
  <si>
    <t>Sølbergfallet</t>
  </si>
  <si>
    <t>121.1B1</t>
  </si>
  <si>
    <t>Sølia</t>
  </si>
  <si>
    <t>2016-06-01T00:00:00</t>
  </si>
  <si>
    <t>[{'KdbID': 5779, 'Tittel': 'Sølia kraftverk (tidl. Storelva kraftverk)'}]</t>
  </si>
  <si>
    <t>Sølna</t>
  </si>
  <si>
    <t>002.MAA20</t>
  </si>
  <si>
    <t>2016-08-31T00:00:00</t>
  </si>
  <si>
    <t>[{'KdbID': 6242, 'Tittel': 'Sølna kraftverk'}]</t>
  </si>
  <si>
    <t>81</t>
  </si>
  <si>
    <t>Sønnå H</t>
  </si>
  <si>
    <t>037.B</t>
  </si>
  <si>
    <t>2008-07-11T00:00:00</t>
  </si>
  <si>
    <t>[{'AdressatID': 41005, 'Driftselskap': False, 'Hovedeier': False, 'Navn': 'STATKRAFT ENERGI AS', 'OrgNr': 987059729, 'ProsentAndel': None, 'ProsentAndelDrift': None}, {'AdressatID': 12698, 'Driftselskap': True, 'Hovedeier': True, 'Navn': 'Aktieselskabet Saudefaldene', 'OrgNr': 915729290, 'ProsentAndel': 100.0, 'ProsentAndelDrift': 100.0}]</t>
  </si>
  <si>
    <t>[{'KdbID': 1099, 'Tittel': 'Utbygging, regulering, overf. m.v. i Saudavassdraget m.fl, Rogaland'}, {'KdbID': 5470, 'Tittel': 'Planendring Sauda - Maldal'}]</t>
  </si>
  <si>
    <t>Sønnå L</t>
  </si>
  <si>
    <t>Sønsteby</t>
  </si>
  <si>
    <t>2010-12-02T00:00:00</t>
  </si>
  <si>
    <t>[{'KdbID': 4743, 'Tittel': 'Sønsteby mikrokraftverk i vannforsyningsanlegg'}]</t>
  </si>
  <si>
    <t>Sørbrandal</t>
  </si>
  <si>
    <t>093.1Z</t>
  </si>
  <si>
    <t>[{'KdbID': 172, 'Tittel': 'Erverv av bruksrett til og regulering av Brandalsvassdraget'}, {'KdbID': 2589, 'Tittel': 'Endring av vilkår i konsesj. av 24.06.49 og 17.07.53, Brandalsvdr'}]</t>
  </si>
  <si>
    <t>Brandalselva</t>
  </si>
  <si>
    <t>382</t>
  </si>
  <si>
    <t>Sørdalen</t>
  </si>
  <si>
    <t>SØRDALEN KRAFT AS</t>
  </si>
  <si>
    <t>987068671</t>
  </si>
  <si>
    <t>054.6C</t>
  </si>
  <si>
    <t>[{'AdressatID': 42513, 'Driftselskap': True, 'Hovedeier': True, 'Navn': 'SØRDALEN KRAFT AS', 'OrgNr': 987068671, 'ProsentAndel': 100.0, 'ProsentAndelDrift': 100.0}]</t>
  </si>
  <si>
    <t>[{'KdbID': 4186, 'Tittel': 'Sørdalen minikraftverk'}]</t>
  </si>
  <si>
    <t>Sørdalselva</t>
  </si>
  <si>
    <t>063.A5A3</t>
  </si>
  <si>
    <t>2008-02-09T00:00:00</t>
  </si>
  <si>
    <t>[{'KdbID': 3934, 'Tittel': 'Sørdalselva minikraftverk'}]</t>
  </si>
  <si>
    <t>093.2BZ</t>
  </si>
  <si>
    <t>2017-04-21T00:00:00</t>
  </si>
  <si>
    <t>[{'KdbID': 6118, 'Tittel': 'Sørdalselva kraftverk'}]</t>
  </si>
  <si>
    <t>385</t>
  </si>
  <si>
    <t>Sørfjord I</t>
  </si>
  <si>
    <t>171.7AB</t>
  </si>
  <si>
    <t>1983-01-15T00:00:00</t>
  </si>
  <si>
    <t>[{'KdbID': 399, 'Tittel': 'Sørfjord Kraftverk i Tysfjord , Erverv, regulering m.v.'}, {'KdbID': 727, 'Tittel': 'Overf. øvre del av Austerdalsvassdraget til Sørfjord Kraftverk'}, {'KdbID': 1000, 'Tittel': 'Regulering og overføring av Gammeloftvatn til Sørfjord kraftverk'}]</t>
  </si>
  <si>
    <t>733</t>
  </si>
  <si>
    <t>Sørfjord II</t>
  </si>
  <si>
    <t>[{'KdbID': 399, 'Tittel': 'Sørfjord Kraftverk i Tysfjord , Erverv, regulering m.v.'}]</t>
  </si>
  <si>
    <t>Sørfjordkraft</t>
  </si>
  <si>
    <t>SØRFJORD KRAFT AS</t>
  </si>
  <si>
    <t>942474024</t>
  </si>
  <si>
    <t>193.12Z</t>
  </si>
  <si>
    <t>[{'AdressatID': 23051, 'Driftselskap': True, 'Hovedeier': True, 'Navn': 'SØRFJORD KRAFT AS', 'OrgNr': 942474024, 'ProsentAndel': 100.0, 'ProsentAndelDrift': 100.0}]</t>
  </si>
  <si>
    <t>Sør-Forså</t>
  </si>
  <si>
    <t>188.23A3</t>
  </si>
  <si>
    <t>1985-01-27T00:00:00</t>
  </si>
  <si>
    <t>[{'KdbID': 437, 'Tittel': 'Nye Sør-Forså kraftstasjon'}, {'KdbID': 932, 'Tittel': 'Konsesjoner ved sammenslutning, erv. Fall Sør-Forså'}, {'KdbID': 2034, 'Tittel': 'Erverv av Sør-Forså, ved sammenslåing av elforsyningsenheter.'}, {'KdbID': 3881, 'Tittel': 'Erv. og reg. Nord-Forsåelv, Troms - endring av vilkår'}]</t>
  </si>
  <si>
    <t>762</t>
  </si>
  <si>
    <t>Sørmeland</t>
  </si>
  <si>
    <t>137.2A1</t>
  </si>
  <si>
    <t>[{'KdbID': 2475, 'Tittel': 'Mikrokraftverk i Sørmelandselva'}]</t>
  </si>
  <si>
    <t>Søråi (Momrak)</t>
  </si>
  <si>
    <t>[{'KdbID': 2640, 'Tittel': 'Søråi mikrokraftverk'}]</t>
  </si>
  <si>
    <t>Søråni</t>
  </si>
  <si>
    <t>SØRÅNI KRAFT AS</t>
  </si>
  <si>
    <t>918196986</t>
  </si>
  <si>
    <t>021.D5B</t>
  </si>
  <si>
    <t>2019-09-27T00:00:00</t>
  </si>
  <si>
    <t>[{'AdressatID': 43794, 'Driftselskap': True, 'Hovedeier': False, 'Navn': 'CLEMENS KRAFT AS', 'OrgNr': 912511480, 'ProsentAndel': None, 'ProsentAndelDrift': None}, {'AdressatID': 51029, 'Driftselskap': False, 'Hovedeier': True, 'Navn': 'SØRÅNI KRAFT AS', 'OrgNr': 918196986, 'ProsentAndel': 100.0, 'ProsentAndelDrift': 100.0}]</t>
  </si>
  <si>
    <t>[{'KdbID': 4578, 'Tittel': 'Søråni kraftverk'}]</t>
  </si>
  <si>
    <t>Søtvik</t>
  </si>
  <si>
    <t>KOLBJØRN SØTVIK</t>
  </si>
  <si>
    <t>995657260</t>
  </si>
  <si>
    <t>Ørland</t>
  </si>
  <si>
    <t>133.32A</t>
  </si>
  <si>
    <t>[{'AdressatID': 61713, 'Driftselskap': True, 'Hovedeier': True, 'Navn': 'KOLBJØRN SØTVIK', 'OrgNr': 995657260, 'ProsentAndel': 100.0, 'ProsentAndelDrift': 100.0}]</t>
  </si>
  <si>
    <t>[{'KdbID': 2838, 'Tittel': 'Mikrokraftverk i Søtvikelva og Gammeldamselva'}]</t>
  </si>
  <si>
    <t>Søtvikelva</t>
  </si>
  <si>
    <t>Såheim</t>
  </si>
  <si>
    <t>Tafjord 1</t>
  </si>
  <si>
    <t>099.A</t>
  </si>
  <si>
    <t>1989-06-19T00:00:00</t>
  </si>
  <si>
    <t>[{'KdbID': 171, 'Tittel': 'Regulering av Kolbeinsvatn Tafjord'}, {'KdbID': 236, 'Tittel': 'Ytteligere regulering av Onilsavatn og regulering av Viksvatna'}]</t>
  </si>
  <si>
    <t>Tafjordvassdraget</t>
  </si>
  <si>
    <t>417</t>
  </si>
  <si>
    <t>Tafjord 2</t>
  </si>
  <si>
    <t>099.C</t>
  </si>
  <si>
    <t>1952-01-31T00:00:00</t>
  </si>
  <si>
    <t>[{'KdbID': 171, 'Tittel': 'Regulering av Kolbeinsvatn Tafjord'}]</t>
  </si>
  <si>
    <t>Tafjord 3</t>
  </si>
  <si>
    <t>099.D222</t>
  </si>
  <si>
    <t>1958-09-16T00:00:00</t>
  </si>
  <si>
    <t>Tafjord 4</t>
  </si>
  <si>
    <t>1968-11-21T00:00:00</t>
  </si>
  <si>
    <t>[{'KdbID': 408, 'Tittel': 'Regulering av Rødalsvassdraget  og overf. av nabovassdrag'}]</t>
  </si>
  <si>
    <t>Tafjord 5</t>
  </si>
  <si>
    <t>099.B2B12</t>
  </si>
  <si>
    <t>[{'KdbID': 387, 'Tittel': 'Overføring m.v. for utbygging av Tafjord 5 i Rødalsvassdraget'}, {'KdbID': 7478, 'Tittel': 'Overføring nedbørfelt Nausthorn til fremste Smettevatn'}]</t>
  </si>
  <si>
    <t>Tafjord 6</t>
  </si>
  <si>
    <t>002.DHHE</t>
  </si>
  <si>
    <t>1994-08-21T00:00:00</t>
  </si>
  <si>
    <t>[{'KdbID': 1876, 'Tittel': 'Overf.av felt ved Vikvatn til Tafjord 5 og Brusebotn'}]</t>
  </si>
  <si>
    <t>Tafjord 7 (Fagerbotnvatn)</t>
  </si>
  <si>
    <t>099.D2</t>
  </si>
  <si>
    <t>2006-09-15T00:00:00</t>
  </si>
  <si>
    <t>[{'KdbID': 4128, 'Tittel': 'Tafjord 7 (Saudebotn kraftverk)'}]</t>
  </si>
  <si>
    <t>Tafjord 7 (Fetvatn)</t>
  </si>
  <si>
    <t>2006-09-01T00:00:00</t>
  </si>
  <si>
    <t>Tafjord 8</t>
  </si>
  <si>
    <t>099.F4</t>
  </si>
  <si>
    <t>[{'KdbID': 171, 'Tittel': 'Regulering av Kolbeinsvatn Tafjord'}, {'KdbID': 5681, 'Tittel': 'Via småkraftverk (Tafjord 8)'}]</t>
  </si>
  <si>
    <t>Takle</t>
  </si>
  <si>
    <t>069.2Z</t>
  </si>
  <si>
    <t>2000-02-25T00:00:00</t>
  </si>
  <si>
    <t>[{'KdbID': 2836, 'Tittel': 'Takle minikraftverk, gjenoppbygging'}]</t>
  </si>
  <si>
    <t>Midt Takleelva</t>
  </si>
  <si>
    <t>272</t>
  </si>
  <si>
    <t>Tapstad</t>
  </si>
  <si>
    <t>TAPSTAD KRAFTVERK Jantti</t>
  </si>
  <si>
    <t>987561858</t>
  </si>
  <si>
    <t>162.8</t>
  </si>
  <si>
    <t>2005-10-19T00:00:00</t>
  </si>
  <si>
    <t>[{'AdressatID': 43520, 'Driftselskap': True, 'Hovedeier': True, 'Navn': 'TAPSTAD KRAFTVERK Jantti', 'OrgNr': 987561858, 'ProsentAndel': 100.0, 'ProsentAndelDrift': 100.0}]</t>
  </si>
  <si>
    <t>[{'KdbID': 3964, 'Tittel': 'Mikrokraftverk i Tapstadelva'}]</t>
  </si>
  <si>
    <t>Taraldsvik</t>
  </si>
  <si>
    <t>174.311Z</t>
  </si>
  <si>
    <t>[{'KdbID': 641, 'Tittel': 'Erverv av fallretter i Taraldsvikelva, Bygging av Taraldsvik kr.v.'}]</t>
  </si>
  <si>
    <t>Taraldsvikelva</t>
  </si>
  <si>
    <t>740</t>
  </si>
  <si>
    <t>Teitafossen</t>
  </si>
  <si>
    <t>087.D21</t>
  </si>
  <si>
    <t>[{'KdbID': 4610, 'Tittel': 'Teitafossen minikraftverk'}]</t>
  </si>
  <si>
    <t>Teksdal</t>
  </si>
  <si>
    <t>FOSENKRAFT ENERGI AS</t>
  </si>
  <si>
    <t>883152212</t>
  </si>
  <si>
    <t>134.A</t>
  </si>
  <si>
    <t>1943-03-01T00:00:00</t>
  </si>
  <si>
    <t>[{'AdressatID': 10501, 'Driftselskap': True, 'Hovedeier': True, 'Navn': 'FOSENKRAFT ENERGI AS', 'OrgNr': 883152212, 'ProsentAndel': 100.0, 'ProsentAndelDrift': 100.0}]</t>
  </si>
  <si>
    <t>[{'KdbID': 2339, 'Tittel': 'Regulering av Gjølgjavatn i Teksdalsvassdraget'}]</t>
  </si>
  <si>
    <t>Teksdalselva</t>
  </si>
  <si>
    <t>545</t>
  </si>
  <si>
    <t>Tendeland</t>
  </si>
  <si>
    <t>Tenneelva</t>
  </si>
  <si>
    <t>093.3A6</t>
  </si>
  <si>
    <t>[{'KdbID': 5875, 'Tittel': 'Tenneelva kraftverk'}]</t>
  </si>
  <si>
    <t>Norddalselva</t>
  </si>
  <si>
    <t>Tennesvatn</t>
  </si>
  <si>
    <t>[{'KdbID': 938, 'Tittel': 'Erv. Tennesfoss og Krokfoss samt reg. Tennesvatn og Krokvatn'}, {'KdbID': 1241, 'Tittel': 'Erverv av Tennesfossen, reg. Tennesvatn og Krokvatn'}, {'KdbID': 1845, 'Tittel': 'Erv. fall/overf. av reg.kons. i Tennes- Krokfoss- og Solbjørnv.'}]</t>
  </si>
  <si>
    <t>Tesgjolo</t>
  </si>
  <si>
    <t>062.E1Z</t>
  </si>
  <si>
    <t>2018-01-25T00:00:00</t>
  </si>
  <si>
    <t>[{'KdbID': 5443, 'Tittel': 'Tesgjolo kraftverk'}]</t>
  </si>
  <si>
    <t>Tesra</t>
  </si>
  <si>
    <t>TESRA KRAFT SA</t>
  </si>
  <si>
    <t>894349042</t>
  </si>
  <si>
    <t>093.11Z</t>
  </si>
  <si>
    <t>2011-09-12T00:00:00</t>
  </si>
  <si>
    <t>[{'AdressatID': 43482, 'Driftselskap': True, 'Hovedeier': True, 'Navn': 'TESRA KRAFT SA', 'OrgNr': 894349042, 'ProsentAndel': 100.0, 'ProsentAndelDrift': 100.0}]</t>
  </si>
  <si>
    <t>[{'KdbID': 6786, 'Tittel': 'Arsetelva minikraftverk'}]</t>
  </si>
  <si>
    <t>Arsetelva</t>
  </si>
  <si>
    <t>Tevla</t>
  </si>
  <si>
    <t>124.F410</t>
  </si>
  <si>
    <t>1994-04-19T00:00:00</t>
  </si>
  <si>
    <t>[{'KdbID': 572, 'Tittel': 'Regulering og utbygging av Fjergen m.v., hjemfall, N-Tr.lag'}, {'KdbID': 3335, 'Tittel': 'Fastsettelse av endelig man.regl. for kraftverkene i Meråker'}]</t>
  </si>
  <si>
    <t>Thue</t>
  </si>
  <si>
    <t>KNUT U. THUE</t>
  </si>
  <si>
    <t>970322167</t>
  </si>
  <si>
    <t>079.21</t>
  </si>
  <si>
    <t>2011-09-15T00:00:00</t>
  </si>
  <si>
    <t>[{'AdressatID': 43215, 'Driftselskap': True, 'Hovedeier': True, 'Navn': 'KNUT U. THUE', 'OrgNr': 970322167, 'ProsentAndel': 100.0, 'ProsentAndelDrift': 100.0}]</t>
  </si>
  <si>
    <t>[{'KdbID': 6777, 'Tittel': 'Tusselva mikrokraftverk'}]</t>
  </si>
  <si>
    <t>Timbra</t>
  </si>
  <si>
    <t>087.CB2B</t>
  </si>
  <si>
    <t>2018-05-01T00:00:00</t>
  </si>
  <si>
    <t>[{'KdbID': 5437, 'Tittel': 'Timbra kraftverk'}]</t>
  </si>
  <si>
    <t>Tindåga</t>
  </si>
  <si>
    <t>TINDÅGA KRAFT AS</t>
  </si>
  <si>
    <t>925575119</t>
  </si>
  <si>
    <t>2024-10-23T00:00:00</t>
  </si>
  <si>
    <t>[{'AdressatID': 40545, 'Driftselskap': True, 'Hovedeier': False, 'Navn': 'FORTE VANNKRAFT AS', 'OrgNr': 975964825, 'ProsentAndel': 100.0, 'ProsentAndelDrift': 100.0}, {'AdressatID': 63377, 'Driftselskap': False, 'Hovedeier': True, 'Navn': 'TINDÅGA KRAFT AS', 'OrgNr': 925575119, 'ProsentAndel': 100.0, 'ProsentAndelDrift': 100.0}]</t>
  </si>
  <si>
    <t>[{'KdbID': 7840, 'Tittel': 'Tindåga kraftverk'}]</t>
  </si>
  <si>
    <t>Tinfos I</t>
  </si>
  <si>
    <t>[{'KdbID': 902, 'Tittel': 'Erverv av bruksrett til Notodden kommunes del av Sagafoss i Tinnelv'}, {'KdbID': 2738, 'Tittel': 'Ny bruksrettskons til Notodden kommunes del av Sagafoss'}]</t>
  </si>
  <si>
    <t>Tinfos II</t>
  </si>
  <si>
    <t>Tinnkraft</t>
  </si>
  <si>
    <t>TINNKRAFT AS</t>
  </si>
  <si>
    <t>990930716</t>
  </si>
  <si>
    <t>016.G52A4</t>
  </si>
  <si>
    <t>2008-05-18T00:00:00</t>
  </si>
  <si>
    <t>[{'AdressatID': 42968, 'Driftselskap': True, 'Hovedeier': True, 'Navn': 'TINNKRAFT AS', 'OrgNr': 990930716, 'ProsentAndel': 100.0, 'ProsentAndelDrift': 100.0}]</t>
  </si>
  <si>
    <t>[{'KdbID': 4419, 'Tittel': 'Kraftverk i Gjøyst'}]</t>
  </si>
  <si>
    <t>Tisjøen</t>
  </si>
  <si>
    <t>EIDSVOLL KOMMUNE</t>
  </si>
  <si>
    <t>964950113</t>
  </si>
  <si>
    <t>002.DB2B</t>
  </si>
  <si>
    <t>2009-08-17T00:00:00</t>
  </si>
  <si>
    <t>[{'AdressatID': 237, 'Driftselskap': True, 'Hovedeier': True, 'Navn': 'EIDSVOLL KOMMUNE', 'OrgNr': 964950113, 'ProsentAndel': 100.0, 'ProsentAndelDrift': 100.0}]</t>
  </si>
  <si>
    <t>[{'KdbID': 4313, 'Tittel': 'Mikrokraftverk i Tisjøen'}]</t>
  </si>
  <si>
    <t>Tisleifjord</t>
  </si>
  <si>
    <t>012.JB5</t>
  </si>
  <si>
    <t>2014-10-24T00:00:00</t>
  </si>
  <si>
    <t>[{'KdbID': 4920, 'Tittel': 'Tisleifjord småkraftverk'}]</t>
  </si>
  <si>
    <t>Tistedalsfoss</t>
  </si>
  <si>
    <t>001.A5</t>
  </si>
  <si>
    <t>1955-11-15T00:00:00</t>
  </si>
  <si>
    <t>[{'AdressatID': 41009, 'Driftselskap': True, 'Hovedeier': True, 'Navn': 'HALDEN KRAFTPRODUKSJON AS', 'OrgNr': 887287562, 'ProsentAndel': 100.0, 'ProsentAndelDrift': 83.73}, {'AdressatID': 41137, 'Driftselskap': False, 'Hovedeier': False, 'Navn': 'ØSTFOLD ENERGI AS', 'OrgNr': 879904412, 'ProsentAndel': None, 'ProsentAndelDrift': 16.27}]</t>
  </si>
  <si>
    <t>[{'KdbID': 696, 'Tittel': 'Erverv av 16,27 % av fallrettighetene i Tistedalsfossen i Halden'}, {'KdbID': 9789, 'Tittel': 'Søknad - Midlertidig fravik fra manøvreringsreglementet - Tistedalsfoss\xa0kraftverk\xa0-\xa0HALDEN KRAFTPRODUKSJON AS - Annet;  - 13.01.2026 til 27.01.2026- Referansenr:TCBSGV'}]</t>
  </si>
  <si>
    <t>Tjodan</t>
  </si>
  <si>
    <t>031.A0</t>
  </si>
  <si>
    <t>1984-12-13T00:00:00</t>
  </si>
  <si>
    <t>[{'KdbID': 673, 'Tittel': 'Erverv og reg. m.v. for utbygging av Tjodan kraftverk i Lysebotn'}]</t>
  </si>
  <si>
    <t>Tjodanpollen</t>
  </si>
  <si>
    <t>031.B0</t>
  </si>
  <si>
    <t>Tjønna</t>
  </si>
  <si>
    <t>099.B2B1C5</t>
  </si>
  <si>
    <t>Tjønnefoss</t>
  </si>
  <si>
    <t>019.E4</t>
  </si>
  <si>
    <t>Tjørhom</t>
  </si>
  <si>
    <t>026.H2</t>
  </si>
  <si>
    <t>1973-07-06T00:00:00</t>
  </si>
  <si>
    <t>[{'KdbID': 918, 'Tittel': 'Reguleringer og overføringer i Sira-Kvinavassdragene'}, {'KdbID': 2056, 'Tittel': 'Erv. av 3,3 av statens prosentand. i Sira-Kvina krv.'}]</t>
  </si>
  <si>
    <t>Tjørn I</t>
  </si>
  <si>
    <t>KNUT ESPENES</t>
  </si>
  <si>
    <t>969797445</t>
  </si>
  <si>
    <t>026.4BC0</t>
  </si>
  <si>
    <t>2011-01-08T00:00:00</t>
  </si>
  <si>
    <t>[{'AdressatID': 43728, 'Driftselskap': True, 'Hovedeier': True, 'Navn': 'KNUT ESPENES', 'OrgNr': 969797445, 'ProsentAndel': 100.0, 'ProsentAndelDrift': 100.0}]</t>
  </si>
  <si>
    <t>[{'KdbID': 3947, 'Tittel': 'Tjørn I minikraftverk'}]</t>
  </si>
  <si>
    <t>Tjørn II</t>
  </si>
  <si>
    <t>[{'KdbID': 7149, 'Tittel': 'Tjørn II minikraftverk'}]</t>
  </si>
  <si>
    <t>Tjøstheim</t>
  </si>
  <si>
    <t>TJØSTHEIM KRAFT AS</t>
  </si>
  <si>
    <t>986919708</t>
  </si>
  <si>
    <t>2005-11-25T00:00:00</t>
  </si>
  <si>
    <t>[{'AdressatID': 42451, 'Driftselskap': True, 'Hovedeier': True, 'Navn': 'TJØSTHEIM KRAFT AS', 'OrgNr': 986919708, 'ProsentAndel': 100.0, 'ProsentAndelDrift': 100.0}]</t>
  </si>
  <si>
    <t>[{'KdbID': 3541, 'Tittel': 'Tjøstheim kraftverk'}]</t>
  </si>
  <si>
    <t>Tjøtaelva</t>
  </si>
  <si>
    <t>086.9</t>
  </si>
  <si>
    <t>2011-05-13T00:00:00</t>
  </si>
  <si>
    <t>[{'KdbID': 4536, 'Tittel': 'Tjøtaelva kraftverk'}]</t>
  </si>
  <si>
    <t>363</t>
  </si>
  <si>
    <t>Todøla</t>
  </si>
  <si>
    <t>TODØLA KRAFTVERK AS</t>
  </si>
  <si>
    <t>918335838</t>
  </si>
  <si>
    <t>012.CC7A2</t>
  </si>
  <si>
    <t>2019-06-10T00:00:00</t>
  </si>
  <si>
    <t>[{'AdressatID': 50786, 'Driftselskap': False, 'Hovedeier': True, 'Navn': 'TODØLA KRAFTVERK AS', 'OrgNr': 918335838, 'ProsentAndel': 100.0, 'ProsentAndelDrift': 100.0}, {'AdressatID': 50977, 'Driftselskap': True, 'Hovedeier': False, 'Navn': 'PROXIMA HYDROTECH AS', 'OrgNr': 918808302, 'ProsentAndel': None, 'ProsentAndelDrift': None}]</t>
  </si>
  <si>
    <t>[{'KdbID': 6347, 'Tittel': 'Todøla kraftverk'}]</t>
  </si>
  <si>
    <t>Tokagjelet</t>
  </si>
  <si>
    <t>TOKAGJELET AS</t>
  </si>
  <si>
    <t>919544651</t>
  </si>
  <si>
    <t>052.7B</t>
  </si>
  <si>
    <t>[{'AdressatID': 50288, 'Driftselskap': True, 'Hovedeier': False, 'Navn': 'NORDKRAFT ENERGIDRIFT AS', 'OrgNr': 916116993, 'ProsentAndel': None, 'ProsentAndelDrift': None}, {'AdressatID': 51337, 'Driftselskap': False, 'Hovedeier': True, 'Navn': 'TOKAGJELET AS', 'OrgNr': 919544651, 'ProsentAndel': 100.0, 'ProsentAndelDrift': 100.0}]</t>
  </si>
  <si>
    <t>[{'KdbID': 5093, 'Tittel': 'Tokagjelet kraftverk'}]</t>
  </si>
  <si>
    <t>Steinsdalselvi</t>
  </si>
  <si>
    <t>236</t>
  </si>
  <si>
    <t>Tokheimselva</t>
  </si>
  <si>
    <t>048.4Z</t>
  </si>
  <si>
    <t>2025-02-28T00:00:00</t>
  </si>
  <si>
    <t>[{'KdbID': 7071, 'Tittel': 'Tokheimselva kraftverk'}]</t>
  </si>
  <si>
    <t>Tokheimselvi</t>
  </si>
  <si>
    <t>212</t>
  </si>
  <si>
    <t>016.BD32</t>
  </si>
  <si>
    <t>1961-08-22T00:00:00</t>
  </si>
  <si>
    <t>[{'KdbID': 909, 'Tittel': 'Statsreg. m.v. av Tokke-Vinjevassdraget'}, {'KdbID': 1020, 'Tittel': 'Statsreg. Tokke-Vinjevassdraget - Planendring og tilleggsreg.'}, {'KdbID': 1118, 'Tittel': 'Statsreg. av Tokke-vinjevassdraget - Planendring'}, {'KdbID': 1145, 'Tittel': 'Statsreg. Tokke-Vinjevassdraget - Manøvreringsregl. ytt. reg.'}]</t>
  </si>
  <si>
    <t>Toklev</t>
  </si>
  <si>
    <t>015.4G</t>
  </si>
  <si>
    <t>[{'KdbID': 4298, 'Tittel': 'Ombygging av Toklev kraftverk'}]</t>
  </si>
  <si>
    <t>Tolga</t>
  </si>
  <si>
    <t>002.P6</t>
  </si>
  <si>
    <t>2021-04-08T00:00:00</t>
  </si>
  <si>
    <t>[{'AdressatID': 10242, 'Driftselskap': True, 'Hovedeier': True, 'Navn': 'HAFSLUND KRAFT AS', 'OrgNr': 976894677, 'ProsentAndel': 25.0, 'ProsentAndelDrift': 94.0}, {'AdressatID': 10300, 'Driftselskap': False, 'Hovedeier': False, 'Navn': 'OPPLANDSKRAFT DA', 'OrgNr': 944237631, 'ProsentAndel': None, 'ProsentAndelDrift': None}, {'AdressatID': 41020, 'Driftselskap': False, 'Hovedeier': False, 'Navn': 'HAFSLUND KRAFT INNLANDET AS', 'OrgNr': 887396752, 'ProsentAndel': 50.0, 'ProsentAndelDrift': None}, {'AdressatID': 50181, 'Driftselskap': False, 'Hovedeier': False, 'Navn': 'LÅGEN OG ØVRE GLOMMA KRAFTPRODUKSJON AS', 'OrgNr': 987287527, 'ProsentAndel': 25.0, 'ProsentAndelDrift': None}, {'AdressatID': 63474, 'Driftselskap': False, 'Hovedeier': False, 'Navn': 'TOLGA KRAFT AS', 'OrgNr': 927461102, 'ProsentAndel': None, 'ProsentAndelDrift': 6.0}]</t>
  </si>
  <si>
    <t>[{'KdbID': 5884, 'Tittel': 'Tolga kraftverk'}, {'KdbID': 8085, 'Tittel': 'Tolga kraftverk - Planendring'}]</t>
  </si>
  <si>
    <t>Tonstad</t>
  </si>
  <si>
    <t>026.D32</t>
  </si>
  <si>
    <t>1968-06-26T00:00:00</t>
  </si>
  <si>
    <t>[{'KdbID': 918, 'Tittel': 'Reguleringer og overføringer i Sira-Kvinavassdragene'}, {'KdbID': 986, 'Tittel': 'Øksendal-, overføring til Tonstad Kraftverk'}, {'KdbID': 2056, 'Tittel': 'Erv. av 3,3 av statens prosentand. i Sira-Kvina krv.'}, {'KdbID': 9138, 'Tittel': 'Midlertidig fravik fra manøvreringsreglementet - Tonstad\xa0kraftverk\xa0-\xa0SIRA KVINA KRAFTSELSKAP - Fravik fra minstevannføring;  - 16.10.2023 til 17.11.2023- Referansenr:ANZGXG'}]</t>
  </si>
  <si>
    <t>Tore Holmen</t>
  </si>
  <si>
    <t>170.72</t>
  </si>
  <si>
    <t>Torjul</t>
  </si>
  <si>
    <t>SØRHEIM KRISTIN MARIE</t>
  </si>
  <si>
    <t>970568506</t>
  </si>
  <si>
    <t>111.31Z</t>
  </si>
  <si>
    <t>[{'AdressatID': 50093, 'Driftselskap': True, 'Hovedeier': True, 'Navn': 'SØRHEIM KRISTIN MARIE', 'OrgNr': 970568506, 'ProsentAndel': 100.0, 'ProsentAndelDrift': 100.0}]</t>
  </si>
  <si>
    <t>[{'KdbID': 2112, 'Tittel': 'Mikrokraftverk i elv fra Torjulsvatnet og Huslidvatnet'}]</t>
  </si>
  <si>
    <t>Torjulelva</t>
  </si>
  <si>
    <t>Torpa</t>
  </si>
  <si>
    <t>012.EDB2</t>
  </si>
  <si>
    <t>Torsnes</t>
  </si>
  <si>
    <t>NORDIC POWER TORSNES AS</t>
  </si>
  <si>
    <t>993843865</t>
  </si>
  <si>
    <t>047.1Z</t>
  </si>
  <si>
    <t>[{'AdressatID': 43717, 'Driftselskap': True, 'Hovedeier': True, 'Navn': 'NORDIC POWER TORSNES AS', 'OrgNr': 993843865, 'ProsentAndel': 100.0, 'ProsentAndelDrift': 100.0}]</t>
  </si>
  <si>
    <t>[{'KdbID': 4858, 'Tittel': 'Torsnes Kraftverk'}]</t>
  </si>
  <si>
    <t>Torsneselva</t>
  </si>
  <si>
    <t>207</t>
  </si>
  <si>
    <t>Torvikelva</t>
  </si>
  <si>
    <t>089.421Z</t>
  </si>
  <si>
    <t>2012-09-04T00:00:00</t>
  </si>
  <si>
    <t>[{'KdbID': 4541, 'Tittel': 'Torvikelva kraftverk'}]</t>
  </si>
  <si>
    <t>Turrvikelva</t>
  </si>
  <si>
    <t>Tosdalen</t>
  </si>
  <si>
    <t>2017-02-09T00:00:00</t>
  </si>
  <si>
    <t>[{'KdbID': 3710, 'Tittel': 'Tosdalen kraftverk'}]</t>
  </si>
  <si>
    <t>Toskhommen</t>
  </si>
  <si>
    <t>025.AA6</t>
  </si>
  <si>
    <t>2023-04-01T00:00:00</t>
  </si>
  <si>
    <t>[{'KdbID': 8946, 'Tittel': 'Toskhommen kraftverk'}]</t>
  </si>
  <si>
    <t>Tossevikelva</t>
  </si>
  <si>
    <t>012.G21</t>
  </si>
  <si>
    <t>2014-10-03T00:00:00</t>
  </si>
  <si>
    <t>[{'KdbID': 5833, 'Tittel': 'Tossevikelva kraftverk'}]</t>
  </si>
  <si>
    <t>Tou</t>
  </si>
  <si>
    <t>032.4Z</t>
  </si>
  <si>
    <t>1987-09-16T00:00:00</t>
  </si>
  <si>
    <t>Toverud</t>
  </si>
  <si>
    <t>HADELAND KRAFTPRODUKSJON AS</t>
  </si>
  <si>
    <t>976465792</t>
  </si>
  <si>
    <t>Gran</t>
  </si>
  <si>
    <t>012.EB42</t>
  </si>
  <si>
    <t>[{'AdressatID': 25551, 'Driftselskap': True, 'Hovedeier': True, 'Navn': 'HADELAND KRAFTPRODUKSJON AS', 'OrgNr': 976465792, 'ProsentAndel': 100.0, 'ProsentAndelDrift': 100.0}]</t>
  </si>
  <si>
    <t>[{'KdbID': 587, 'Tittel': 'Ombygging av Toverud kraftverk, Endring av man.regl.'}]</t>
  </si>
  <si>
    <t>Trandal</t>
  </si>
  <si>
    <t>097.5Z</t>
  </si>
  <si>
    <t>2005-12-20T00:00:00</t>
  </si>
  <si>
    <t>[{'KdbID': 3079, 'Tittel': 'Trandal kraftverk'}]</t>
  </si>
  <si>
    <t>Hunda</t>
  </si>
  <si>
    <t>403</t>
  </si>
  <si>
    <t>Traudalen</t>
  </si>
  <si>
    <t>TRAUDALEN KRAFTVERK AS</t>
  </si>
  <si>
    <t>997011902</t>
  </si>
  <si>
    <t>087.1B</t>
  </si>
  <si>
    <t>[{'AdressatID': 51046, 'Driftselskap': True, 'Hovedeier': True, 'Navn': 'TRAUDALEN KRAFTVERK AS', 'OrgNr': 997011902, 'ProsentAndel': 100.0, 'ProsentAndelDrift': 100.0}]</t>
  </si>
  <si>
    <t>[{'KdbID': 5542, 'Tittel': 'Traudalen småkraftverk'}]</t>
  </si>
  <si>
    <t>Tredal</t>
  </si>
  <si>
    <t>LANDE EIENDOM INVEST AS</t>
  </si>
  <si>
    <t>983788238</t>
  </si>
  <si>
    <t>023.A1B</t>
  </si>
  <si>
    <t>2007-02-27T00:00:00</t>
  </si>
  <si>
    <t>[{'AdressatID': 42915, 'Driftselskap': True, 'Hovedeier': True, 'Navn': 'LANDE EIENDOM INVEST AS', 'OrgNr': 983788238, 'ProsentAndel': 100.0, 'ProsentAndelDrift': 100.0}]</t>
  </si>
  <si>
    <t>[{'KdbID': 3788, 'Tittel': 'Tredal minikraftverk'}]</t>
  </si>
  <si>
    <t>Trengereid</t>
  </si>
  <si>
    <t>061.3Z</t>
  </si>
  <si>
    <t>1996-06-14T00:00:00</t>
  </si>
  <si>
    <t>[{'KdbID': 1892, 'Tittel': 'Erverv av fallet fra Skulestadvatnet - Trengereid'}, {'KdbID': 3195, 'Tittel': 'Ytterligere regulering av Holmevatn i Skulstadelv'}]</t>
  </si>
  <si>
    <t>Holmavasselvi</t>
  </si>
  <si>
    <t>250</t>
  </si>
  <si>
    <t>Trodla-Tysdal</t>
  </si>
  <si>
    <t>033.AC10</t>
  </si>
  <si>
    <t>158</t>
  </si>
  <si>
    <t>Trollelva</t>
  </si>
  <si>
    <t>VALAKER KRAFTVERK AS</t>
  </si>
  <si>
    <t>932980614</t>
  </si>
  <si>
    <t>087.48B</t>
  </si>
  <si>
    <t>[{'AdressatID': 69573, 'Driftselskap': True, 'Hovedeier': True, 'Navn': 'VALAKER KRAFTVERK AS', 'OrgNr': 932980614, 'ProsentAndel': 100.0, 'ProsentAndelDrift': 100.0}]</t>
  </si>
  <si>
    <t>[{'KdbID': 3869, 'Tittel': 'Trollelva kraftverk'}]</t>
  </si>
  <si>
    <t>Brulandselva</t>
  </si>
  <si>
    <t>361</t>
  </si>
  <si>
    <t>Trollfjord I</t>
  </si>
  <si>
    <t>179.212B</t>
  </si>
  <si>
    <t>2002-12-01T00:00:00</t>
  </si>
  <si>
    <t>[{'KdbID': 107, 'Tittel': 'Regulering av Trollfjordvassdraget'}, {'KdbID': 2527, 'Tittel': 'Utvidelse av Trollfjord kraftverk, ytt. reg. Trollfjordvatn'}]</t>
  </si>
  <si>
    <t>Trollfjord II</t>
  </si>
  <si>
    <t>179.211B</t>
  </si>
  <si>
    <t>[{'KdbID': 132, 'Tittel': 'Regulering av Jarsteinvatn i Hadsel'}, {'KdbID': 8677, 'Tittel': 'Midlertidig fravik fra manøvreringsreglementet - Trollfjord II\xa0kraftverk\xa0-\xa0Referansenr:PDKBWU'}, {'KdbID': 8821, 'Tittel': 'Midlertidig fravik fra manøvreringsreglementet - Trollfjord II\xa0kraftverk\xa0-\xa0TROLLFJORD KRAFT AS - Tapping under LRV ;  - 22.08.2022 til 07.10.2022- Referansenr:GZGFDI'}]</t>
  </si>
  <si>
    <t>Trollheim</t>
  </si>
  <si>
    <t>1968-09-27T00:00:00</t>
  </si>
  <si>
    <t>[{'KdbID': 26, 'Tittel': 'Statsregulering av Folla-Vindølavassdragene m.v. i Trollheimen'}, {'KdbID': 1055, 'Tittel': 'Statsreg. av Folla-Vindølavassdr. i Møre og Romsdal - Planendr.'}, {'KdbID': 1061, 'Tittel': 'Statreg. av Folla-Vindølavassdragene - Planendring'}, {'KdbID': 9449, 'Tittel': 'Søknad - Midlertidig fravik fra manøvreringsreglementet - Trollheim\xa0kraftverk\xa0-\xa0STATKRAFT ENERGI AS - Fravik fra minstevannføring;  - 15.05.2025 til 31.12.2025- Referansenr:RQHIRP'}, {'KdbID': 9457, 'Tittel': 'Søknad - Midlertidig fravik fra manøvreringsreglementet - Trollheim\xa0kraftverk\xa0-\xa0STATKRAFT ENERGI AS - Annet;  - 15.10.2024 til 31.12.2026- Referansenr:BZLGNW'}, {'KdbID': 9458, 'Tittel': 'Søknad - Midlertidig fravik fra manøvreringsreglementet - Trollheim\xa0kraftverk\xa0-\xa0STATKRAFT ENERGI AS - Tapping under LRV ;  - 15.10.2024 til 01.12.2024- Referansenr:LNHVKE'}, {'KdbID': 9561, 'Tittel': 'Søknad - Midlertidig fravik fra manøvreringsreglementet - Trollheim\xa0kraftverk\xa0-\xa0STATKRAFT ENERGI AS - Fravik fra minstevannføring;  - 01.11.2024 til 31.12.2026- Referansenr:OOPONT'}, {'KdbID': 9573, 'Tittel': 'Søknad - Midlertidig fravik fra manøvreringsreglementet - Trollheim\xa0kraftverk\xa0-\xa0STATKRAFT ENERGI AS - Tapping under LRV ;  - 01.08.2025 til 01.11.2025- Referansenr:BPJNFA'}]</t>
  </si>
  <si>
    <t>Trollkraft</t>
  </si>
  <si>
    <t>TROLLKRAFT AS</t>
  </si>
  <si>
    <t>882404102</t>
  </si>
  <si>
    <t>016.BEC6</t>
  </si>
  <si>
    <t>[{'AdressatID': 41336, 'Driftselskap': True, 'Hovedeier': True, 'Navn': 'TROLLKRAFT AS', 'OrgNr': 882404102, 'ProsentAndel': 100.0, 'ProsentAndelDrift': 100.0}]</t>
  </si>
  <si>
    <t>[{'KdbID': 2488, 'Tittel': 'Trollkraft mikrokraftverk i Skarsbekken'}]</t>
  </si>
  <si>
    <t>Trollvikelva</t>
  </si>
  <si>
    <t>TROLLVIKELVA KRAFT AS</t>
  </si>
  <si>
    <t>920804047</t>
  </si>
  <si>
    <t>206.31</t>
  </si>
  <si>
    <t>2021-01-13T00:00:00</t>
  </si>
  <si>
    <t>[{'AdressatID': 43794, 'Driftselskap': True, 'Hovedeier': False, 'Navn': 'CLEMENS KRAFT AS', 'OrgNr': 912511480, 'ProsentAndel': None, 'ProsentAndelDrift': None}, {'AdressatID': 60200, 'Driftselskap': False, 'Hovedeier': True, 'Navn': 'TROLLVIKELVA KRAFT AS', 'OrgNr': 920804047, 'ProsentAndel': 100.0, 'ProsentAndelDrift': 100.0}]</t>
  </si>
  <si>
    <t>[{'KdbID': 5445, 'Tittel': 'Trollvikelva kraftverk'}, {'KdbID': 8117, 'Tittel': 'Planendring Trollvikelva kraftverk'}]</t>
  </si>
  <si>
    <t>Tronstad</t>
  </si>
  <si>
    <t>2012-10-18T00:00:00</t>
  </si>
  <si>
    <t>Trontveitåna</t>
  </si>
  <si>
    <t>VEST-TELEMARK KRAFTLAG AS</t>
  </si>
  <si>
    <t>955996836</t>
  </si>
  <si>
    <t>2019-05-08T00:00:00</t>
  </si>
  <si>
    <t>[{'AdressatID': 10384, 'Driftselskap': True, 'Hovedeier': True, 'Navn': 'VEST-TELEMARK KRAFTLAG AS', 'OrgNr': 955996836, 'ProsentAndel': 100.0, 'ProsentAndelDrift': 100.0}]</t>
  </si>
  <si>
    <t>[{'KdbID': 7976, 'Tittel': 'Trontveitåna kraftverk'}]</t>
  </si>
  <si>
    <t>Tryland</t>
  </si>
  <si>
    <t>023.B21</t>
  </si>
  <si>
    <t>1921-02-02T00:00:00</t>
  </si>
  <si>
    <t>[{'KdbID': 744, 'Tittel': 'Erverv av fallrettigheter i Trylandsvassdraget, Mandalselva, Kosåna'}, {'KdbID': 952, 'Tittel': 'Regulering av Trylandsvassdraget'}, {'KdbID': 953, 'Tittel': 'Erverv av fallrettigheter i Trylandsvassdraget, Mandalselva, Kosåna'}]</t>
  </si>
  <si>
    <t>Trysilfossen</t>
  </si>
  <si>
    <t>[{'KdbID': 350, 'Tittel': 'Erverv av fallrettigheter i Breimselv for utbygging av Trysilfossen'}, {'KdbID': 7649, 'Tittel': 'Gloppeelva - Trysilfossen kraftverk'}]</t>
  </si>
  <si>
    <t>Trælandsfos</t>
  </si>
  <si>
    <t>025.B22</t>
  </si>
  <si>
    <t>1917-06-30T00:00:00</t>
  </si>
  <si>
    <t>[{'KdbID': 4896, 'Tittel': 'Endring av vilkår for Trælandsfos Kraftstasjon'}]</t>
  </si>
  <si>
    <t>Tua</t>
  </si>
  <si>
    <t>129.5Z</t>
  </si>
  <si>
    <t>2010-04-20T00:00:00</t>
  </si>
  <si>
    <t>[{'KdbID': 4480, 'Tittel': 'Tua småkraftverk'}]</t>
  </si>
  <si>
    <t>Sandslielva</t>
  </si>
  <si>
    <t>521</t>
  </si>
  <si>
    <t>Tuddal</t>
  </si>
  <si>
    <t>TUDDAL KRAFT AS</t>
  </si>
  <si>
    <t>996205126</t>
  </si>
  <si>
    <t>016.EAC12B</t>
  </si>
  <si>
    <t>2011-10-19T00:00:00</t>
  </si>
  <si>
    <t>[{'AdressatID': 43434, 'Driftselskap': True, 'Hovedeier': True, 'Navn': 'TUDDAL KRAFT AS', 'OrgNr': 996205126, 'ProsentAndel': 100.0, 'ProsentAndelDrift': 100.0}]</t>
  </si>
  <si>
    <t>[{'KdbID': 5935, 'Tittel': 'Kyrkjeåi Kraftverk'}]</t>
  </si>
  <si>
    <t>Tufteelva</t>
  </si>
  <si>
    <t>TUFTEELVA KRAFT AS</t>
  </si>
  <si>
    <t>914121868</t>
  </si>
  <si>
    <t>036.F2A</t>
  </si>
  <si>
    <t>2023-06-07T00:00:00</t>
  </si>
  <si>
    <t>[{'AdressatID': 40545, 'Driftselskap': True, 'Hovedeier': False, 'Navn': 'FORTE VANNKRAFT AS', 'OrgNr': 975964825, 'ProsentAndel': None, 'ProsentAndelDrift': None}, {'AdressatID': 51400, 'Driftselskap': False, 'Hovedeier': True, 'Navn': 'TUFTEELVA KRAFT AS', 'OrgNr': 914121868, 'ProsentAndel': 100.0, 'ProsentAndelDrift': 100.0}]</t>
  </si>
  <si>
    <t>[{'KdbID': 5017, 'Tittel': 'Tufteelva kraftverk'}]</t>
  </si>
  <si>
    <t>Tungremmen</t>
  </si>
  <si>
    <t>012.CB7B3</t>
  </si>
  <si>
    <t>2022-04-27T00:00:00</t>
  </si>
  <si>
    <t>[{'KdbID': 7400, 'Tittel': 'Tungremmen kraftverk'}]</t>
  </si>
  <si>
    <t>Tunnsjø</t>
  </si>
  <si>
    <t>139.DC4</t>
  </si>
  <si>
    <t>1963-09-11T00:00:00</t>
  </si>
  <si>
    <t>[{'KdbID': 1144, 'Tittel': 'Reg. av Vekteren og Limingen - Manøvreringreglement'}, {'KdbID': 1880, 'Tittel': 'Planendr. Tunnsjø kraftverk, Nord-Trøndelag'}]</t>
  </si>
  <si>
    <t>Tunnsjødal</t>
  </si>
  <si>
    <t>1963-08-08T00:00:00</t>
  </si>
  <si>
    <t>Tunnsjøfoss</t>
  </si>
  <si>
    <t>139.DC10</t>
  </si>
  <si>
    <t>1986-10-10T00:00:00</t>
  </si>
  <si>
    <t>Tussa</t>
  </si>
  <si>
    <t>097.3Z</t>
  </si>
  <si>
    <t>[{'KdbID': 227, 'Tittel': 'Erverv av bruksrett og reg. av Tussavassdraget i Hjørundfjord'}, {'KdbID': 720, 'Tittel': 'Overføring av Kårdøla til Tussevatn'}, {'KdbID': 976, 'Tittel': 'Reg. i Tussavassdraget - Konsesjoner på ubegrenset tid'}]</t>
  </si>
  <si>
    <t>Tusselva</t>
  </si>
  <si>
    <t>402</t>
  </si>
  <si>
    <t>Tveit</t>
  </si>
  <si>
    <t>080.41Z</t>
  </si>
  <si>
    <t>1982-07-01T00:00:00</t>
  </si>
  <si>
    <t>Tveitselva</t>
  </si>
  <si>
    <t>332</t>
  </si>
  <si>
    <t>KÅRE DAGFINN NATLAND SOLTVEIT</t>
  </si>
  <si>
    <t>969497239</t>
  </si>
  <si>
    <t>035.7AA</t>
  </si>
  <si>
    <t>[{'AdressatID': 50071, 'Driftselskap': True, 'Hovedeier': True, 'Navn': 'KÅRE DAGFINN NATLAND SOLTVEIT', 'OrgNr': 969497239, 'ProsentAndel': 100.0, 'ProsentAndelDrift': 100.0}]</t>
  </si>
  <si>
    <t>[{'KdbID': 2450, 'Tittel': 'Minikraftverk Tveitåna'}]</t>
  </si>
  <si>
    <t>165</t>
  </si>
  <si>
    <t>Tveitafoss</t>
  </si>
  <si>
    <t>050.B4</t>
  </si>
  <si>
    <t>[{'KdbID': 8432, 'Tittel': 'Tveitafoss kraftverk - innkalling til konsesjonsbehandling'}]</t>
  </si>
  <si>
    <t>Tveitaskar</t>
  </si>
  <si>
    <t>053.D</t>
  </si>
  <si>
    <t>2009-11-03T00:00:00</t>
  </si>
  <si>
    <t>[{'KdbID': 4215, 'Tittel': 'Tveitaskarelva kraftverk'}]</t>
  </si>
  <si>
    <t>Tveitelva</t>
  </si>
  <si>
    <t>TVEITELVA KRAFTVERK AS</t>
  </si>
  <si>
    <t>991230580</t>
  </si>
  <si>
    <t>046.421A</t>
  </si>
  <si>
    <t>2011-07-11T00:00:00</t>
  </si>
  <si>
    <t>[{'AdressatID': 42508, 'Driftselskap': True, 'Hovedeier': True, 'Navn': 'TVEITELVA KRAFTVERK AS', 'OrgNr': 991230580, 'ProsentAndel': 100.0, 'ProsentAndelDrift': 100.0}]</t>
  </si>
  <si>
    <t>[{'KdbID': 4573, 'Tittel': 'Tveitelva kraftverk'}]</t>
  </si>
  <si>
    <t>216</t>
  </si>
  <si>
    <t>Tveitelvfallet</t>
  </si>
  <si>
    <t>EIVIND TVEDT</t>
  </si>
  <si>
    <t>970371850</t>
  </si>
  <si>
    <t>045.31AA</t>
  </si>
  <si>
    <t>[{'AdressatID': 24616, 'Driftselskap': True, 'Hovedeier': True, 'Navn': 'EIVIND TVEDT', 'OrgNr': 970371850, 'ProsentAndel': 100.0, 'ProsentAndelDrift': 100.0}]</t>
  </si>
  <si>
    <t>[{'KdbID': 2099, 'Tittel': 'Mikrokraftverk ved Tveitelva'}]</t>
  </si>
  <si>
    <t>Tveiten</t>
  </si>
  <si>
    <t>TVEITEN KRAFT AS</t>
  </si>
  <si>
    <t>987572930</t>
  </si>
  <si>
    <t>016.CBA0</t>
  </si>
  <si>
    <t>2004-06-03T00:00:00</t>
  </si>
  <si>
    <t>[{'AdressatID': 43713, 'Driftselskap': True, 'Hovedeier': True, 'Navn': 'TVEITEN KRAFT AS', 'OrgNr': 987572930, 'ProsentAndel': 100.0, 'ProsentAndelDrift': 100.0}]</t>
  </si>
  <si>
    <t>[{'KdbID': 7127, 'Tittel': 'Tveiten mikrokraftverk'}]</t>
  </si>
  <si>
    <t>Tveitereidfoss</t>
  </si>
  <si>
    <t>017.AZ</t>
  </si>
  <si>
    <t>[{'KdbID': 610, 'Tittel': 'Ny ervervskonsesjon for Dalsfoss, Tveitereidfoss og Solumsfoss'}, {'KdbID': 809, 'Tittel': 'Erverv av vannfall i Kragerøvassdraget'}]</t>
  </si>
  <si>
    <t>Tveiteåno</t>
  </si>
  <si>
    <t>TVEITEÅNO KRAFTVERK AS</t>
  </si>
  <si>
    <t>986950508</t>
  </si>
  <si>
    <t>036.B2</t>
  </si>
  <si>
    <t>2005-09-08T00:00:00</t>
  </si>
  <si>
    <t>[{'AdressatID': 41371, 'Driftselskap': True, 'Hovedeier': True, 'Navn': 'TVEITEÅNO KRAFTVERK AS', 'OrgNr': 986950508, 'ProsentAndel': 100.0, 'ProsentAndelDrift': 100.0}]</t>
  </si>
  <si>
    <t>[{'KdbID': 3748, 'Tittel': 'Tveiteåno kraftverk'}]</t>
  </si>
  <si>
    <t>Tverrdalselvi</t>
  </si>
  <si>
    <t>TVERRDALSELVI KRAFT AS</t>
  </si>
  <si>
    <t>911605406</t>
  </si>
  <si>
    <t>2020-01-30T00:00:00</t>
  </si>
  <si>
    <t>[{'AdressatID': 51173, 'Driftselskap': True, 'Hovedeier': True, 'Navn': 'TVERRDALSELVI KRAFT AS', 'OrgNr': 911605406, 'ProsentAndel': 100.0, 'ProsentAndelDrift': 100.0}]</t>
  </si>
  <si>
    <t>[{'KdbID': 5683, 'Tittel': 'Tverrdalselvi kraftverk'}]</t>
  </si>
  <si>
    <t>Tverrelva</t>
  </si>
  <si>
    <t>196.2B</t>
  </si>
  <si>
    <t>Rossfjordvassdraget</t>
  </si>
  <si>
    <t>TVERRELVA KRAFTVERK AS</t>
  </si>
  <si>
    <t>994312685</t>
  </si>
  <si>
    <t>2017-04-07T00:00:00</t>
  </si>
  <si>
    <t>[{'AdressatID': 50139, 'Driftselskap': False, 'Hovedeier': True, 'Navn': 'TVERRELVA KRAFTVERK AS', 'OrgNr': 994312685, 'ProsentAndel': None, 'ProsentAndelDrift': 100.0}, {'AdressatID': 10437, 'Driftselskap': True, 'Hovedeier': False, 'Navn': 'SUNNHORDLAND KRAFTLAG AS', 'OrgNr': 916435711, 'ProsentAndel': 51.0, 'ProsentAndelDrift': None}, {'AdressatID': 42738, 'Driftselskap': False, 'Hovedeier': False, 'Navn': 'UKJENT', 'OrgNr': None, 'ProsentAndel': 49.0, 'ProsentAndelDrift': None}]</t>
  </si>
  <si>
    <t>[{'KdbID': 6055, 'Tittel': 'Bygging av Tverrelva kraftverk og regulering av Mannsvatnet'}]</t>
  </si>
  <si>
    <t>197</t>
  </si>
  <si>
    <t>178.9Z</t>
  </si>
  <si>
    <t>2024-12-05T00:00:00</t>
  </si>
  <si>
    <t>[{'KdbID': 5618, 'Tittel': 'Tverrelva kraftverk'}]</t>
  </si>
  <si>
    <t>Langvasselva</t>
  </si>
  <si>
    <t>Tverrelvi</t>
  </si>
  <si>
    <t>062.BA42B</t>
  </si>
  <si>
    <t>2022-06-09T00:00:00</t>
  </si>
  <si>
    <t>[{'KdbID': 6900, 'Tittel': 'Tverrelvi kraftverk'}]</t>
  </si>
  <si>
    <t>062.C2A</t>
  </si>
  <si>
    <t>2025-06-12T00:00:00</t>
  </si>
  <si>
    <t>[{'KdbID': 8294, 'Tittel': 'Tverrelvi kraftverk'}]</t>
  </si>
  <si>
    <t>Tverrgjuvlo</t>
  </si>
  <si>
    <t>[{'KdbID': 5491, 'Tittel': 'Tverrgjuvlo kraftverk'}]</t>
  </si>
  <si>
    <t>Tverrvatn</t>
  </si>
  <si>
    <t>156.AF</t>
  </si>
  <si>
    <t>[{'KdbID': 1949, 'Tittel': 'Endr. av manøvreringsreglement for Bjerka - Plura utb.'}]</t>
  </si>
  <si>
    <t>Tverråa</t>
  </si>
  <si>
    <t>TVERRÅA KRAFT AS</t>
  </si>
  <si>
    <t>993283479</t>
  </si>
  <si>
    <t>128.C41B</t>
  </si>
  <si>
    <t>2015-01-14T00:00:00</t>
  </si>
  <si>
    <t>[{'AdressatID': 43930, 'Driftselskap': True, 'Hovedeier': True, 'Navn': 'TVERRÅA KRAFT AS', 'OrgNr': 993283479, 'ProsentAndel': 100.0, 'ProsentAndelDrift': 100.0}]</t>
  </si>
  <si>
    <t>[{'KdbID': 3868, 'Tittel': 'Tverråa minikraftverk'}, {'KdbID': 6625, 'Tittel': 'Tverråa kraftverk - planendring'}]</t>
  </si>
  <si>
    <t>144.7AZ</t>
  </si>
  <si>
    <t>[{'KdbID': 4605, 'Tittel': 'Tverråa kraftverk'}]</t>
  </si>
  <si>
    <t>Tverråga</t>
  </si>
  <si>
    <t>2014-01-30T00:00:00</t>
  </si>
  <si>
    <t>[{'KdbID': 4309, 'Tittel': 'Tverråga kraftverk'}]</t>
  </si>
  <si>
    <t>Tverråna</t>
  </si>
  <si>
    <t>ULLESTAD KRAFT AS</t>
  </si>
  <si>
    <t>998590140</t>
  </si>
  <si>
    <t>033.B1A</t>
  </si>
  <si>
    <t>[{'AdressatID': 43794, 'Driftselskap': True, 'Hovedeier': False, 'Navn': 'CLEMENS KRAFT AS', 'OrgNr': 912511480, 'ProsentAndel': None, 'ProsentAndelDrift': None}, {'AdressatID': 43860, 'Driftselskap': False, 'Hovedeier': True, 'Navn': 'ULLESTAD KRAFT AS', 'OrgNr': 998590140, 'ProsentAndel': 100.0, 'ProsentAndelDrift': 100.0}]</t>
  </si>
  <si>
    <t>[{'KdbID': 5454, 'Tittel': 'Tverråna kraftverk'}]</t>
  </si>
  <si>
    <t>Tverråni</t>
  </si>
  <si>
    <t>012.CC7AZ</t>
  </si>
  <si>
    <t>[{'KdbID': 6354, 'Tittel': 'Tverråni kraftverk'}]</t>
  </si>
  <si>
    <t>Tverå</t>
  </si>
  <si>
    <t>TVERÅKRAFT AS</t>
  </si>
  <si>
    <t>985927251</t>
  </si>
  <si>
    <t>104.1Z</t>
  </si>
  <si>
    <t>[{'AdressatID': 43324, 'Driftselskap': True, 'Hovedeier': True, 'Navn': 'TVERÅKRAFT AS', 'OrgNr': 985927251, 'ProsentAndel': 100.0, 'ProsentAndelDrift': 100.0}]</t>
  </si>
  <si>
    <t>[{'KdbID': 3642, 'Tittel': 'Tverråa minikraftverk'}]</t>
  </si>
  <si>
    <t>Mittetelva</t>
  </si>
  <si>
    <t>430</t>
  </si>
  <si>
    <t>Tya</t>
  </si>
  <si>
    <t>[{'KdbID': 1905, 'Tittel': 'Innføring av Tya til Nea kraftverk.'}, {'KdbID': 9116, 'Tittel': 'Revisjon av konsesjonsvilkår for Neavassdraget'}]</t>
  </si>
  <si>
    <t>Tyin</t>
  </si>
  <si>
    <t>074.CA0</t>
  </si>
  <si>
    <t>[{'KdbID': 111, 'Tittel': 'Ytt. reg. av Tyin og Torolmen'}, {'KdbID': 1846, 'Tittel': 'Nytt Tyin kraftverk og overføringer og reg. i Årdalsvassdraget, S&amp;F'}, {'KdbID': 9817, 'Tittel': 'Søknad - Midlertidig fravik fra manøvreringsreglementet - Tyin\xa0kraftverk\xa0-\xa0HYDRO ENERGI AS - Fravik fra minstevannføring;  - 12.01.2026 til 14.01.2026- Referansenr:LTVEXC'}]</t>
  </si>
  <si>
    <t>Tynjadalen</t>
  </si>
  <si>
    <t>2022-04-17T00:00:00</t>
  </si>
  <si>
    <t>[{'KdbID': 6492, 'Tittel': 'Tynjadalen kraftverk'}]</t>
  </si>
  <si>
    <t>Tynna</t>
  </si>
  <si>
    <t>TYNNA KRAFTVERK SA</t>
  </si>
  <si>
    <t>970959920</t>
  </si>
  <si>
    <t>121.C1</t>
  </si>
  <si>
    <t>[{'AdressatID': 43847, 'Driftselskap': True, 'Hovedeier': True, 'Navn': 'TYNNA KRAFTVERK SA', 'OrgNr': 970959920, 'ProsentAndel': 100.0, 'ProsentAndelDrift': 100.0}]</t>
  </si>
  <si>
    <t>Tyria 1</t>
  </si>
  <si>
    <t>002.DD5B22B</t>
  </si>
  <si>
    <t>[{'KdbID': 796, 'Tittel': 'Regulering av Tyrilielven og Mesnavatna, overdragelse av kons.'}, {'KdbID': 7710, 'Tittel': 'Revisjon av vilkår - regulering av Mesnavassdraget '}]</t>
  </si>
  <si>
    <t>Tyria 2</t>
  </si>
  <si>
    <t>002.DD5BB</t>
  </si>
  <si>
    <t>035.72A</t>
  </si>
  <si>
    <t>2017-11-08T00:00:00</t>
  </si>
  <si>
    <t>[{'KdbID': 7050, 'Tittel': 'Tysseelva kraftverk'}]</t>
  </si>
  <si>
    <t>Tysseelvi</t>
  </si>
  <si>
    <t>Tyssefossen</t>
  </si>
  <si>
    <t>[{'KdbID': 1839, 'Tittel': 'Opprusting/utviding Tysse kraftverk, Samnangervassdr.'}, {'KdbID': 5317, 'Tittel': 'Tysse kraftverk'}, {'KdbID': 7168, 'Tittel': 'Tysse Kraftverk'}]</t>
  </si>
  <si>
    <t>Tyssehøl</t>
  </si>
  <si>
    <t>049.C2</t>
  </si>
  <si>
    <t>[{'AdressatID': 10441, 'Driftselskap': False, 'Hovedeier': False, 'Navn': 'AKTIESELSKABET TYSSEFALDENE', 'OrgNr': 916958900, 'ProsentAndel': None, 'ProsentAndelDrift': 28.6}, {'AdressatID': 41005, 'Driftselskap': True, 'Hovedeier': True, 'Navn': 'STATKRAFT ENERGI AS', 'OrgNr': 987059729, 'ProsentAndel': 100.0, 'ProsentAndelDrift': 71.4}]</t>
  </si>
  <si>
    <t>Tysseland</t>
  </si>
  <si>
    <t>TYSSELAND KRAFTLAG AS</t>
  </si>
  <si>
    <t>979749643</t>
  </si>
  <si>
    <t>037.5Z</t>
  </si>
  <si>
    <t>[{'AdressatID': 27757, 'Driftselskap': True, 'Hovedeier': True, 'Navn': 'TYSSELAND KRAFTLAG AS', 'OrgNr': 979749643, 'ProsentAndel': 100.0, 'ProsentAndelDrift': 100.0}]</t>
  </si>
  <si>
    <t>[{'KdbID': 2580, 'Tittel': 'Utbygging av Tysselandselv'}, {'KdbID': 3141, 'Tittel': 'Endrede planer forTysseland kraftverk'}, {'KdbID': 4574, 'Tittel': 'endret minstevannføring i Tysseland kraftverk'}]</t>
  </si>
  <si>
    <t>Tysso II</t>
  </si>
  <si>
    <t>049.A42</t>
  </si>
  <si>
    <t>1967-01-15T00:00:00</t>
  </si>
  <si>
    <t>[{'KdbID': 2715, 'Tittel': '3 nye bekkeinntak på tilløpstunnelen til Tysso II, Hordaland'}]</t>
  </si>
  <si>
    <t>Tyttebærelva</t>
  </si>
  <si>
    <t>203.73</t>
  </si>
  <si>
    <t>2014-08-06T00:00:00</t>
  </si>
  <si>
    <t>[{'KdbID': 5473, 'Tittel': 'Tyttebærelva kraftverk'}]</t>
  </si>
  <si>
    <t>Tømmerdal</t>
  </si>
  <si>
    <t>131.62Z</t>
  </si>
  <si>
    <t>2002-02-15T00:00:00</t>
  </si>
  <si>
    <t>[{'KdbID': 2809, 'Tittel': 'Minikraftverk i Tømmerdalselva'}]</t>
  </si>
  <si>
    <t>Hovselva</t>
  </si>
  <si>
    <t>532</t>
  </si>
  <si>
    <t>Tørrbekken</t>
  </si>
  <si>
    <t>BRATTLAND KRAFT AS</t>
  </si>
  <si>
    <t>994871501</t>
  </si>
  <si>
    <t>[{'AdressatID': 52460, 'Driftselskap': True, 'Hovedeier': True, 'Navn': 'BRATTLAND KRAFT AS', 'OrgNr': 994871501, 'ProsentAndel': 100.0, 'ProsentAndelDrift': 100.0}]</t>
  </si>
  <si>
    <t>[{'KdbID': 3111, 'Tittel': 'Mikrokraftverk i Tørrbekken'}]</t>
  </si>
  <si>
    <t>Tørvi</t>
  </si>
  <si>
    <t>TØRVI KRAFT AS</t>
  </si>
  <si>
    <t>997025458</t>
  </si>
  <si>
    <t>[{'AdressatID': 51665, 'Driftselskap': True, 'Hovedeier': True, 'Navn': 'TØRVI KRAFT AS', 'OrgNr': 997025458, 'ProsentAndel': 100.0, 'ProsentAndelDrift': 100.0}]</t>
  </si>
  <si>
    <t>[{'KdbID': 8206, 'Tittel': 'Tørvi mikrokraftverk'}]</t>
  </si>
  <si>
    <t>Tøsse</t>
  </si>
  <si>
    <t>060.6Z</t>
  </si>
  <si>
    <t>1981-08-19T00:00:00</t>
  </si>
  <si>
    <t>[{'KdbID': 2312, 'Tittel': 'Unntak fra kons.plikt/forkj.rett v/kjøp av Tøsse kr.v. ANS'}]</t>
  </si>
  <si>
    <t>Ufysja</t>
  </si>
  <si>
    <t>UFYSJA KRAFTVERK AS</t>
  </si>
  <si>
    <t>987598077</t>
  </si>
  <si>
    <t>015.MHZ</t>
  </si>
  <si>
    <t>2005-12-15T00:00:00</t>
  </si>
  <si>
    <t>[{'AdressatID': 42449, 'Driftselskap': True, 'Hovedeier': True, 'Navn': 'UFYSJA KRAFTVERK AS', 'OrgNr': 987598077, 'ProsentAndel': 100.0, 'ProsentAndelDrift': 100.0}]</t>
  </si>
  <si>
    <t>[{'KdbID': 2874, 'Tittel': 'Minikraftverk i Ufysja'}]</t>
  </si>
  <si>
    <t>Ugedal</t>
  </si>
  <si>
    <t>UGEDAL ENERGI AS</t>
  </si>
  <si>
    <t>988306665</t>
  </si>
  <si>
    <t>135.C</t>
  </si>
  <si>
    <t>2006-03-20T00:00:00</t>
  </si>
  <si>
    <t>[{'AdressatID': 43140, 'Driftselskap': True, 'Hovedeier': True, 'Navn': 'UGEDAL ENERGI AS', 'OrgNr': 988306665, 'ProsentAndel': 100.0, 'ProsentAndelDrift': 100.0}]</t>
  </si>
  <si>
    <t>[{'KdbID': 2385, 'Tittel': 'Mikrokraftverk i Ugga'}]</t>
  </si>
  <si>
    <t>Uleberg</t>
  </si>
  <si>
    <t>021.BAA</t>
  </si>
  <si>
    <t>2006-03-30T00:00:00</t>
  </si>
  <si>
    <t>[{'KdbID': 3733, 'Tittel': 'Uleberg kraftverk'}, {'KdbID': 4161, 'Tittel': 'Uleberg kraftverk i Skjerkavassdraget forhåndstiltredelse'}]</t>
  </si>
  <si>
    <t>Ulefoss</t>
  </si>
  <si>
    <t>ULEFOSS KRAFTVERK DA</t>
  </si>
  <si>
    <t>992840978</t>
  </si>
  <si>
    <t>016.BA21</t>
  </si>
  <si>
    <t>1963-04-01T00:00:00</t>
  </si>
  <si>
    <t>[{'AdressatID': 42741, 'Driftselskap': True, 'Hovedeier': True, 'Navn': 'ULEFOSS KRAFTVERK DA', 'OrgNr': 992840978, 'ProsentAndel': 100.0, 'ProsentAndelDrift': 100.0}]</t>
  </si>
  <si>
    <t>Ullestad</t>
  </si>
  <si>
    <t>2016-03-01T00:00:00</t>
  </si>
  <si>
    <t>[{'KdbID': 5351, 'Tittel': 'Ullestad kraftverk'}]</t>
  </si>
  <si>
    <t>Ulset</t>
  </si>
  <si>
    <t>121.E81</t>
  </si>
  <si>
    <t>[{'KdbID': 447, 'Tittel': 'Orkla-Grana utbyggingen - Erverv og regulering av Orkla og Grana'}, {'KdbID': 9413, 'Tittel': 'Midlertidig fravik fra manøvreringsreglementet - Ulset\xa0kraftverk\xa0-\xa0KRAFTVERKENE I ORKLA DA - Fravik fra minstevannføring;  - 29.05.2024 til 07.06.2024- Referansenr:ZDMPRJ'}]</t>
  </si>
  <si>
    <t>Ulsteindal</t>
  </si>
  <si>
    <t>Ulstein</t>
  </si>
  <si>
    <t>096.2A0</t>
  </si>
  <si>
    <t>[{'KdbID': 2714, 'Tittel': 'Tussa Energi, Ulsteindalen kr.verk erverv/overf. reg.konsesjoner'}]</t>
  </si>
  <si>
    <t>Ulsteinelva</t>
  </si>
  <si>
    <t>384</t>
  </si>
  <si>
    <t>Ulvik I</t>
  </si>
  <si>
    <t>051.3Z</t>
  </si>
  <si>
    <t>227</t>
  </si>
  <si>
    <t>Ulvik II</t>
  </si>
  <si>
    <t>051.3A</t>
  </si>
  <si>
    <t>1974-08-20T00:00:00</t>
  </si>
  <si>
    <t>[{'KdbID': 83, 'Tittel': 'Erverv og regulering av Tysso i Ulvik'}]</t>
  </si>
  <si>
    <t>Ulvilla</t>
  </si>
  <si>
    <t>Verdal</t>
  </si>
  <si>
    <t>127.B1</t>
  </si>
  <si>
    <t>1989-11-20T00:00:00</t>
  </si>
  <si>
    <t>Verdalsvassdraget</t>
  </si>
  <si>
    <t>514</t>
  </si>
  <si>
    <t>Ulvund</t>
  </si>
  <si>
    <t>111.5A1</t>
  </si>
  <si>
    <t>1939-11-01T00:00:00</t>
  </si>
  <si>
    <t>[{'KdbID': 7617, 'Tittel': 'Oppgradering av Ulvund kraftverk'}]</t>
  </si>
  <si>
    <t>Undfossen</t>
  </si>
  <si>
    <t>165.7D</t>
  </si>
  <si>
    <t>1995-10-18T00:00:00</t>
  </si>
  <si>
    <t>[{'KdbID': 67, 'Tittel': 'Regulering av Durmålsvatnet i Kjerringøy'}, {'KdbID': 1963, 'Tittel': 'Opprusting Undfossen'}]</t>
  </si>
  <si>
    <t>Fjærelva</t>
  </si>
  <si>
    <t>Unhjemskraft</t>
  </si>
  <si>
    <t>103.4B</t>
  </si>
  <si>
    <t>2004-10-22T00:00:00</t>
  </si>
  <si>
    <t>[{'KdbID': 3651, 'Tittel': 'Unhjem minikraftverk'}]</t>
  </si>
  <si>
    <t>Unkervatn</t>
  </si>
  <si>
    <t>FRIKULT AS</t>
  </si>
  <si>
    <t>984685920</t>
  </si>
  <si>
    <t>151.FB</t>
  </si>
  <si>
    <t>2008-06-19T00:00:00</t>
  </si>
  <si>
    <t>[{'AdressatID': 50419, 'Driftselskap': True, 'Hovedeier': True, 'Navn': 'FRIKULT AS', 'OrgNr': 984685920, 'ProsentAndel': 100.0, 'ProsentAndelDrift': 100.0}]</t>
  </si>
  <si>
    <t>[{'KdbID': 2873, 'Tittel': 'Reg av Rundtjønna, uttak vann fiskeoppdrett, kraftverk i Unkervatn'}, {'KdbID': 6802, 'Tittel': 'Unkervatn kraftverk'}]</t>
  </si>
  <si>
    <t>Urdsdalselva</t>
  </si>
  <si>
    <t>152.3</t>
  </si>
  <si>
    <t>2012-05-15T00:00:00</t>
  </si>
  <si>
    <t>[{'KdbID': 4490, 'Tittel': 'Urdsdalselva kraftverk'}]</t>
  </si>
  <si>
    <t>640</t>
  </si>
  <si>
    <t>Urke</t>
  </si>
  <si>
    <t>097.42Z</t>
  </si>
  <si>
    <t>2008-05-11T00:00:00</t>
  </si>
  <si>
    <t>[{'KdbID': 4130, 'Tittel': 'Urke kraftverk'}]</t>
  </si>
  <si>
    <t>Urkeelva</t>
  </si>
  <si>
    <t>407</t>
  </si>
  <si>
    <t>Urlandåga</t>
  </si>
  <si>
    <t>156.21Z</t>
  </si>
  <si>
    <t>2005-01-10T00:00:00</t>
  </si>
  <si>
    <t>[{'KdbID': 3249, 'Tittel': 'Minikraftverk Urlandsåga'}]</t>
  </si>
  <si>
    <t>Urdlandåga</t>
  </si>
  <si>
    <t>650</t>
  </si>
  <si>
    <t>109.4B</t>
  </si>
  <si>
    <t>[{'KdbID': 4321, 'Tittel': 'Usma kraftverk'}]</t>
  </si>
  <si>
    <t>123.D1B30</t>
  </si>
  <si>
    <t>2013-10-21T00:00:00</t>
  </si>
  <si>
    <t>[{'KdbID': 4634, 'Tittel': 'Usma kraftverk'}]</t>
  </si>
  <si>
    <t>Usta</t>
  </si>
  <si>
    <t>012.CF6</t>
  </si>
  <si>
    <t>1965-10-18T00:00:00</t>
  </si>
  <si>
    <t>[{'KdbID': 297, 'Tittel': 'Utb. og reg. av Uste- Hallingdalsvassdraget m.v.'}, {'KdbID': 444, 'Tittel': 'Regulering og overf. av Rødungen, Opphev. av statsreg. av Rødungen'}, {'KdbID': 7915, 'Tittel': 'Revisjon av konsesjonsvilkår - Uste- og Hallingdalsvassdraget'}, {'KdbID': 7951, 'Tittel': 'Oppgradering av Uste Kraftverk'}, {'KdbID': 8328, 'Tittel': 'Omgjøring av konsesjon - Usta og Nes kraftverker'}]</t>
  </si>
  <si>
    <t>Ustekveikja</t>
  </si>
  <si>
    <t>USTEKVEIKJA KRAFTVERK DA</t>
  </si>
  <si>
    <t>971040246</t>
  </si>
  <si>
    <t>012.CJ4</t>
  </si>
  <si>
    <t>1983-01-02T00:00:00</t>
  </si>
  <si>
    <t>[{'AdressatID': 620, 'Driftselskap': False, 'Hovedeier': False, 'Navn': 'HOL KOMMUNE', 'OrgNr': 944889116, 'ProsentAndel': 69.0, 'ProsentAndelDrift': None}, {'AdressatID': 10336, 'Driftselskap': True, 'Hovedeier': True, 'Navn': 'USTEKVEIKJA KRAFTVERK DA', 'OrgNr': 971040246, 'ProsentAndel': None, 'ProsentAndelDrift': 100.0}, {'AdressatID': 40121, 'Driftselskap': False, 'Hovedeier': False, 'Navn': 'Å ENERGI VANNKRAFT AS', 'OrgNr': 882973972, 'ProsentAndel': 31.0, 'ProsentAndelDrift': None}]</t>
  </si>
  <si>
    <t>[{'KdbID': 131, 'Tittel': 'Utb. av fallet mellom Tungevatn og Bergsmulvatn i Ustekveikja m.v.'}]</t>
  </si>
  <si>
    <t>83</t>
  </si>
  <si>
    <t>Utigardselva</t>
  </si>
  <si>
    <t>UTIGARDSELVA DA</t>
  </si>
  <si>
    <t>986904204</t>
  </si>
  <si>
    <t>087.51</t>
  </si>
  <si>
    <t>2005-03-24T00:00:00</t>
  </si>
  <si>
    <t>[{'AdressatID': 43492, 'Driftselskap': True, 'Hovedeier': True, 'Navn': 'UTIGARDSELVA DA', 'OrgNr': 986904204, 'ProsentAndel': 100.0, 'ProsentAndelDrift': 100.0}]</t>
  </si>
  <si>
    <t>[{'KdbID': 3887, 'Tittel': 'Utigardselva mikrokraftverk'}]</t>
  </si>
  <si>
    <t>Utistubekken</t>
  </si>
  <si>
    <t>131.8</t>
  </si>
  <si>
    <t>[{'KdbID': 2540, 'Tittel': 'Mikrokraftverk i Utistubekken'}]</t>
  </si>
  <si>
    <t>Utne</t>
  </si>
  <si>
    <t>JAN ASBJØRN UTNE</t>
  </si>
  <si>
    <t>979532601</t>
  </si>
  <si>
    <t>2008-02-04T00:00:00</t>
  </si>
  <si>
    <t>[{'AdressatID': 43351, 'Driftselskap': True, 'Hovedeier': True, 'Navn': 'JAN ASBJØRN UTNE', 'OrgNr': 979532601, 'ProsentAndel': 100.0, 'ProsentAndelDrift': 100.0}]</t>
  </si>
  <si>
    <t>[{'KdbID': 4421, 'Tittel': 'Utneelva minikraftverk'}]</t>
  </si>
  <si>
    <t>Utvik</t>
  </si>
  <si>
    <t>UTVIK ELEKTRISITETSVERK SA</t>
  </si>
  <si>
    <t>954904504</t>
  </si>
  <si>
    <t>087.4Z</t>
  </si>
  <si>
    <t>2021-10-14T00:00:00</t>
  </si>
  <si>
    <t>[{'AdressatID': 11905, 'Driftselskap': True, 'Hovedeier': True, 'Navn': 'UTVIK ELEKTRISITETSVERK SA', 'OrgNr': 954904504, 'ProsentAndel': 100.0, 'ProsentAndelDrift': 100.0}]</t>
  </si>
  <si>
    <t>[{'KdbID': 8155, 'Tittel': 'Nye Utvik kraftverk'}]</t>
  </si>
  <si>
    <t>Uvdal</t>
  </si>
  <si>
    <t>016.BA3Z</t>
  </si>
  <si>
    <t>Uvdal 1</t>
  </si>
  <si>
    <t>015.JB81</t>
  </si>
  <si>
    <t>1967-09-20T00:00:00</t>
  </si>
  <si>
    <t>[{'AdressatID': 10242, 'Driftselskap': False, 'Hovedeier': False, 'Navn': 'HAFSLUND KRAFT AS', 'OrgNr': 976894677, 'ProsentAndel': 10.0, 'ProsentAndelDrift': 10.0}, {'AdressatID': 40113, 'Driftselskap': True, 'Hovedeier': True, 'Navn': 'SKAGERAK KRAFT AS', 'OrgNr': 979563531, 'ProsentAndel': 90.0, 'ProsentAndelDrift': 90.0}]</t>
  </si>
  <si>
    <t>[{'KdbID': 209, 'Tittel': 'Reg. og overf. i Uvdalsvassdraget'}]</t>
  </si>
  <si>
    <t>Uvdal 2</t>
  </si>
  <si>
    <t>015.JB2</t>
  </si>
  <si>
    <t>[{'KdbID': 209, 'Tittel': 'Reg. og overf. i Uvdalsvassdraget'}, {'KdbID': 1796, 'Tittel': 'Ekspr.till. for utb. av Uvdalsvassdraget, manøv.regl. Fønnebøfj.'}]</t>
  </si>
  <si>
    <t>Vada</t>
  </si>
  <si>
    <t>VADAKRAFT DA</t>
  </si>
  <si>
    <t>977571278</t>
  </si>
  <si>
    <t>129.42</t>
  </si>
  <si>
    <t>[{'AdressatID': 41093, 'Driftselskap': True, 'Hovedeier': True, 'Navn': 'VADAKRAFT DA', 'OrgNr': 977571278, 'ProsentAndel': 100.0, 'ProsentAndelDrift': 100.0}]</t>
  </si>
  <si>
    <t>[{'KdbID': 2522, 'Tittel': 'Sagelva minikraftverk'}]</t>
  </si>
  <si>
    <t>Vafos</t>
  </si>
  <si>
    <t>[{'KdbID': 4379, 'Tittel': 'Ny Vafos kraftstasjon'}, {'KdbID': 8653, 'Tittel': 'Midlertidig avvik fra normalvannstand i inntaksmagasinet for Vafos kraftverk'}]</t>
  </si>
  <si>
    <t>Vaka</t>
  </si>
  <si>
    <t>VAKA KRAFTVERK AS</t>
  </si>
  <si>
    <t>911788756</t>
  </si>
  <si>
    <t>041.320</t>
  </si>
  <si>
    <t>2014-05-09T00:00:00</t>
  </si>
  <si>
    <t>[{'AdressatID': 43695, 'Driftselskap': True, 'Hovedeier': True, 'Navn': 'VAKA KRAFTVERK AS', 'OrgNr': 911788756, 'ProsentAndel': 100.0, 'ProsentAndelDrift': 100.0}]</t>
  </si>
  <si>
    <t>[{'KdbID': 6892, 'Tittel': 'Vaka kraftverk'}]</t>
  </si>
  <si>
    <t>Vakkerjordvatnet</t>
  </si>
  <si>
    <t>Vaksvik</t>
  </si>
  <si>
    <t>VAKSVIK KRAFT AS</t>
  </si>
  <si>
    <t>993016608</t>
  </si>
  <si>
    <t>100.3A</t>
  </si>
  <si>
    <t>2019-02-13T00:00:00</t>
  </si>
  <si>
    <t>[{'AdressatID': 43794, 'Driftselskap': True, 'Hovedeier': False, 'Navn': 'CLEMENS KRAFT AS', 'OrgNr': 912511480, 'ProsentAndel': None, 'ProsentAndelDrift': None}, {'AdressatID': 52120, 'Driftselskap': False, 'Hovedeier': True, 'Navn': 'VAKSVIK KRAFT AS', 'OrgNr': 993016608, 'ProsentAndel': 100.0, 'ProsentAndelDrift': 100.0}]</t>
  </si>
  <si>
    <t>[{'KdbID': 7740, 'Tittel': 'Planendring Vaksvik og Kverve kraftverk'}]</t>
  </si>
  <si>
    <t>Vagsvikelva</t>
  </si>
  <si>
    <t>Valdra</t>
  </si>
  <si>
    <t>042.12Z</t>
  </si>
  <si>
    <t>2020-05-07T00:00:00</t>
  </si>
  <si>
    <t>[{'KdbID': 6927, 'Tittel': 'Valdra kraftverk'}]</t>
  </si>
  <si>
    <t>Valdraelva</t>
  </si>
  <si>
    <t>Valedalen</t>
  </si>
  <si>
    <t>VALEN KRAFTVERK AS</t>
  </si>
  <si>
    <t>985383820</t>
  </si>
  <si>
    <t>042.9AB</t>
  </si>
  <si>
    <t>2021-02-24T00:00:00</t>
  </si>
  <si>
    <t>[{'AdressatID': 10073, 'Driftselskap': False, 'Hovedeier': True, 'Navn': 'VALEN KRAFTVERK AS', 'OrgNr': 985383820, 'ProsentAndel': 100.0, 'ProsentAndelDrift': 100.0}, {'AdressatID': 13073, 'Driftselskap': True, 'Hovedeier': False, 'Navn': 'KVINNHERAD ENERGI AS', 'OrgNr': 966309202, 'ProsentAndel': None, 'ProsentAndelDrift': None}]</t>
  </si>
  <si>
    <t>[{'KdbID': 6289, 'Tittel': 'Valedalen kraftverk '}]</t>
  </si>
  <si>
    <t>Handalandselva</t>
  </si>
  <si>
    <t>196</t>
  </si>
  <si>
    <t>Valen</t>
  </si>
  <si>
    <t>042.92Z</t>
  </si>
  <si>
    <t>2008-08-05T00:00:00</t>
  </si>
  <si>
    <t>[{'KdbID': 4392, 'Tittel': 'Ombygging av Valen kraftverk'}]</t>
  </si>
  <si>
    <t>Valeelva</t>
  </si>
  <si>
    <t>Valgermo Giskemo</t>
  </si>
  <si>
    <t>VALGERMO/GISKEMO KRAFT AS</t>
  </si>
  <si>
    <t>893463852</t>
  </si>
  <si>
    <t>101.1A</t>
  </si>
  <si>
    <t>2010-05-03T00:00:00</t>
  </si>
  <si>
    <t>[{'AdressatID': 43166, 'Driftselskap': True, 'Hovedeier': True, 'Navn': 'VALGERMO/GISKEMO KRAFT AS', 'OrgNr': 893463852, 'ProsentAndel': 100.0, 'ProsentAndelDrift': 100.0}]</t>
  </si>
  <si>
    <t>[{'KdbID': 5002, 'Tittel': 'Valgermo minikraftverk'}]</t>
  </si>
  <si>
    <t>Ørskogelva</t>
  </si>
  <si>
    <t>Valken</t>
  </si>
  <si>
    <t>2015-12-01T00:00:00</t>
  </si>
  <si>
    <t>[{'KdbID': 5302, 'Tittel': 'Valken kraftverk'}]</t>
  </si>
  <si>
    <t>Vallestadfossen</t>
  </si>
  <si>
    <t>VALLESTADFOSSEN KRAFT AS</t>
  </si>
  <si>
    <t>925747203</t>
  </si>
  <si>
    <t>083.D6</t>
  </si>
  <si>
    <t>[{'AdressatID': 60664, 'Driftselskap': True, 'Hovedeier': True, 'Navn': 'VALLESTADFOSSEN KRAFT AS', 'OrgNr': 925747203, 'ProsentAndel': 100.0, 'ProsentAndelDrift': 100.0}]</t>
  </si>
  <si>
    <t>[{'KdbID': 3267, 'Tittel': 'Vallestadfossen småkraftverk'}]</t>
  </si>
  <si>
    <t>Valsøyfjord</t>
  </si>
  <si>
    <t>113.512Z</t>
  </si>
  <si>
    <t>[{'KdbID': 683, 'Tittel': 'Overføring av fall- og reguleringsrettigheter Valsøyfjord Kraftverk'}]</t>
  </si>
  <si>
    <t>Engdalselva</t>
  </si>
  <si>
    <t>Valvatn</t>
  </si>
  <si>
    <t>247.7C</t>
  </si>
  <si>
    <t>2010-12-21T00:00:00</t>
  </si>
  <si>
    <t>Valåe</t>
  </si>
  <si>
    <t>002.DM</t>
  </si>
  <si>
    <t>2014-11-27T00:00:00</t>
  </si>
  <si>
    <t>[{'KdbID': 5431, 'Tittel': 'Valåe kraftverk'}]</t>
  </si>
  <si>
    <t>Vamma</t>
  </si>
  <si>
    <t>1915-04-01T00:00:00</t>
  </si>
  <si>
    <t>[{'KdbID': 7293, 'Tittel': 'Utvidelse av Vamma kraftverk'}]</t>
  </si>
  <si>
    <t>Vangjolo</t>
  </si>
  <si>
    <t>VANGJOLO KRAFT AS</t>
  </si>
  <si>
    <t>914462703</t>
  </si>
  <si>
    <t>062.E130</t>
  </si>
  <si>
    <t>2018-07-31T00:00:00</t>
  </si>
  <si>
    <t>[{'AdressatID': 43794, 'Driftselskap': True, 'Hovedeier': False, 'Navn': 'CLEMENS KRAFT AS', 'OrgNr': 912511480, 'ProsentAndel': None, 'ProsentAndelDrift': None}, {'AdressatID': 43918, 'Driftselskap': False, 'Hovedeier': True, 'Navn': 'VANGJOLO KRAFT AS', 'OrgNr': 914462703, 'ProsentAndel': 100.0, 'ProsentAndelDrift': 100.0}]</t>
  </si>
  <si>
    <t>[{'KdbID': 5180, 'Tittel': 'Vangjolo kraftverk'}]</t>
  </si>
  <si>
    <t>Vangpollen</t>
  </si>
  <si>
    <t>178.46Z</t>
  </si>
  <si>
    <t>[{'KdbID': 1943, 'Tittel': 'Regulering av Vangpollelva'}]</t>
  </si>
  <si>
    <t>Vangpollelva</t>
  </si>
  <si>
    <t>758</t>
  </si>
  <si>
    <t>Vanndøla</t>
  </si>
  <si>
    <t>076.D3A</t>
  </si>
  <si>
    <t>2008-05-29T00:00:00</t>
  </si>
  <si>
    <t>[{'KdbID': 4210, 'Tittel': 'Vanndøla småkraftverk'}]</t>
  </si>
  <si>
    <t>Vannebo</t>
  </si>
  <si>
    <t>Overhalla</t>
  </si>
  <si>
    <t>139.A2C</t>
  </si>
  <si>
    <t>1914-01-31T00:00:00</t>
  </si>
  <si>
    <t>Vanvik</t>
  </si>
  <si>
    <t>VANVIK KRAFTLAG DA</t>
  </si>
  <si>
    <t>927805642</t>
  </si>
  <si>
    <t>[{'AdressatID': 63960, 'Driftselskap': True, 'Hovedeier': True, 'Navn': 'VANVIK KRAFTLAG DA', 'OrgNr': 927805642, 'ProsentAndel': 100.0, 'ProsentAndelDrift': 100.0}]</t>
  </si>
  <si>
    <t>[{'KdbID': 3138, 'Tittel': 'Mikrokraftverk i Fatlandselva'}]</t>
  </si>
  <si>
    <t>Varalden</t>
  </si>
  <si>
    <t>313.A1F4</t>
  </si>
  <si>
    <t>1985-12-15T00:00:00</t>
  </si>
  <si>
    <t>Vartdal</t>
  </si>
  <si>
    <t>095.3A</t>
  </si>
  <si>
    <t>[{'KdbID': 2648, 'Tittel': 'Erverv fallrettigheter Bjordal og Vartdal kr.v., overf. reg.kons.'}]</t>
  </si>
  <si>
    <t>Vassbrekka</t>
  </si>
  <si>
    <t>VASSBREKKA KRAFT AS</t>
  </si>
  <si>
    <t>991918787</t>
  </si>
  <si>
    <t>084.AB6</t>
  </si>
  <si>
    <t>[{'AdressatID': 42777, 'Driftselskap': True, 'Hovedeier': True, 'Navn': 'VASSBREKKA KRAFT AS', 'OrgNr': 991918787, 'ProsentAndel': 100.0, 'ProsentAndelDrift': 100.0}]</t>
  </si>
  <si>
    <t>[{'KdbID': 5635, 'Tittel': 'Vassbrekka kraftverk'}]</t>
  </si>
  <si>
    <t>Vassdalselva</t>
  </si>
  <si>
    <t>VASSDALSKRAFT AS</t>
  </si>
  <si>
    <t>990174962</t>
  </si>
  <si>
    <t>089.6A</t>
  </si>
  <si>
    <t>2008-04-09T00:00:00</t>
  </si>
  <si>
    <t>[{'AdressatID': 43132, 'Driftselskap': True, 'Hovedeier': True, 'Navn': 'VASSDALSKRAFT AS', 'OrgNr': 990174962, 'ProsentAndel': 100.0, 'ProsentAndelDrift': 100.0}]</t>
  </si>
  <si>
    <t>[{'KdbID': 4312, 'Tittel': 'Vassdalselva minikraftverk'}]</t>
  </si>
  <si>
    <t>Maurstadelva</t>
  </si>
  <si>
    <t>Vassenden</t>
  </si>
  <si>
    <t>153.22B</t>
  </si>
  <si>
    <t>2019-07-19T00:00:00</t>
  </si>
  <si>
    <t>[{'KdbID': 4621, 'Tittel': 'Vassenden kraftverk'}, {'KdbID': 8182, 'Tittel': 'Planendring Vassenden kraftverk'}]</t>
  </si>
  <si>
    <t>641</t>
  </si>
  <si>
    <t>Vassfossen</t>
  </si>
  <si>
    <t>RISDAL ENERGI AS</t>
  </si>
  <si>
    <t>987398639</t>
  </si>
  <si>
    <t>020.BCA</t>
  </si>
  <si>
    <t>[{'AdressatID': 41293, 'Driftselskap': True, 'Hovedeier': True, 'Navn': 'RISDAL ENERGI AS', 'OrgNr': 987398639, 'ProsentAndel': 100.0, 'ProsentAndelDrift': 100.0}]</t>
  </si>
  <si>
    <t>[{'KdbID': 3826, 'Tittel': 'Vassfossen kraftverk'}]</t>
  </si>
  <si>
    <t>Vassli</t>
  </si>
  <si>
    <t>109.CC1</t>
  </si>
  <si>
    <t>[{'KdbID': 232, 'Tittel': 'Regulering og overf. for utbygging av Driva kraftv. (Festa-Vindøla)'}]</t>
  </si>
  <si>
    <t>Vasstaket</t>
  </si>
  <si>
    <t>VASSTAKET KRAFTVERK AS</t>
  </si>
  <si>
    <t>982063256</t>
  </si>
  <si>
    <t>088.2B21</t>
  </si>
  <si>
    <t>2000-12-17T00:00:00</t>
  </si>
  <si>
    <t>[{'AdressatID': 43839, 'Driftselskap': True, 'Hovedeier': True, 'Navn': 'VASSTAKET KRAFTVERK AS', 'OrgNr': 982063256, 'ProsentAndel': 100.0, 'ProsentAndelDrift': 100.0}]</t>
  </si>
  <si>
    <t>[{'KdbID': 2959, 'Tittel': 'Vasstaket minikraftverk'}]</t>
  </si>
  <si>
    <t>Loenvassdraget</t>
  </si>
  <si>
    <t>Vasstøl</t>
  </si>
  <si>
    <t>036.CC</t>
  </si>
  <si>
    <t>[{'KdbID': 3827, 'Tittel': 'Vasstøl kraftverk'}]</t>
  </si>
  <si>
    <t>Vassvikelva</t>
  </si>
  <si>
    <t>042.3G</t>
  </si>
  <si>
    <t>2015-05-20T00:00:00</t>
  </si>
  <si>
    <t>[{'KdbID': 5334, 'Tittel': 'Vassvikelva kraftverk'}]</t>
  </si>
  <si>
    <t>Vatn 1012</t>
  </si>
  <si>
    <t>035.CA</t>
  </si>
  <si>
    <t>[{'KdbID': 698, 'Tittel': 'Ulla-Førrevassdragene , Statsregulering , Planendring'}, {'KdbID': 1010, 'Tittel': 'Ulla-Førre - Nytt manøvreringsreglement for Suldalslågen'}, {'KdbID': 3536, 'Tittel': 'Overføring av Vatn 1012 til Blåsjø'}]</t>
  </si>
  <si>
    <t>Vatn 462</t>
  </si>
  <si>
    <t>SVELGEN KRAFT HOLDING AS</t>
  </si>
  <si>
    <t>993153044</t>
  </si>
  <si>
    <t>[{'AdressatID': 10455, 'Driftselskap': False, 'Hovedeier': False, 'Navn': 'SOGNEKRAFT PRODUKSJON AS', 'OrgNr': 916069634, 'ProsentAndel': 10.0, 'ProsentAndelDrift': None}, {'AdressatID': 25454, 'Driftselskap': False, 'Hovedeier': False, 'Navn': 'SFE AS', 'OrgNr': 984882106, 'ProsentAndel': 56.0, 'ProsentAndelDrift': None}, {'AdressatID': 25766, 'Driftselskap': False, 'Hovedeier': False, 'Navn': 'TAFJORD KRAFTPRODUKSJON AS', 'OrgNr': 977461898, 'ProsentAndel': 34.0, 'ProsentAndelDrift': None}, {'AdressatID': 43272, 'Driftselskap': True, 'Hovedeier': True, 'Navn': 'SVELGEN KRAFT HOLDING AS', 'OrgNr': 993153044, 'ProsentAndel': None, 'ProsentAndelDrift': 100.0}]</t>
  </si>
  <si>
    <t>Vatne</t>
  </si>
  <si>
    <t>095.D</t>
  </si>
  <si>
    <t>1987-10-01T00:00:00</t>
  </si>
  <si>
    <t>[{'KdbID': 661, 'Tittel': 'Erverv, overføring og ekspropriasjon for utbygging av Vatne kraftv.'}, {'KdbID': 1889, 'Tittel': 'Erverv, overtakelse av Vatne Kraftverk'}, {'KdbID': 5720, 'Tittel': 'Opprustning Vatne kraftverk'}]</t>
  </si>
  <si>
    <t>Vedeld</t>
  </si>
  <si>
    <t>093.4A4</t>
  </si>
  <si>
    <t>2003-10-01T00:00:00</t>
  </si>
  <si>
    <t>[{'KdbID': 1891, 'Tittel': 'Vedeld kraftverk'}]</t>
  </si>
  <si>
    <t>Veiski</t>
  </si>
  <si>
    <t>166.DA</t>
  </si>
  <si>
    <t>2021-02-18T00:00:00</t>
  </si>
  <si>
    <t>[{'KdbID': 5514, 'Tittel': 'Veiski kraftverk'}, {'KdbID': 7749, 'Tittel': 'Planendring Veiski kraftverk'}]</t>
  </si>
  <si>
    <t>Fagerbakkvassdraget</t>
  </si>
  <si>
    <t>Veiteberg</t>
  </si>
  <si>
    <t>VEITEBERG KRAFTVERK AS</t>
  </si>
  <si>
    <t>981933281</t>
  </si>
  <si>
    <t>2001-06-13T00:00:00</t>
  </si>
  <si>
    <t>[{'AdressatID': 40372, 'Driftselskap': True, 'Hovedeier': True, 'Navn': 'VEITEBERG KRAFTVERK AS', 'OrgNr': 981933281, 'ProsentAndel': 100.0, 'ProsentAndelDrift': 100.0}]</t>
  </si>
  <si>
    <t>[{'KdbID': 2967, 'Tittel': 'Småkraftverk i Veitebergselva'}]</t>
  </si>
  <si>
    <t>Veiåni</t>
  </si>
  <si>
    <t>022.EA10</t>
  </si>
  <si>
    <t>2008-11-06T00:00:00</t>
  </si>
  <si>
    <t>[{'KdbID': 4724, 'Tittel': 'Veiåni minikraftverk'}]</t>
  </si>
  <si>
    <t>Veka</t>
  </si>
  <si>
    <t>VEKA KRAFT AS</t>
  </si>
  <si>
    <t>990140375</t>
  </si>
  <si>
    <t>2009-04-10T00:00:00</t>
  </si>
  <si>
    <t>[{'AdressatID': 41049, 'Driftselskap': True, 'Hovedeier': True, 'Navn': 'VEKA KRAFT AS', 'OrgNr': 990140375, 'ProsentAndel': 100.0, 'ProsentAndelDrift': 100.0}]</t>
  </si>
  <si>
    <t>[{'KdbID': 4160, 'Tittel': 'Veka kraftverk'}]</t>
  </si>
  <si>
    <t>Vemork</t>
  </si>
  <si>
    <t>[{'KdbID': 2017, 'Tittel': 'Overføring av Hjerdøla til Skarfossdammen'}]</t>
  </si>
  <si>
    <t>Vemundsbotn</t>
  </si>
  <si>
    <t>067.2C2</t>
  </si>
  <si>
    <t>1976-12-12T00:00:00</t>
  </si>
  <si>
    <t>[{'KdbID': 198, 'Tittel': 'Erverv og reg. av Matre- og Haugsdalsvassdragene'}, {'KdbID': 244, 'Tittel': 'Ytt.reg. og overf. i Matre og Haugsdalsvassdr. - Vemundsbotn krv.'}, {'KdbID': 451, 'Tittel': 'Overføring av avløpet fra Smalevatn til Skjerjevatn'}, {'KdbID': 839, 'Tittel': 'Overf. av Rundvasselv m.v. fra Førdevassdr. til Haugsdalsvassdr.'}, {'KdbID': 1054, 'Tittel': 'Overføring av Rundevasselv - Fornyelse av kons.'}]</t>
  </si>
  <si>
    <t>Vengåa</t>
  </si>
  <si>
    <t>VENGÅKRAFT AS</t>
  </si>
  <si>
    <t>889234512</t>
  </si>
  <si>
    <t>103.4AAA</t>
  </si>
  <si>
    <t>2018-09-06T00:00:00</t>
  </si>
  <si>
    <t>[{'AdressatID': 43119, 'Driftselskap': False, 'Hovedeier': True, 'Navn': 'VENGÅKRAFT AS', 'OrgNr': 889234512, 'ProsentAndel': 100.0, 'ProsentAndelDrift': 100.0}, {'AdressatID': 43794, 'Driftselskap': True, 'Hovedeier': False, 'Navn': 'CLEMENS KRAFT AS', 'OrgNr': 912511480, 'ProsentAndel': None, 'ProsentAndelDrift': None}]</t>
  </si>
  <si>
    <t>[{'KdbID': 3654, 'Tittel': 'Vengåa kraftverk'}]</t>
  </si>
  <si>
    <t>Venna</t>
  </si>
  <si>
    <t>119.411Z</t>
  </si>
  <si>
    <t>2013-12-02T00:00:00</t>
  </si>
  <si>
    <t>[{'KdbID': 4760, 'Tittel': 'Venna kraftverk'}]</t>
  </si>
  <si>
    <t>Veneelva</t>
  </si>
  <si>
    <t>477</t>
  </si>
  <si>
    <t>Veringsåe</t>
  </si>
  <si>
    <t>VERINGSÅE KRAFT AS</t>
  </si>
  <si>
    <t>922131899</t>
  </si>
  <si>
    <t>021.JAB</t>
  </si>
  <si>
    <t>2022-12-14T00:00:00</t>
  </si>
  <si>
    <t>[{'AdressatID': 63831, 'Driftselskap': True, 'Hovedeier': True, 'Navn': 'VERINGSÅE KRAFT AS', 'OrgNr': 922131899, 'ProsentAndel': 100.0, 'ProsentAndelDrift': 100.0}]</t>
  </si>
  <si>
    <t>[{'KdbID': 6755, 'Tittel': 'Veringsåe kraftverk'}]</t>
  </si>
  <si>
    <t>Verja</t>
  </si>
  <si>
    <t>VERJA KRAFT SA</t>
  </si>
  <si>
    <t>986141804</t>
  </si>
  <si>
    <t>015.GA0</t>
  </si>
  <si>
    <t>[{'AdressatID': 43844, 'Driftselskap': True, 'Hovedeier': True, 'Navn': 'VERJA KRAFT SA', 'OrgNr': 986141804, 'ProsentAndel': 100.0, 'ProsentAndelDrift': 100.0}]</t>
  </si>
  <si>
    <t>[{'KdbID': 3950, 'Tittel': 'Vergja minikraftverk'}]</t>
  </si>
  <si>
    <t>Verket</t>
  </si>
  <si>
    <t>Gjerstad</t>
  </si>
  <si>
    <t>018.2BB</t>
  </si>
  <si>
    <t>Verksfossen</t>
  </si>
  <si>
    <t>Vesle Kjela</t>
  </si>
  <si>
    <t>016.BEE7</t>
  </si>
  <si>
    <t>2021-02-11T00:00:00</t>
  </si>
  <si>
    <t>[{'KdbID': 909, 'Tittel': 'Statsreg. m.v. av Tokke-Vinjevassdraget'}, {'KdbID': 6414, 'Tittel': 'Vesle Kjela kraftverk'}, {'KdbID': 8017, 'Tittel': 'Vesle Kjela kraftverk _ planendring'}, {'KdbID': 9182, 'Tittel': 'Midlertidig fravik fra manøvreringsreglementet for Ståvatn og Kjelaåi i Tokke-Vinjevassdraget (01.03.2024 - 06.04.2024)  - Referansenr:XQAUNW'}]</t>
  </si>
  <si>
    <t>Veslefallet</t>
  </si>
  <si>
    <t>SYLLI SKOG AS</t>
  </si>
  <si>
    <t>989568396</t>
  </si>
  <si>
    <t>002.K6A10</t>
  </si>
  <si>
    <t>[{'AdressatID': 41523, 'Driftselskap': True, 'Hovedeier': True, 'Navn': 'SYLLI SKOG AS', 'OrgNr': 989568396, 'ProsentAndel': 100.0, 'ProsentAndelDrift': 100.0}]</t>
  </si>
  <si>
    <t>[{'KdbID': 4363, 'Tittel': 'Veslefallet kraftverk'}]</t>
  </si>
  <si>
    <t>94</t>
  </si>
  <si>
    <t>Vesleåni</t>
  </si>
  <si>
    <t>VESLEÅNI KRAFT AS</t>
  </si>
  <si>
    <t>935031362</t>
  </si>
  <si>
    <t>012.CC1Z</t>
  </si>
  <si>
    <t>2009-08-11T00:00:00</t>
  </si>
  <si>
    <t>[{'AdressatID': 75834, 'Driftselskap': True, 'Hovedeier': True, 'Navn': 'VESLEÅNI KRAFT AS', 'OrgNr': 935031362, 'ProsentAndel': 100.0, 'ProsentAndelDrift': 100.0}]</t>
  </si>
  <si>
    <t>[{'KdbID': 5041, 'Tittel': 'Vesleåni småkraftverk'}]</t>
  </si>
  <si>
    <t>Vessingfoss</t>
  </si>
  <si>
    <t>123.F4</t>
  </si>
  <si>
    <t>[{'KdbID': 1025, 'Tittel': 'Regulering av Nea-Nesjø dam - Endring av vilkår'}, {'KdbID': 3555, 'Tittel': 'Endring av manøvreringsreglement for Nesjøen'}, {'KdbID': 9116, 'Tittel': 'Revisjon av konsesjonsvilkår for Neavassdraget'}]</t>
  </si>
  <si>
    <t>Vestbakken</t>
  </si>
  <si>
    <t>Vestre Toten</t>
  </si>
  <si>
    <t>002.DCC</t>
  </si>
  <si>
    <t>Vestfossen</t>
  </si>
  <si>
    <t>012.AA</t>
  </si>
  <si>
    <t>[{'KdbID': 217, 'Tittel': 'Erverv av fallrettigheter i Vestfossen i Buskerud'}, {'KdbID': 338, 'Tittel': 'Bygging av ny kraftstasjon i Vestfossen m/kanalisering av undervann'}, {'KdbID': 3756, 'Tittel': 'Reg og vannuttak fra Eikeren til vannfors og kraftprod'}]</t>
  </si>
  <si>
    <t>97</t>
  </si>
  <si>
    <t>Vestre Neset</t>
  </si>
  <si>
    <t>2014-08-20T00:00:00</t>
  </si>
  <si>
    <t>[{'KdbID': 4469, 'Tittel': 'Vestre Neset kraftverk'}]</t>
  </si>
  <si>
    <t>Vestrebotn</t>
  </si>
  <si>
    <t>067.3DB1</t>
  </si>
  <si>
    <t>1999-09-03T00:00:00</t>
  </si>
  <si>
    <t>[{'KdbID': 198, 'Tittel': 'Erverv og reg. av Matre- og Haugsdalsvassdragene'}, {'KdbID': 2592, 'Tittel': 'Vesterbotn kraftverk'}]</t>
  </si>
  <si>
    <t>Viddal</t>
  </si>
  <si>
    <t>2012-04-19T00:00:00</t>
  </si>
  <si>
    <t>[{'KdbID': 5788, 'Tittel': 'Viddal kraftverk'}]</t>
  </si>
  <si>
    <t>Viervatn</t>
  </si>
  <si>
    <t>074.1Z</t>
  </si>
  <si>
    <t>[{'KdbID': 658, 'Tittel': 'Tilleggsregulering og tilleggsutbygging i Nyset-Steggjevassdragene'}]</t>
  </si>
  <si>
    <t>Vigelandsfoss</t>
  </si>
  <si>
    <t>HYDRO RENEWABLES HOLDING AS</t>
  </si>
  <si>
    <t>923263985</t>
  </si>
  <si>
    <t>021.A22</t>
  </si>
  <si>
    <t>[{'AdressatID': 11540, 'Driftselskap': True, 'Hovedeier': True, 'Navn': 'HYDRO RENEWABLES HOLDING AS', 'OrgNr': 923263985, 'ProsentAndel': 100.0, 'ProsentAndelDrift': 100.0}, {'AdressatID': 24453, 'Driftselskap': False, 'Hovedeier': False, 'Navn': 'Norsk Hydro ASA', 'OrgNr': 914778271, 'ProsentAndel': None, 'ProsentAndelDrift': None}]</t>
  </si>
  <si>
    <t>[{'KdbID': 674, 'Tittel': 'Erverv av bruksrett til Vennesla komm. andel av fall i Hallandsfoss'}, {'KdbID': 1703, 'Tittel': 'Otra - Regulering av Vigelandsfossen, Fellesfløtningen.'}]</t>
  </si>
  <si>
    <t>Vigga</t>
  </si>
  <si>
    <t>VIGGA KRAFT DA</t>
  </si>
  <si>
    <t>992407638</t>
  </si>
  <si>
    <t>012.EBA1</t>
  </si>
  <si>
    <t>[{'AdressatID': 43522, 'Driftselskap': True, 'Hovedeier': True, 'Navn': 'VIGGA KRAFT DA', 'OrgNr': 992407638, 'ProsentAndel': 100.0, 'ProsentAndelDrift': 100.0}]</t>
  </si>
  <si>
    <t>[{'KdbID': 3385, 'Tittel': 'Minikraftverk i Vigga'}]</t>
  </si>
  <si>
    <t>137.1B</t>
  </si>
  <si>
    <t>1952-10-25T00:00:00</t>
  </si>
  <si>
    <t>[{'KdbID': 957, 'Tittel': 'Regulering av Øvre Vikvatn og Granhølvatn'}]</t>
  </si>
  <si>
    <t>VIK KRAFT AS</t>
  </si>
  <si>
    <t>890687482</t>
  </si>
  <si>
    <t>041.22Z</t>
  </si>
  <si>
    <t>2011-02-02T00:00:00</t>
  </si>
  <si>
    <t>[{'AdressatID': 43012, 'Driftselskap': True, 'Hovedeier': True, 'Navn': 'VIK KRAFT AS', 'OrgNr': 890687482, 'ProsentAndel': 100.0, 'ProsentAndelDrift': 100.0}]</t>
  </si>
  <si>
    <t>[{'KdbID': 4444, 'Tittel': 'Vik småkraftverk'}]</t>
  </si>
  <si>
    <t>Vika</t>
  </si>
  <si>
    <t>156.32</t>
  </si>
  <si>
    <t>2007-04-26T00:00:00</t>
  </si>
  <si>
    <t>[{'KdbID': 7905, 'Tittel': 'Vika kraftverk'}]</t>
  </si>
  <si>
    <t>ØYVIND STORM</t>
  </si>
  <si>
    <t>974471035</t>
  </si>
  <si>
    <t>[{'AdressatID': 51180, 'Driftselskap': True, 'Hovedeier': True, 'Navn': 'ØYVIND STORM', 'OrgNr': 974471035, 'ProsentAndel': 100.0, 'ProsentAndelDrift': 100.0}]</t>
  </si>
  <si>
    <t>[{'KdbID': 3979, 'Tittel': 'Vika mikrokraftverk'}]</t>
  </si>
  <si>
    <t>Vikaelva</t>
  </si>
  <si>
    <t>VIKA KRAFT AS</t>
  </si>
  <si>
    <t>990379289</t>
  </si>
  <si>
    <t>042.61AD</t>
  </si>
  <si>
    <t>2008-09-17T00:00:00</t>
  </si>
  <si>
    <t>[{'AdressatID': 41638, 'Driftselskap': True, 'Hovedeier': True, 'Navn': 'VIKA KRAFT AS', 'OrgNr': 990379289, 'ProsentAndel': 100.0, 'ProsentAndelDrift': 100.0}]</t>
  </si>
  <si>
    <t>[{'KdbID': 4209, 'Tittel': 'Vika småkraftverk'}]</t>
  </si>
  <si>
    <t>Åkraelva</t>
  </si>
  <si>
    <t>190</t>
  </si>
  <si>
    <t>VIKAELVA KRAFTVERK AS</t>
  </si>
  <si>
    <t>992743174</t>
  </si>
  <si>
    <t>088.31Z</t>
  </si>
  <si>
    <t>2013-09-05T00:00:00</t>
  </si>
  <si>
    <t>[{'AdressatID': 43048, 'Driftselskap': True, 'Hovedeier': True, 'Navn': 'VIKAELVA KRAFTVERK AS', 'OrgNr': 992743174, 'ProsentAndel': 100.0, 'ProsentAndelDrift': 100.0}]</t>
  </si>
  <si>
    <t>[{'KdbID': 5048, 'Tittel': 'Vikaelva kraftverk'}]</t>
  </si>
  <si>
    <t>356</t>
  </si>
  <si>
    <t>Vikaåne</t>
  </si>
  <si>
    <t>LHI SOLARWIND HYDRO VIKAÅNE 2644 AS</t>
  </si>
  <si>
    <t>991936521</t>
  </si>
  <si>
    <t>012.CJ1A</t>
  </si>
  <si>
    <t>2011-11-30T00:00:00</t>
  </si>
  <si>
    <t>[{'AdressatID': 43319, 'Driftselskap': True, 'Hovedeier': True, 'Navn': 'LHI SOLARWIND HYDRO VIKAÅNE 2644 AS', 'OrgNr': 991936521, 'ProsentAndel': 100.0, 'ProsentAndelDrift': 100.0}]</t>
  </si>
  <si>
    <t>[{'KdbID': 6873, 'Tittel': 'Vikaåne minikraftverk'}]</t>
  </si>
  <si>
    <t>Vikdalskraft</t>
  </si>
  <si>
    <t>VIKDALSKRAFT AS</t>
  </si>
  <si>
    <t>980955141</t>
  </si>
  <si>
    <t>103.22D</t>
  </si>
  <si>
    <t>2001-05-10T00:00:00</t>
  </si>
  <si>
    <t>[{'AdressatID': 43010, 'Driftselskap': True, 'Hovedeier': True, 'Navn': 'VIKDALSKRAFT AS', 'OrgNr': 980955141, 'ProsentAndel': 100.0, 'ProsentAndelDrift': 100.0}]</t>
  </si>
  <si>
    <t>[{'KdbID': 2722, 'Tittel': 'Vikdalskraft minikraftverk'}, {'KdbID': 6146, 'Tittel': 'Vikdalskraft - minikraftverk'}]</t>
  </si>
  <si>
    <t>427</t>
  </si>
  <si>
    <t>Viken</t>
  </si>
  <si>
    <t>VIKEN KRAFT AS</t>
  </si>
  <si>
    <t>990944881</t>
  </si>
  <si>
    <t>083.D2</t>
  </si>
  <si>
    <t>2008-05-20T00:00:00</t>
  </si>
  <si>
    <t>[{'AdressatID': 43163, 'Driftselskap': True, 'Hovedeier': True, 'Navn': 'VIKEN KRAFT AS', 'OrgNr': 990944881, 'ProsentAndel': 100.0, 'ProsentAndelDrift': 100.0}]</t>
  </si>
  <si>
    <t>[{'KdbID': 5876, 'Tittel': 'Viken minikraftverk'}]</t>
  </si>
  <si>
    <t>Vikeså</t>
  </si>
  <si>
    <t>VIKESÅ KRAFTVERK AS</t>
  </si>
  <si>
    <t>978657222</t>
  </si>
  <si>
    <t>027.BC</t>
  </si>
  <si>
    <t>2003-10-06T00:00:00</t>
  </si>
  <si>
    <t>[{'AdressatID': 40072, 'Driftselskap': True, 'Hovedeier': True, 'Navn': 'VIKESÅ KRAFTVERK AS', 'OrgNr': 978657222, 'ProsentAndel': 100.0, 'ProsentAndelDrift': 100.0}]</t>
  </si>
  <si>
    <t>[{'KdbID': 2887, 'Tittel': 'Vikeså kraftverk'}, {'KdbID': 8902, 'Tittel': 'Midlertidig fravik fra manøvreringsreglementet - Vikeså\xa0kraftverk\xa0-\xa0VIKESÅ KRAFTVERK AS - Fravik fra minstevannføring;  - 01.09.2022 til 30.09.2022- Referansenr:WLWSTM'}]</t>
  </si>
  <si>
    <t>Vindedal</t>
  </si>
  <si>
    <t>VINDEDAL KRAFTVERK AS</t>
  </si>
  <si>
    <t>986932283</t>
  </si>
  <si>
    <t>073.1Z</t>
  </si>
  <si>
    <t>2005-11-10T00:00:00</t>
  </si>
  <si>
    <t>[{'AdressatID': 42448, 'Driftselskap': True, 'Hovedeier': True, 'Navn': 'VINDEDAL KRAFTVERK AS', 'OrgNr': 986932283, 'ProsentAndel': 100.0, 'ProsentAndelDrift': 100.0}]</t>
  </si>
  <si>
    <t>[{'KdbID': 3734, 'Tittel': 'Vindedal kraftverk'}]</t>
  </si>
  <si>
    <t>Vindedalselvi</t>
  </si>
  <si>
    <t>294</t>
  </si>
  <si>
    <t>Vinjadalen</t>
  </si>
  <si>
    <t>OPPHEIM KRAFT AS</t>
  </si>
  <si>
    <t>985310920</t>
  </si>
  <si>
    <t>062.GA</t>
  </si>
  <si>
    <t>[{'AdressatID': 11727, 'Driftselskap': True, 'Hovedeier': True, 'Navn': 'OPPHEIM KRAFT AS', 'OrgNr': 985310920, 'ProsentAndel': 100.0, 'ProsentAndelDrift': 100.0}]</t>
  </si>
  <si>
    <t>016.BEB12</t>
  </si>
  <si>
    <t>[{'KdbID': 909, 'Tittel': 'Statsreg. m.v. av Tokke-Vinjevassdraget'}, {'KdbID': 913, 'Tittel': 'Ytt. statsreg. av Tokke-Vinjevassdraget'}, {'KdbID': 1145, 'Tittel': 'Statsreg. Tokke-Vinjevassdraget - Manøvreringsregl. ytt. reg.'}, {'KdbID': 2090, 'Tittel': 'Ekspropriasjon for Tokke II og III.'}]</t>
  </si>
  <si>
    <t>Vinkelfallet</t>
  </si>
  <si>
    <t>002.DF1A0</t>
  </si>
  <si>
    <t>1983-06-29T00:00:00</t>
  </si>
  <si>
    <t>[{'KdbID': 235, 'Tittel': 'Bygge og drive Vinkelfallet kraftstasjon - tilleggsvilkår'}, {'KdbID': 2071, 'Tittel': 'El-konsesjon for utb. av Vinkelfallet krv.'}, {'KdbID': 7960, 'Tittel': 'Vinkelfallet kraftverk '}]</t>
  </si>
  <si>
    <t>Virak</t>
  </si>
  <si>
    <t>VIRAK KRAFT PRODUKSJON AS</t>
  </si>
  <si>
    <t>935981549</t>
  </si>
  <si>
    <t>026.D41</t>
  </si>
  <si>
    <t>2005-06-12T00:00:00</t>
  </si>
  <si>
    <t>[{'AdressatID': 76499, 'Driftselskap': True, 'Hovedeier': True, 'Navn': 'VIRAK KRAFT PRODUKSJON AS', 'OrgNr': 935981549, 'ProsentAndel': 100.0, 'ProsentAndelDrift': 100.0}]</t>
  </si>
  <si>
    <t>[{'KdbID': 3221, 'Tittel': 'Virak Kraftverk'}]</t>
  </si>
  <si>
    <t>Virakelva</t>
  </si>
  <si>
    <t>173.4A</t>
  </si>
  <si>
    <t>2009-04-27T00:00:00</t>
  </si>
  <si>
    <t>[{'KdbID': 4711, 'Tittel': 'Virakelva kraftverk'}]</t>
  </si>
  <si>
    <t>Vidrekelva</t>
  </si>
  <si>
    <t>743</t>
  </si>
  <si>
    <t>Vistvik</t>
  </si>
  <si>
    <t>044.1Z</t>
  </si>
  <si>
    <t>[{'KdbID': 1932, 'Tittel': 'Mikrokraftverk i Vistvikelv'}]</t>
  </si>
  <si>
    <t>Visvikelva</t>
  </si>
  <si>
    <t>Vittingfoss</t>
  </si>
  <si>
    <t>015.C43</t>
  </si>
  <si>
    <t>[{'KdbID': 104, 'Tittel': 'Erverv av Vittingfoss bruk og vannfall i Ytre Sandsvær'}, {'KdbID': 822, 'Tittel': 'Erverv av bruksrett i Vittingfoss'}, {'KdbID': 3284, 'Tittel': 'Unntak fra forkj.rett og kons.plikt ved erv. fall Vittingfoss kr.st'}, {'KdbID': 5073, 'Tittel': 'Utvidelse av Vittingfoss kraftstasjon'}, {'KdbID': 5266, 'Tittel': 'Unntak fra kons.plikt v/erv. av fall Vittingfoss kr.st.'}]</t>
  </si>
  <si>
    <t>Viulfoss</t>
  </si>
  <si>
    <t>012.EA1</t>
  </si>
  <si>
    <t>1958-07-01T00:00:00</t>
  </si>
  <si>
    <t>[{'AdressatID': 12295, 'Driftselskap': True, 'Hovedeier': True, 'Navn': 'VIUL KRAFT AS', 'OrgNr': 961113539, 'ProsentAndel': 100.0, 'ProsentAndelDrift': 100.0}]</t>
  </si>
  <si>
    <t>[{'KdbID': 129, 'Tittel': 'Erverv av rettigheter i Randselva'}, {'KdbID': 1789, 'Tittel': 'Erverv av fallrettigheter i Viulfoss, Kistefoss, Askerudfoss, Bergerfoss'}]</t>
  </si>
  <si>
    <t>Voldsetelva</t>
  </si>
  <si>
    <t>LHI SOLARWIND HYDRO VOLDSETELVA 2645 AS</t>
  </si>
  <si>
    <t>991936440</t>
  </si>
  <si>
    <t>130.1A0</t>
  </si>
  <si>
    <t>2013-08-08T00:00:00</t>
  </si>
  <si>
    <t>[{'AdressatID': 43788, 'Driftselskap': True, 'Hovedeier': True, 'Navn': 'LHI SOLARWIND HYDRO VOLDSETELVA 2645 AS', 'OrgNr': 991936440, 'ProsentAndel': 100.0, 'ProsentAndelDrift': 100.0}]</t>
  </si>
  <si>
    <t>[{'KdbID': 5184, 'Tittel': 'Voldsetelva kraftverk'}]</t>
  </si>
  <si>
    <t>Vølsetelva</t>
  </si>
  <si>
    <t>Vollabekken</t>
  </si>
  <si>
    <t>VOLLAKRAFT AS</t>
  </si>
  <si>
    <t>996018512</t>
  </si>
  <si>
    <t>132.CA</t>
  </si>
  <si>
    <t>[{'AdressatID': 43673, 'Driftselskap': True, 'Hovedeier': True, 'Navn': 'VOLLAKRAFT AS', 'OrgNr': 996018512, 'ProsentAndel': 100.0, 'ProsentAndelDrift': 100.0}]</t>
  </si>
  <si>
    <t>[{'KdbID': 6874, 'Tittel': 'Vollabekken kraftverk'}]</t>
  </si>
  <si>
    <t>Vollakvernfallet</t>
  </si>
  <si>
    <t>VOLLAKVERNFALLET AS</t>
  </si>
  <si>
    <t>960760778</t>
  </si>
  <si>
    <t>[{'AdressatID': 24853, 'Driftselskap': True, 'Hovedeier': True, 'Navn': 'VOLLAKVERNFALLET AS', 'OrgNr': 960760778, 'ProsentAndel': 100.0, 'ProsentAndelDrift': 100.0}]</t>
  </si>
  <si>
    <t>[{'KdbID': 2148, 'Tittel': 'Minikraftverk i Melselvi'}]</t>
  </si>
  <si>
    <t>Vollselva</t>
  </si>
  <si>
    <t>[{'KdbID': 3837, 'Tittel': 'Nes mikrokraftverk'}]</t>
  </si>
  <si>
    <t>Vorma</t>
  </si>
  <si>
    <t>121.A3A</t>
  </si>
  <si>
    <t>1939-04-30T00:00:00</t>
  </si>
  <si>
    <t>[{'KdbID': 5784, 'Tittel': 'Vorma kraftstasjon'}]</t>
  </si>
  <si>
    <t>Vossedalselvi</t>
  </si>
  <si>
    <t>VOSSEDALSELVI KRAFT AS</t>
  </si>
  <si>
    <t>914514053</t>
  </si>
  <si>
    <t>062.B0</t>
  </si>
  <si>
    <t>2017-05-22T00:00:00</t>
  </si>
  <si>
    <t>[{'AdressatID': 43794, 'Driftselskap': True, 'Hovedeier': False, 'Navn': 'CLEMENS KRAFT AS', 'OrgNr': 912511480, 'ProsentAndel': None, 'ProsentAndelDrift': None}, {'AdressatID': 50778, 'Driftselskap': False, 'Hovedeier': True, 'Navn': 'VOSSEDALSELVI KRAFT AS', 'OrgNr': 914514053, 'ProsentAndel': 100.0, 'ProsentAndelDrift': 100.0}]</t>
  </si>
  <si>
    <t>[{'KdbID': 5654, 'Tittel': 'Vossedalselvi (Vassvøre kraftverk)'}]</t>
  </si>
  <si>
    <t>Vrangfoss</t>
  </si>
  <si>
    <t>1962-05-15T00:00:00</t>
  </si>
  <si>
    <t>Vrenga</t>
  </si>
  <si>
    <t>015.F4A1</t>
  </si>
  <si>
    <t>1960-01-10T00:00:00</t>
  </si>
  <si>
    <t>[{'KdbID': 180, 'Tittel': 'Reg. av Gjuva, Vrenga og Høymyrelv m.v. i Buskerud'}, {'KdbID': 1164, 'Tittel': 'Reg. Vrenga, Gjuva og Høymyrelv - Planendring'}]</t>
  </si>
  <si>
    <t>Vuttudal</t>
  </si>
  <si>
    <t>JOHAN VUTTUDAL</t>
  </si>
  <si>
    <t>971379367</t>
  </si>
  <si>
    <t>[{'AdressatID': 51016, 'Driftselskap': True, 'Hovedeier': True, 'Navn': 'JOHAN VUTTUDAL', 'OrgNr': 971379367, 'ProsentAndel': 100.0, 'ProsentAndelDrift': 100.0}]</t>
  </si>
  <si>
    <t>[{'KdbID': 2872, 'Tittel': 'Vuttudal mikrokraftverk'}]</t>
  </si>
  <si>
    <t>Væla</t>
  </si>
  <si>
    <t>VÆLA KRAFT AS</t>
  </si>
  <si>
    <t>912154882</t>
  </si>
  <si>
    <t>123.D8Z</t>
  </si>
  <si>
    <t>2015-07-08T00:00:00</t>
  </si>
  <si>
    <t>[{'AdressatID': 43919, 'Driftselskap': True, 'Hovedeier': True, 'Navn': 'VÆLA KRAFT AS', 'OrgNr': 912154882, 'ProsentAndel': 100.0, 'ProsentAndelDrift': 100.0}]</t>
  </si>
  <si>
    <t>[{'KdbID': 5389, 'Tittel': 'Væla minikraftverk'}]</t>
  </si>
  <si>
    <t>Vågaåna</t>
  </si>
  <si>
    <t>038.21Z</t>
  </si>
  <si>
    <t>2012-12-22T00:00:00</t>
  </si>
  <si>
    <t>[{'KdbID': 4158, 'Tittel': 'Vågaåna småkraftverk'}, {'KdbID': 8800, 'Tittel': 'Vågaåna kraftverk - redusert slukeevne'}]</t>
  </si>
  <si>
    <t>173</t>
  </si>
  <si>
    <t>Våge</t>
  </si>
  <si>
    <t>102.72Z</t>
  </si>
  <si>
    <t>[{'KdbID': 2981, 'Tittel': 'Mikrokraftverk i Vågselva'}]</t>
  </si>
  <si>
    <t>Vågselva</t>
  </si>
  <si>
    <t>Vaage</t>
  </si>
  <si>
    <t>VAAGE KRAFT AS</t>
  </si>
  <si>
    <t>989741241</t>
  </si>
  <si>
    <t>036.21</t>
  </si>
  <si>
    <t>2007-05-14T00:00:00</t>
  </si>
  <si>
    <t>[{'AdressatID': 43508, 'Driftselskap': True, 'Hovedeier': True, 'Navn': 'VAAGE KRAFT AS', 'OrgNr': 989741241, 'ProsentAndel': 100.0, 'ProsentAndelDrift': 100.0}]</t>
  </si>
  <si>
    <t>[{'KdbID': 4175, 'Tittel': 'Vaage minikraftverk'}]</t>
  </si>
  <si>
    <t>Vågen</t>
  </si>
  <si>
    <t>VÅGEN KRAFT AS</t>
  </si>
  <si>
    <t>989788892</t>
  </si>
  <si>
    <t>097.23Z</t>
  </si>
  <si>
    <t>2007-10-23T00:00:00</t>
  </si>
  <si>
    <t>[{'AdressatID': 41046, 'Driftselskap': True, 'Hovedeier': True, 'Navn': 'VÅGEN KRAFT AS', 'OrgNr': 989788892, 'ProsentAndel': 100.0, 'ProsentAndelDrift': 100.0}]</t>
  </si>
  <si>
    <t>[{'KdbID': 4101, 'Tittel': 'Vågen kraftverk'}]</t>
  </si>
  <si>
    <t>Sætreelva</t>
  </si>
  <si>
    <t>400</t>
  </si>
  <si>
    <t>VÅGEN MINIKRAFT AS</t>
  </si>
  <si>
    <t>991188509</t>
  </si>
  <si>
    <t>[{'AdressatID': 42875, 'Driftselskap': True, 'Hovedeier': True, 'Navn': 'VÅGEN MINIKRAFT AS', 'OrgNr': 991188509, 'ProsentAndel': 100.0, 'ProsentAndelDrift': 100.0}]</t>
  </si>
  <si>
    <t>[{'KdbID': 5036, 'Tittel': 'Vågen minikraftverk'}]</t>
  </si>
  <si>
    <t>Ylja</t>
  </si>
  <si>
    <t>1973-12-19T00:00:00</t>
  </si>
  <si>
    <t>[{'KdbID': 296, 'Tittel': 'Ytt. reg. av Yljavassdraget med overf. fra Leineåni'}, {'KdbID': 801, 'Tittel': 'Regulering av Steinbusjøen og Øyangen'}, {'KdbID': 802, 'Tittel': 'Ytt. reg. av Steinbusjøen og Øyangen i Yljavassdr.'}]</t>
  </si>
  <si>
    <t>Ytre Alsåker</t>
  </si>
  <si>
    <t>047.4B</t>
  </si>
  <si>
    <t>2008-10-06T00:00:00</t>
  </si>
  <si>
    <t>[{'KdbID': 4343, 'Tittel': 'Alsåker kraftverk'}]</t>
  </si>
  <si>
    <t>Alsåkerelvi</t>
  </si>
  <si>
    <t>209</t>
  </si>
  <si>
    <t>Ytre Matre</t>
  </si>
  <si>
    <t>YTRE MATRE ENERGI AS</t>
  </si>
  <si>
    <t>985594651</t>
  </si>
  <si>
    <t>042.712A</t>
  </si>
  <si>
    <t>2006-03-17T00:00:00</t>
  </si>
  <si>
    <t>[{'AdressatID': 42442, 'Driftselskap': True, 'Hovedeier': True, 'Navn': 'YTRE MATRE ENERGI AS', 'OrgNr': 985594651, 'ProsentAndel': 100.0, 'ProsentAndelDrift': 100.0}]</t>
  </si>
  <si>
    <t>[{'KdbID': 3847, 'Tittel': 'Ytre Matre småkraftverk'}]</t>
  </si>
  <si>
    <t>191</t>
  </si>
  <si>
    <t>Ytre Oppedal</t>
  </si>
  <si>
    <t>YTRE OPPEDAL KRAFTVERK AS</t>
  </si>
  <si>
    <t>997295390</t>
  </si>
  <si>
    <t>069.41Z</t>
  </si>
  <si>
    <t>2021-06-07T00:00:00</t>
  </si>
  <si>
    <t>[{'AdressatID': 43926, 'Driftselskap': False, 'Hovedeier': True, 'Navn': 'YTRE OPPEDAL KRAFTVERK AS', 'OrgNr': 997295390, 'ProsentAndel': 100.0, 'ProsentAndelDrift': 100.0}, {'AdressatID': 52024, 'Driftselskap': True, 'Hovedeier': False, 'Navn': 'CAPTIVA ASSET MANAGEMENT AS', 'OrgNr': 991840192, 'ProsentAndel': None, 'ProsentAndelDrift': None}]</t>
  </si>
  <si>
    <t>[{'KdbID': 4663, 'Tittel': 'Ytre Oppedal småkraftverk'}, {'KdbID': 7519, 'Tittel': 'Ytre Oppedal kraftverk'}]</t>
  </si>
  <si>
    <t>Oppedalselva</t>
  </si>
  <si>
    <t>275</t>
  </si>
  <si>
    <t>Ytteråa</t>
  </si>
  <si>
    <t>YTTERÅA KRAFTVERK AS</t>
  </si>
  <si>
    <t>980340775</t>
  </si>
  <si>
    <t>142.31Z</t>
  </si>
  <si>
    <t>[{'AdressatID': 29316, 'Driftselskap': True, 'Hovedeier': True, 'Navn': 'YTTERÅA KRAFTVERK AS', 'OrgNr': 980340775, 'ProsentAndel': 100.0, 'ProsentAndelDrift': 100.0}]</t>
  </si>
  <si>
    <t>[{'KdbID': 2842, 'Tittel': 'Minikraftverk i ytteråa'}]</t>
  </si>
  <si>
    <t>Øgreyfoss</t>
  </si>
  <si>
    <t>027.3A</t>
  </si>
  <si>
    <t>[{'KdbID': 842, 'Tittel': 'Ytterligere regulering av Hellelandsvassdraget'}, {'KdbID': 1208, 'Tittel': 'Dalane Elverk - Vassdragskons. ved sammensl. elforsyningsenheter'}, {'KdbID': 5343, 'Tittel': 'Utvidelse Øgreyfoss kraftverk'}]</t>
  </si>
  <si>
    <t>Øksenelvane</t>
  </si>
  <si>
    <t>1953-12-13T00:00:00</t>
  </si>
  <si>
    <t>[{'KdbID': 13, 'Tittel': 'Erverv, reguleringer, overf. m.v. i Vestre Øksendalselv og Sagelva'}]</t>
  </si>
  <si>
    <t>Økslandselv</t>
  </si>
  <si>
    <t>ØKSLANDSELV KRAFTVERK AS</t>
  </si>
  <si>
    <t>980027295</t>
  </si>
  <si>
    <t>080.21B</t>
  </si>
  <si>
    <t>[{'AdressatID': 43304, 'Driftselskap': True, 'Hovedeier': True, 'Navn': 'ØKSLANDSELV KRAFTVERK AS', 'OrgNr': 980027295, 'ProsentAndel': 100.0, 'ProsentAndelDrift': 100.0}]</t>
  </si>
  <si>
    <t>[{'KdbID': 2895, 'Tittel': 'Minikraftverk i Økslandselva'}]</t>
  </si>
  <si>
    <t>Økstra</t>
  </si>
  <si>
    <t>ØKSTRA KRAFT AS</t>
  </si>
  <si>
    <t>991692495</t>
  </si>
  <si>
    <t>2009-09-19T00:00:00</t>
  </si>
  <si>
    <t>[{'AdressatID': 43645, 'Driftselskap': True, 'Hovedeier': True, 'Navn': 'ØKSTRA KRAFT AS', 'OrgNr': 991692495, 'ProsentAndel': 100.0, 'ProsentAndelDrift': 100.0}]</t>
  </si>
  <si>
    <t>[{'KdbID': 4149, 'Tittel': 'Økstra minikraftverk'}]</t>
  </si>
  <si>
    <t>Øljusjøen</t>
  </si>
  <si>
    <t>073.CB0</t>
  </si>
  <si>
    <t>1975-01-17T00:00:00</t>
  </si>
  <si>
    <t>[{'KdbID': 71, 'Tittel': 'Reguleringer og overføringer i Lærdalsvassdraget'}]</t>
  </si>
  <si>
    <t>Ølmedal</t>
  </si>
  <si>
    <t>ØLMEDAL KRAFT AS</t>
  </si>
  <si>
    <t>988779121</t>
  </si>
  <si>
    <t>2010-02-10T00:00:00</t>
  </si>
  <si>
    <t>[{'AdressatID': 43371, 'Driftselskap': True, 'Hovedeier': True, 'Navn': 'ØLMEDAL KRAFT AS', 'OrgNr': 988779121, 'ProsentAndel': 100.0, 'ProsentAndelDrift': 100.0}]</t>
  </si>
  <si>
    <t>[{'KdbID': 2890, 'Tittel': 'Småkraftverk i Hustveitelva'}]</t>
  </si>
  <si>
    <t>Ølselva</t>
  </si>
  <si>
    <t>ØLSELVA KRAFTVERK AS</t>
  </si>
  <si>
    <t>994325205</t>
  </si>
  <si>
    <t>041.2Z</t>
  </si>
  <si>
    <t>2010-04-09T00:00:00</t>
  </si>
  <si>
    <t>[{'AdressatID': 43418, 'Driftselskap': True, 'Hovedeier': True, 'Navn': 'ØLSELVA KRAFTVERK AS', 'OrgNr': 994325205, 'ProsentAndel': 100.0, 'ProsentAndelDrift': 100.0}]</t>
  </si>
  <si>
    <t>[{'KdbID': 4700, 'Tittel': 'Ølselva minikraftverk'}]</t>
  </si>
  <si>
    <t>Dalselva</t>
  </si>
  <si>
    <t>Ørje</t>
  </si>
  <si>
    <t>Marker</t>
  </si>
  <si>
    <t>001.E32</t>
  </si>
  <si>
    <t>[{'KdbID': 310, 'Tittel': 'Erverv av rettigheter i Ørjefossen, Haldenvassdraget'}, {'KdbID': 9261, 'Tittel': 'Midlertidig fravik fra manøvreringsreglementet - Ørje\xa0kraftverk\xa0-\xa0ØSTFOLD ENERGI AS - Tapping under LRV ;  - 02.01.2025 til 19.12.2025- Referansenr:CXVDPY'}]</t>
  </si>
  <si>
    <t>Ørsdalen</t>
  </si>
  <si>
    <t>[{'KdbID': 5299, 'Tittel': 'Ørsdal småkraftverk'}, {'KdbID': 7501, 'Tittel': 'Ørsdal kraftverk'}]</t>
  </si>
  <si>
    <t>Ørteren</t>
  </si>
  <si>
    <t>ØRTEREN KRAFTVERK HOL KF</t>
  </si>
  <si>
    <t>970961755</t>
  </si>
  <si>
    <t>012.CH9</t>
  </si>
  <si>
    <t>1966-11-01T00:00:00</t>
  </si>
  <si>
    <t>[{'AdressatID': 620, 'Driftselskap': False, 'Hovedeier': False, 'Navn': 'HOL KOMMUNE', 'OrgNr': 944889116, 'ProsentAndel': 100.0, 'ProsentAndelDrift': None}, {'AdressatID': 12073, 'Driftselskap': True, 'Hovedeier': True, 'Navn': 'ØRTEREN KRAFTVERK HOL KF', 'OrgNr': 970961755, 'ProsentAndel': None, 'ProsentAndelDrift': 100.0}]</t>
  </si>
  <si>
    <t>[{'KdbID': 7915, 'Tittel': 'Revisjon av konsesjonsvilkår - Uste- og Hallingdalsvassdraget'}]</t>
  </si>
  <si>
    <t>84</t>
  </si>
  <si>
    <t>Ørtvatn</t>
  </si>
  <si>
    <t>156.D20</t>
  </si>
  <si>
    <t>[{'KdbID': 4345, 'Tittel': 'Ørtvann kraftverk'}]</t>
  </si>
  <si>
    <t>Østabø</t>
  </si>
  <si>
    <t>ASBJØRN VANVIK</t>
  </si>
  <si>
    <t>979492898</t>
  </si>
  <si>
    <t>037.5BA</t>
  </si>
  <si>
    <t>[{'AdressatID': 40585, 'Driftselskap': True, 'Hovedeier': True, 'Navn': 'ASBJØRN VANVIK', 'OrgNr': 979492898, 'ProsentAndel': 100.0, 'ProsentAndelDrift': 100.0}]</t>
  </si>
  <si>
    <t>[{'KdbID': 2757, 'Tittel': 'Østabø minikraftverk i Nordåna'}]</t>
  </si>
  <si>
    <t>Østerbø</t>
  </si>
  <si>
    <t>069.8C</t>
  </si>
  <si>
    <t>2020-09-16T00:00:00</t>
  </si>
  <si>
    <t>[{'AdressatID': 25445, 'Driftselskap': False, 'Hovedeier': False, 'Navn': 'EVINY FORNYBAR AS', 'OrgNr': 876944642, 'ProsentAndel': None, 'ProsentAndelDrift': 42.0}, {'AdressatID': 25454, 'Driftselskap': True, 'Hovedeier': True, 'Navn': 'SFE AS', 'OrgNr': 984882106, 'ProsentAndel': 100.0, 'ProsentAndelDrift': 58.0}]</t>
  </si>
  <si>
    <t>[{'KdbID': 4271, 'Tittel': 'Regulering og utbygging Østerbø og Randalen kraftverk'}, {'KdbID': 7361, 'Tittel': 'Østerbø og Randalen kraftverk '}]</t>
  </si>
  <si>
    <t>Øystrebøelva</t>
  </si>
  <si>
    <t>280</t>
  </si>
  <si>
    <t>Østerhus</t>
  </si>
  <si>
    <t>035.7C</t>
  </si>
  <si>
    <t>[{'KdbID': 2023, 'Tittel': 'Mikrokraftverk, Kaldebekk'}]</t>
  </si>
  <si>
    <t>Østli</t>
  </si>
  <si>
    <t>STORENGBOND1 R1 1R-GI</t>
  </si>
  <si>
    <t>914520452</t>
  </si>
  <si>
    <t>139.F1A</t>
  </si>
  <si>
    <t>[{'AdressatID': 50202, 'Driftselskap': True, 'Hovedeier': True, 'Navn': 'STORENGBOND1 R1 1R-GI', 'OrgNr': 914520452, 'ProsentAndel': 100.0, 'ProsentAndelDrift': 100.0}]</t>
  </si>
  <si>
    <t>[{'KdbID': 7274, 'Tittel': 'Østli minikraftverk'}]</t>
  </si>
  <si>
    <t>Østre Neset</t>
  </si>
  <si>
    <t>[{'KdbID': 4470, 'Tittel': 'Østre Neset kraftverk'}]</t>
  </si>
  <si>
    <t>Øverdal</t>
  </si>
  <si>
    <t>ØVERDAL KRAFTVERK AS</t>
  </si>
  <si>
    <t>996101630</t>
  </si>
  <si>
    <t>136.AZ</t>
  </si>
  <si>
    <t>2012-12-10T00:00:00</t>
  </si>
  <si>
    <t>[{'AdressatID': 43714, 'Driftselskap': True, 'Hovedeier': True, 'Navn': 'ØVERDAL KRAFTVERK AS', 'OrgNr': 996101630, 'ProsentAndel': 100.0, 'ProsentAndelDrift': 100.0}]</t>
  </si>
  <si>
    <t>[{'KdbID': 4771, 'Tittel': 'Øverdal kraftverk'}]</t>
  </si>
  <si>
    <t>Hofstadelva</t>
  </si>
  <si>
    <t>559</t>
  </si>
  <si>
    <t>Øvre Alsåker</t>
  </si>
  <si>
    <t>047.4B2</t>
  </si>
  <si>
    <t>2023-06-06T00:00:00</t>
  </si>
  <si>
    <t>[{'KdbID': 6126, 'Tittel': 'Øvre Alsåker kraftverk'}, {'KdbID': 8485, 'Tittel': 'Planendring Øvre Alsåker'}]</t>
  </si>
  <si>
    <t>Øvre Bersåvatn</t>
  </si>
  <si>
    <t>049.A4C</t>
  </si>
  <si>
    <t>Øvre Dørålseter</t>
  </si>
  <si>
    <t>002.LG</t>
  </si>
  <si>
    <t>Øvre Fiskumfoss</t>
  </si>
  <si>
    <t>139.C4</t>
  </si>
  <si>
    <t>1976-11-01T00:00:00</t>
  </si>
  <si>
    <t>[{'KdbID': 471, 'Tittel': 'Erverv, ekspropr. m.v. for utbygging av Øvre Fiskumfoss i Namsen'}, {'KdbID': 1940, 'Tittel': 'Ekspropriasjon av grunn og rettigh. for utb. av Fiskumfoss.'}]</t>
  </si>
  <si>
    <t>Øvre Forsland</t>
  </si>
  <si>
    <t>153.2C</t>
  </si>
  <si>
    <t>2015-03-23T00:00:00</t>
  </si>
  <si>
    <t>[{'KdbID': 4620, 'Tittel': 'Øvre Forsland kraftverk'}, {'KdbID': 6694, 'Tittel': 'Planendring Øvre Forsland kraftverk'}]</t>
  </si>
  <si>
    <t>Øvre Kivfallet</t>
  </si>
  <si>
    <t>2009-12-15T00:00:00</t>
  </si>
  <si>
    <t>[{'KdbID': 4159, 'Tittel': 'Øvre Kivfallet Kraftverk'}]</t>
  </si>
  <si>
    <t>Øvre Kvemma</t>
  </si>
  <si>
    <t>ØVRE KVEMMA KRAFTVERK AS</t>
  </si>
  <si>
    <t>927640104</t>
  </si>
  <si>
    <t>073.C4Z</t>
  </si>
  <si>
    <t>2024-04-25T00:00:00</t>
  </si>
  <si>
    <t>[{'AdressatID': 61699, 'Driftselskap': True, 'Hovedeier': True, 'Navn': 'ØVRE KVEMMA KRAFTVERK AS', 'OrgNr': 927640104, 'ProsentAndel': 100.0, 'ProsentAndelDrift': 100.0}]</t>
  </si>
  <si>
    <t>[{'KdbID': 7949, 'Tittel': 'Øvre Kvemma kraftverk'}]</t>
  </si>
  <si>
    <t>Øvre Leirfoss</t>
  </si>
  <si>
    <t>Øvre Leiråga</t>
  </si>
  <si>
    <t>2020-03-23T00:00:00</t>
  </si>
  <si>
    <t>[{'KdbID': 4550, 'Tittel': 'Øvre Leiråga småkraftverk'}]</t>
  </si>
  <si>
    <t>Øvre Markevatn</t>
  </si>
  <si>
    <t>[{'KdbID': 230, 'Tittel': 'Erverv og regulering av Skorvenvassdraget'}, {'KdbID': 926, 'Tittel': 'Erverv og regulering av Skorgevassdraget'}]</t>
  </si>
  <si>
    <t>Øvre Mollisjok</t>
  </si>
  <si>
    <t>234.GBF</t>
  </si>
  <si>
    <t>Øvre Porsa</t>
  </si>
  <si>
    <t>213.5C</t>
  </si>
  <si>
    <t>Øvre Russvik</t>
  </si>
  <si>
    <t>171.82C</t>
  </si>
  <si>
    <t>2021-05-28T00:00:00</t>
  </si>
  <si>
    <t>[{'KdbID': 6631, 'Tittel': 'Øvre Russvik kraftverk'}, {'KdbID': 7424, 'Tittel': 'Øvre Russvik kraftverk - planendring'}, {'KdbID': 8194, 'Tittel': 'Øvre Russvik kraftverk - flytting av inntak'}]</t>
  </si>
  <si>
    <t>Øvre Røssåga</t>
  </si>
  <si>
    <t>155.C2</t>
  </si>
  <si>
    <t>1961-04-26T00:00:00</t>
  </si>
  <si>
    <t>[{'KdbID': 890, 'Tittel': 'Statsregulering av Røssåga'}, {'KdbID': 7594, 'Tittel': 'Opprustning av Øvre Røssåga kraftverk'}]</t>
  </si>
  <si>
    <t>Øvre Skorilla</t>
  </si>
  <si>
    <t>2024-09-18T00:00:00</t>
  </si>
  <si>
    <t>[{'KdbID': 5903, 'Tittel': 'Øvre Skorilla kraftverk'}, {'KdbID': 9492, 'Tittel': 'Søknad - Midlertidig fravik fra manøvreringsreglementet - Øvre Skorilla\xa0kraftverk\xa0-\xa0SVORKA SMÅKRAFT AS - Fravik fra minstevannføring;  - 23.09.2024 til 06.10.2024- Referansenr:IJJUKL'}]</t>
  </si>
  <si>
    <t>Øvre Storelvi</t>
  </si>
  <si>
    <t>ØVRE STORELVI KRAFT AS</t>
  </si>
  <si>
    <t>923366598</t>
  </si>
  <si>
    <t>077.D3</t>
  </si>
  <si>
    <t>2023-07-05T00:00:00</t>
  </si>
  <si>
    <t>[{'AdressatID': 40545, 'Driftselskap': True, 'Hovedeier': False, 'Navn': 'FORTE VANNKRAFT AS', 'OrgNr': 975964825, 'ProsentAndel': None, 'ProsentAndelDrift': None}, {'AdressatID': 59163, 'Driftselskap': False, 'Hovedeier': True, 'Navn': 'ØVRE STORELVI KRAFT AS', 'OrgNr': 923366598, 'ProsentAndel': 100.0, 'ProsentAndelDrift': 100.0}]</t>
  </si>
  <si>
    <t>[{'KdbID': 7486, 'Tittel': 'Øvre Storelvi kraftverk'}]</t>
  </si>
  <si>
    <t>Øvre Svultingen</t>
  </si>
  <si>
    <t>[{'KdbID': 24, 'Tittel': 'Erverv av bruksrett til fall og til ytterl. reg. av Bøfjordvassdr.'}, {'KdbID': 521, 'Tittel': 'Erverv av bruksrett til Svultingfoss i Bøfjordelv'}, {'KdbID': 1319, 'Tittel': 'Stadf., erv. av bruksr. til Svultingfoss i Bøfjordelv.'}, {'KdbID': 6665, 'Tittel': 'Øvre Svultingen og Nordstrandsvatn'}, {'KdbID': 8980, 'Tittel': 'Midlertidig fravik fra manøvreringsreglementet - Øvre Svultingen\xa0kraftverk\xa0-\xa0EVINY FORNYBAR AS - 15.04.2023 til 31.07.2023- Referansenr:JIJKFP'}]</t>
  </si>
  <si>
    <t>Øvre Tessa</t>
  </si>
  <si>
    <t>002.DHB2B</t>
  </si>
  <si>
    <t>2025-09-05T00:00:00</t>
  </si>
  <si>
    <t>Øvre Tømmerelv</t>
  </si>
  <si>
    <t>193.5C</t>
  </si>
  <si>
    <t>2025-06-13T00:00:00</t>
  </si>
  <si>
    <t>[{'KdbID': 6983, 'Tittel': 'Øvre Tømmerelv kraftverk'}]</t>
  </si>
  <si>
    <t>Tømmerelva</t>
  </si>
  <si>
    <t>Øvre Vinstra</t>
  </si>
  <si>
    <t>002.DFBA4</t>
  </si>
  <si>
    <t>1959-08-26T00:00:00</t>
  </si>
  <si>
    <t>[{'KdbID': 5711, 'Tittel': 'Oppgradering av Øvre Vinstra kraftverk'}]</t>
  </si>
  <si>
    <t>Øvre Åssiden</t>
  </si>
  <si>
    <t>2021-12-01T00:00:00</t>
  </si>
  <si>
    <t>Øvre Åvella</t>
  </si>
  <si>
    <t>012.EC8A6</t>
  </si>
  <si>
    <t>Øvrebø</t>
  </si>
  <si>
    <t>ØVREBØ KRAFT AS</t>
  </si>
  <si>
    <t>922953112</t>
  </si>
  <si>
    <t>084.E2B</t>
  </si>
  <si>
    <t>2021-12-16T00:00:00</t>
  </si>
  <si>
    <t>[{'AdressatID': 43794, 'Driftselskap': True, 'Hovedeier': False, 'Navn': 'CLEMENS KRAFT AS', 'OrgNr': 912511480, 'ProsentAndel': None, 'ProsentAndelDrift': None}, {'AdressatID': 61023, 'Driftselskap': False, 'Hovedeier': True, 'Navn': 'ØVREBØ KRAFT AS', 'OrgNr': 922953112, 'ProsentAndel': 100.0, 'ProsentAndelDrift': 100.0}]</t>
  </si>
  <si>
    <t>[{'KdbID': 5549, 'Tittel': 'Øvrebø kraftverk'}]</t>
  </si>
  <si>
    <t>Øvrefoss</t>
  </si>
  <si>
    <t>177.5A5</t>
  </si>
  <si>
    <t>1949-02-03T00:00:00</t>
  </si>
  <si>
    <t>Øvstebø</t>
  </si>
  <si>
    <t>TOR ARNE SANDVIK</t>
  </si>
  <si>
    <t>994879979</t>
  </si>
  <si>
    <t>041.5</t>
  </si>
  <si>
    <t>2023-08-01T00:00:00</t>
  </si>
  <si>
    <t>[{'AdressatID': 68053, 'Driftselskap': True, 'Hovedeier': True, 'Navn': 'TOR ARNE SANDVIK', 'OrgNr': 994879979, 'ProsentAndel': 100.0, 'ProsentAndelDrift': 100.0}]</t>
  </si>
  <si>
    <t>Øvstedal</t>
  </si>
  <si>
    <t>102.6ABA</t>
  </si>
  <si>
    <t>2012-11-08T00:00:00</t>
  </si>
  <si>
    <t>[{'KdbID': 4477, 'Tittel': 'Øvstedal minikraftverk'}]</t>
  </si>
  <si>
    <t>Tressa</t>
  </si>
  <si>
    <t>426</t>
  </si>
  <si>
    <t>Øyadalen</t>
  </si>
  <si>
    <t>Øyadalen Kraftverk AS</t>
  </si>
  <si>
    <t>988060089</t>
  </si>
  <si>
    <t>2008-11-10T00:00:00</t>
  </si>
  <si>
    <t>[{'AdressatID': 42931, 'Driftselskap': True, 'Hovedeier': True, 'Navn': 'ØYADALEN KRAFTVERK AS', 'OrgNr': 988060089, 'ProsentAndel': 100.0, 'ProsentAndelDrift': 100.0}]</t>
  </si>
  <si>
    <t>[{'KdbID': 4374, 'Tittel': 'Øyadalen kraftverk'}]</t>
  </si>
  <si>
    <t>Øyberget</t>
  </si>
  <si>
    <t>2005-06-08T00:00:00</t>
  </si>
  <si>
    <t>[{'AdressatID': 41334, 'Driftselskap': False, 'Hovedeier': False, 'Navn': 'ØVRE OTTA DA', 'OrgNr': 987969059, 'ProsentAndel': None, 'ProsentAndelDrift': None}, {'AdressatID': 10242, 'Driftselskap': True, 'Hovedeier': True, 'Navn': 'HAFSLUND KRAFT AS', 'OrgNr': 976894677, 'ProsentAndel': 19.72, 'ProsentAndelDrift': 100.0}, {'AdressatID': 10300, 'Driftselskap': False, 'Hovedeier': False, 'Navn': 'OPPLANDSKRAFT DA', 'OrgNr': 944237631, 'ProsentAndel': None, 'ProsentAndelDrift': None}, {'AdressatID': 25452, 'Driftselskap': False, 'Hovedeier': False, 'Navn': 'AKERSHUS ENERGI VANNKRAFT AS', 'OrgNr': 976542622, 'ProsentAndel': 19.72, 'ProsentAndelDrift': None}, {'AdressatID': 25766, 'Driftselskap': False, 'Hovedeier': False, 'Navn': 'TAFJORD KRAFTPRODUKSJON AS', 'OrgNr': 977461898, 'ProsentAndel': 21.12, 'ProsentAndelDrift': None}, {'AdressatID': 41020, 'Driftselskap': False, 'Hovedeier': False, 'Navn': 'HAFSLUND KRAFT INNLANDET AS', 'OrgNr': 887396752, 'ProsentAndel': 39.44, 'ProsentAndelDrift': None}]</t>
  </si>
  <si>
    <t>Øygardselva</t>
  </si>
  <si>
    <t>ØYGARDSELVA KRAFT AS</t>
  </si>
  <si>
    <t>931347071</t>
  </si>
  <si>
    <t>094.B</t>
  </si>
  <si>
    <t>[{'AdressatID': 67331, 'Driftselskap': True, 'Hovedeier': True, 'Navn': 'ØYGARDSELVA KRAFT AS', 'OrgNr': 931347071, 'ProsentAndel': 100.0, 'ProsentAndelDrift': 100.0}]</t>
  </si>
  <si>
    <t>[{'KdbID': 4960, 'Tittel': 'Øygardselva kraftverk'}]</t>
  </si>
  <si>
    <t>Stigedalselva</t>
  </si>
  <si>
    <t>392</t>
  </si>
  <si>
    <t>Øynan</t>
  </si>
  <si>
    <t>ØYNAN KRAFTVERK AS</t>
  </si>
  <si>
    <t>992295066</t>
  </si>
  <si>
    <t>012.CH1</t>
  </si>
  <si>
    <t>2010-03-02T00:00:00</t>
  </si>
  <si>
    <t>[{'AdressatID': 43126, 'Driftselskap': True, 'Hovedeier': True, 'Navn': 'ØYNAN KRAFTVERK AS', 'OrgNr': 992295066, 'ProsentAndel': 100.0, 'ProsentAndelDrift': 100.0}]</t>
  </si>
  <si>
    <t>[{'KdbID': 5383, 'Tittel': 'Øynan småkraftverk'}]</t>
  </si>
  <si>
    <t>Øyrabekken</t>
  </si>
  <si>
    <t>046.51A</t>
  </si>
  <si>
    <t>[{'KdbID': 4106, 'Tittel': 'Øyrabekken kraftverk'}]</t>
  </si>
  <si>
    <t>215</t>
  </si>
  <si>
    <t>Øystad Mikrokraftverk</t>
  </si>
  <si>
    <t>036.B1A0</t>
  </si>
  <si>
    <t>[{'KdbID': 3566, 'Tittel': 'Øystad mikrokraftverk'}]</t>
  </si>
  <si>
    <t>Åbjøra</t>
  </si>
  <si>
    <t>012.J81</t>
  </si>
  <si>
    <t>1951-12-02T00:00:00</t>
  </si>
  <si>
    <t>[{'KdbID': 2609, 'Tittel': 'Åbjøra kraftverk - ombygging'}]</t>
  </si>
  <si>
    <t>Ågjølet</t>
  </si>
  <si>
    <t>ÅGJØLET KRAFTVERK AS</t>
  </si>
  <si>
    <t>983600514</t>
  </si>
  <si>
    <t>084.E4Z</t>
  </si>
  <si>
    <t>2002-12-03T00:00:00</t>
  </si>
  <si>
    <t>[{'AdressatID': 40373, 'Driftselskap': True, 'Hovedeier': True, 'Navn': 'ÅGJØLET KRAFTVERK AS', 'OrgNr': 983600514, 'ProsentAndel': 100.0, 'ProsentAndelDrift': 100.0}]</t>
  </si>
  <si>
    <t>[{'KdbID': 2111, 'Tittel': 'Minikraftverk - Årdalselva i Jølstravassdraget'}]</t>
  </si>
  <si>
    <t>Ågskar</t>
  </si>
  <si>
    <t>ÅGSKARKRAFT AS</t>
  </si>
  <si>
    <t>992389370</t>
  </si>
  <si>
    <t>156.22</t>
  </si>
  <si>
    <t>2011-07-06T00:00:00</t>
  </si>
  <si>
    <t>[{'AdressatID': 42722, 'Driftselskap': True, 'Hovedeier': True, 'Navn': 'ÅGSKARKRAFT AS', 'OrgNr': 992389370, 'ProsentAndel': 100.0, 'ProsentAndelDrift': 100.0}]</t>
  </si>
  <si>
    <t>[{'KdbID': 4555, 'Tittel': 'Ågskar småkraftverk'}]</t>
  </si>
  <si>
    <t>651</t>
  </si>
  <si>
    <t>ÅKRAELVA KRAFTVERK AS</t>
  </si>
  <si>
    <t>991394001</t>
  </si>
  <si>
    <t>042.61Z</t>
  </si>
  <si>
    <t>2013-05-16T00:00:00</t>
  </si>
  <si>
    <t>[{'AdressatID': 43746, 'Driftselskap': True, 'Hovedeier': True, 'Navn': 'ÅKRAELVA KRAFTVERK AS', 'OrgNr': 991394001, 'ProsentAndel': 100.0, 'ProsentAndelDrift': 100.0}]</t>
  </si>
  <si>
    <t>[{'KdbID': 5339, 'Tittel': 'Åkraelva kraftverk'}]</t>
  </si>
  <si>
    <t>Åkvisla</t>
  </si>
  <si>
    <t>002.DE3A3</t>
  </si>
  <si>
    <t>2016-07-01T00:00:00</t>
  </si>
  <si>
    <t>[{'KdbID': 6683, 'Tittel': 'Åkvisla kraftverk'}]</t>
  </si>
  <si>
    <t>ÅL KRAFTVERK KF</t>
  </si>
  <si>
    <t>971030577</t>
  </si>
  <si>
    <t>012.CE5</t>
  </si>
  <si>
    <t>1914-03-01T00:00:00</t>
  </si>
  <si>
    <t>[{'AdressatID': 10340, 'Driftselskap': True, 'Hovedeier': True, 'Navn': 'ÅL KRAFTVERK KF', 'OrgNr': 971030577, 'ProsentAndel': 100.0, 'ProsentAndelDrift': 100.0}]</t>
  </si>
  <si>
    <t>Ålgård</t>
  </si>
  <si>
    <t>GJESDAL KOMMUNE</t>
  </si>
  <si>
    <t>964978573</t>
  </si>
  <si>
    <t>028.B</t>
  </si>
  <si>
    <t>[{'AdressatID': 1122, 'Driftselskap': True, 'Hovedeier': True, 'Navn': 'GJESDAL KOMMUNE', 'OrgNr': 964978573, 'ProsentAndel': 100.0, 'ProsentAndelDrift': 100.0}]</t>
  </si>
  <si>
    <t>Figgjo</t>
  </si>
  <si>
    <t>Aall-Ulefoss</t>
  </si>
  <si>
    <t>016.BA11</t>
  </si>
  <si>
    <t>[{'KdbID': 2821, 'Tittel': 'Erverv bruksrett fall Eidselva i Skiensvassdraget eier Aall-Ulefos'}]</t>
  </si>
  <si>
    <t>Ålmo</t>
  </si>
  <si>
    <t>ÅLMO ENERGI AS</t>
  </si>
  <si>
    <t>988411043</t>
  </si>
  <si>
    <t>Aure</t>
  </si>
  <si>
    <t>114.12Z</t>
  </si>
  <si>
    <t>2006-10-12T00:00:00</t>
  </si>
  <si>
    <t>[{'AdressatID': 42413, 'Driftselskap': True, 'Hovedeier': True, 'Navn': 'ÅLMO ENERGI AS', 'OrgNr': 988411043, 'ProsentAndel': 100.0, 'ProsentAndelDrift': 100.0}]</t>
  </si>
  <si>
    <t>[{'KdbID': 2221, 'Tittel': 'Ålmo minikraftverk'}, {'KdbID': 5061, 'Tittel': 'Økning av slukeevne for Ålmo minikraftverk'}]</t>
  </si>
  <si>
    <t>Vågoselva</t>
  </si>
  <si>
    <t>Åmdal</t>
  </si>
  <si>
    <t>019.B41</t>
  </si>
  <si>
    <t>1953-02-04T00:00:00</t>
  </si>
  <si>
    <t>[{'KdbID': 778, 'Tittel': 'Erverv av fall Hyllebuhylen og Espekleiv m.v. i Åmdalselv'}, {'KdbID': 1970, 'Tittel': 'Erv. utb. Skafsåvassdraget, planendring'}, {'KdbID': 2012, 'Tittel': 'Planendr. utb. Skafsåvassdraget'}]</t>
  </si>
  <si>
    <t>Åmela</t>
  </si>
  <si>
    <t>094.1Z</t>
  </si>
  <si>
    <t>[{'KdbID': 455, 'Tittel': 'Erverv av bruksrett til og regulering av Åmelavassdraget m.v.'}, {'KdbID': 767, 'Tittel': 'Regulering av Åmelavassdraget - Planendring'}]</t>
  </si>
  <si>
    <t>388</t>
  </si>
  <si>
    <t>Åmli-Gjøv</t>
  </si>
  <si>
    <t>019.C62</t>
  </si>
  <si>
    <t>1983-09-05T00:00:00</t>
  </si>
  <si>
    <t>[{'KdbID': 759, 'Tittel': 'Erverv og utbygging av Åmli Kraftverk i Arendalsvassdraget'}]</t>
  </si>
  <si>
    <t>Åmli-Nidelv</t>
  </si>
  <si>
    <t>1983-08-05T00:00:00</t>
  </si>
  <si>
    <t>[{'KdbID': 707, 'Tittel': 'Erverv, ekspropr. m.v. for ombygging av kraftstasjon i Hunselva.'}]</t>
  </si>
  <si>
    <t>016.ADB</t>
  </si>
  <si>
    <t>2012-12-19T00:00:00</t>
  </si>
  <si>
    <t>[{'KdbID': 6015, 'Tittel': 'Åmot kraftverk'}]</t>
  </si>
  <si>
    <t>Åmotsfoss</t>
  </si>
  <si>
    <t>ÅMOTSFOSS KRAFT AS</t>
  </si>
  <si>
    <t>921657145</t>
  </si>
  <si>
    <t>019.D621</t>
  </si>
  <si>
    <t>2021-11-02T00:00:00</t>
  </si>
  <si>
    <t>[{'AdressatID': 53091, 'Driftselskap': True, 'Hovedeier': True, 'Navn': 'ÅMOTSFOSS KRAFT AS', 'OrgNr': 921657145, 'ProsentAndel': 100.0, 'ProsentAndelDrift': 100.0}]</t>
  </si>
  <si>
    <t>[{'KdbID': 7599, 'Tittel': 'Åmotsfoss kraftverk'}]</t>
  </si>
  <si>
    <t>Åna-Sira</t>
  </si>
  <si>
    <t>026.A</t>
  </si>
  <si>
    <t>1971-05-04T00:00:00</t>
  </si>
  <si>
    <t>[{'KdbID': 918, 'Tittel': 'Reguleringer og overføringer i Sira-Kvinavassdragene'}, {'KdbID': 2056, 'Tittel': 'Erv. av 3,3 av statens prosentand. i Sira-Kvina krv.'}, {'KdbID': 9614, 'Tittel': 'Søknad - Midlertidig fravik fra manøvreringsreglementet - Åna-Sira\xa0kraftverk\xa0-\xa0SIRA KVINA KRAFTSELSKAP - Fravik fra minstevannføring;  - 28.04.2025 til 05.05.2025- Referansenr:DLSTDW'}]</t>
  </si>
  <si>
    <t>Aaning</t>
  </si>
  <si>
    <t>088.B11</t>
  </si>
  <si>
    <t>[{'KdbID': 2902, 'Tittel': 'Mikrokraftverk i Åningelva'}]</t>
  </si>
  <si>
    <t>Årdal Nedre</t>
  </si>
  <si>
    <t>ÅRDAL KRAFTVERK AS</t>
  </si>
  <si>
    <t>926133039</t>
  </si>
  <si>
    <t>087.B14</t>
  </si>
  <si>
    <t>2009-10-13T00:00:00</t>
  </si>
  <si>
    <t>[{'AdressatID': 60870, 'Driftselskap': True, 'Hovedeier': True, 'Navn': 'ÅRDAL KRAFTVERK AS', 'OrgNr': 926133039, 'ProsentAndel': 100.0, 'ProsentAndelDrift': 100.0}]</t>
  </si>
  <si>
    <t>[{'KdbID': 5023, 'Tittel': 'Nedre Årdal kraftverk'}]</t>
  </si>
  <si>
    <t>Årdal Øvre</t>
  </si>
  <si>
    <t>2008-11-13T00:00:00</t>
  </si>
  <si>
    <t>[{'KdbID': 3909, 'Tittel': 'Øvre  Årdal kraftverk'}]</t>
  </si>
  <si>
    <t>Årlifoss</t>
  </si>
  <si>
    <t>016.F61</t>
  </si>
  <si>
    <t>[{'KdbID': 3629, 'Tittel': 'Endr. man.reg. Tinnsjøen, Telemark'}]</t>
  </si>
  <si>
    <t>Årskog</t>
  </si>
  <si>
    <t>044.60</t>
  </si>
  <si>
    <t>Årteigelva</t>
  </si>
  <si>
    <t>HESTAD KARSTEN</t>
  </si>
  <si>
    <t>969630613</t>
  </si>
  <si>
    <t>083.C31</t>
  </si>
  <si>
    <t>[{'AdressatID': 24516, 'Driftselskap': True, 'Hovedeier': True, 'Navn': 'HESTAD KARSTEN', 'OrgNr': 969630613, 'ProsentAndel': 100.0, 'ProsentAndelDrift': 100.0}]</t>
  </si>
  <si>
    <t>[{'KdbID': 2297, 'Tittel': 'Mikrokraftverkl Årteigelva'}]</t>
  </si>
  <si>
    <t>Årvik</t>
  </si>
  <si>
    <t>046.5Z</t>
  </si>
  <si>
    <t>2008-11-05T00:00:00</t>
  </si>
  <si>
    <t>[{'KdbID': 4105, 'Tittel': 'Årvik kraftverk'}]</t>
  </si>
  <si>
    <t>Årvikeelva</t>
  </si>
  <si>
    <t>206</t>
  </si>
  <si>
    <t>Årøy</t>
  </si>
  <si>
    <t>077.A2</t>
  </si>
  <si>
    <t>1983-05-01T00:00:00</t>
  </si>
  <si>
    <t>[{'KdbID': 196, 'Tittel': 'Årøy Kraftverk i Luster og Sogndal, Erverv, ekspr., regulering m.v.'}]</t>
  </si>
  <si>
    <t>Årøy 1</t>
  </si>
  <si>
    <t>1943-12-20T00:00:00</t>
  </si>
  <si>
    <t>[{'KdbID': 196, 'Tittel': 'Årøy Kraftverk i Luster og Sogndal, Erverv, ekspr., regulering m.v.'}, {'KdbID': 1398, 'Tittel': 'Erverv av bruksrett til vann i Årøyelva.'}]</t>
  </si>
  <si>
    <t>Aas</t>
  </si>
  <si>
    <t>Åsa</t>
  </si>
  <si>
    <t>012.D72B</t>
  </si>
  <si>
    <t>[{'KdbID': 6633, 'Tittel': 'Utvidelse av Åsa kraftverk'}]</t>
  </si>
  <si>
    <t>Åsebotn</t>
  </si>
  <si>
    <t>064.C4Z</t>
  </si>
  <si>
    <t>1994-07-01T00:00:00</t>
  </si>
  <si>
    <t>[{'KdbID': 557, 'Tittel': 'Åsebotn kraftverk, Nygard pumpekraftverk, reg./erv.  m.v. i Modalen'}, {'KdbID': 1877, 'Tittel': 'Åsebotn kraftverk i Modalen. Planendring'}]</t>
  </si>
  <si>
    <t>Åsedøla</t>
  </si>
  <si>
    <t>084.7AZ</t>
  </si>
  <si>
    <t>2001-12-08T00:00:00</t>
  </si>
  <si>
    <t>[{'KdbID': 2907, 'Tittel': 'Minikraftverk i Åsedøla'}, {'KdbID': 2963, 'Tittel': 'Åsedøla kraftverk'}]</t>
  </si>
  <si>
    <t>347</t>
  </si>
  <si>
    <t>Åselva</t>
  </si>
  <si>
    <t>ÅSELVA KRAFT AS</t>
  </si>
  <si>
    <t>994581708</t>
  </si>
  <si>
    <t>084.E3</t>
  </si>
  <si>
    <t>2011-08-18T00:00:00</t>
  </si>
  <si>
    <t>[{'AdressatID': 43168, 'Driftselskap': True, 'Hovedeier': True, 'Navn': 'ÅSELVA KRAFT AS', 'OrgNr': 994581708, 'ProsentAndel': 100.0, 'ProsentAndelDrift': 100.0}]</t>
  </si>
  <si>
    <t>[{'KdbID': 4886, 'Tittel': 'Åselva småkraftverk'}]</t>
  </si>
  <si>
    <t>Åsgårdselva</t>
  </si>
  <si>
    <t>116.2Z</t>
  </si>
  <si>
    <t>2007-02-26T00:00:00</t>
  </si>
  <si>
    <t>[{'KdbID': 2062, 'Tittel': 'Mikrokraftverk i Åsgårdselva'}]</t>
  </si>
  <si>
    <t>Gjelaelva</t>
  </si>
  <si>
    <t>Åskåra 1</t>
  </si>
  <si>
    <t>086.6B0</t>
  </si>
  <si>
    <t>1970-11-13T00:00:00</t>
  </si>
  <si>
    <t>[{'KdbID': 356, 'Tittel': 'Reg. og overf. i Åskåravassdraget m.fl. - Planendr. reg. av Z-vatn'}, {'KdbID': 424, 'Tittel': 'Reguleringer og overføringer i Åskåravassdragene m.fl.'}, {'KdbID': 2008, 'Tittel': 'Overf. Skordalselva til Øksendalsvassdraget'}]</t>
  </si>
  <si>
    <t>Åskorelva</t>
  </si>
  <si>
    <t>362</t>
  </si>
  <si>
    <t>Åskåra 2</t>
  </si>
  <si>
    <t>1973-09-12T00:00:00</t>
  </si>
  <si>
    <t>[{'KdbID': 424, 'Tittel': 'Reguleringer og overføringer i Åskåravassdragene m.fl.'}, {'KdbID': 1688, 'Tittel': 'Tilleggsregulering i Åskåravassdraget.'}]</t>
  </si>
  <si>
    <t>Åsmulfoss</t>
  </si>
  <si>
    <t>139.D32</t>
  </si>
  <si>
    <t>1971-11-23T00:00:00</t>
  </si>
  <si>
    <t>[{'KdbID': 1938, 'Tittel': 'Ekspropriasjon for utb. av Åsmulfoss kraftverk i Namdalen.'}]</t>
  </si>
  <si>
    <t>Åvedal</t>
  </si>
  <si>
    <t>MARTIN ÅVEDAL</t>
  </si>
  <si>
    <t>880398482</t>
  </si>
  <si>
    <t>026.B2D</t>
  </si>
  <si>
    <t>[{'AdressatID': 58088, 'Driftselskap': True, 'Hovedeier': True, 'Navn': 'MARTIN ÅVEDAL', 'OrgNr': 880398482, 'ProsentAndel': 100.0, 'ProsentAndelDrift': 100.0}]</t>
  </si>
  <si>
    <t>[{'KdbID': 2561, 'Tittel': 'Åvedal minikraftverk'}]</t>
  </si>
  <si>
    <t>Åvella</t>
  </si>
  <si>
    <t>012.EC8A</t>
  </si>
  <si>
    <t>2009-12-18T00:00:00</t>
  </si>
  <si>
    <t>[{'KdbID': 5767, 'Tittel': 'Oppgradering Åvella kraftverk'}]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</si>
</sst>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52"/>
  <sheetViews>
    <sheetView workbookViewId="0">
      <selection activeCell="M1" sqref="M1:M1048576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1973</v>
      </c>
      <c r="L2">
        <v>1973</v>
      </c>
      <c r="M2">
        <v>50</v>
      </c>
      <c r="N2">
        <v>196.36600000000001</v>
      </c>
      <c r="O2">
        <v>200</v>
      </c>
      <c r="P2">
        <v>30.19</v>
      </c>
      <c r="Q2">
        <v>0.46</v>
      </c>
      <c r="R2" t="s">
        <v>42</v>
      </c>
      <c r="S2" t="s">
        <v>43</v>
      </c>
      <c r="T2" t="b">
        <v>1</v>
      </c>
      <c r="U2" t="s">
        <v>44</v>
      </c>
      <c r="V2" t="s">
        <v>45</v>
      </c>
      <c r="W2" t="s">
        <v>46</v>
      </c>
      <c r="X2" t="s">
        <v>47</v>
      </c>
      <c r="AA2" t="s">
        <v>48</v>
      </c>
      <c r="AB2" t="s">
        <v>49</v>
      </c>
      <c r="AC2" t="s">
        <v>50</v>
      </c>
      <c r="AD2" t="b">
        <v>0</v>
      </c>
      <c r="AF2">
        <v>12</v>
      </c>
      <c r="AG2" t="s">
        <v>51</v>
      </c>
    </row>
    <row r="3" spans="1:33" x14ac:dyDescent="0.2">
      <c r="A3">
        <v>1268</v>
      </c>
      <c r="B3" t="s">
        <v>52</v>
      </c>
      <c r="C3" t="s">
        <v>34</v>
      </c>
      <c r="D3" t="s">
        <v>35</v>
      </c>
      <c r="G3" t="s">
        <v>53</v>
      </c>
      <c r="H3" t="s">
        <v>54</v>
      </c>
      <c r="I3" t="s">
        <v>55</v>
      </c>
      <c r="J3" t="s">
        <v>56</v>
      </c>
      <c r="K3">
        <v>2007</v>
      </c>
      <c r="L3">
        <v>2007</v>
      </c>
      <c r="M3">
        <v>0.05</v>
      </c>
      <c r="N3">
        <v>0.255</v>
      </c>
      <c r="R3" t="s">
        <v>57</v>
      </c>
      <c r="S3" t="s">
        <v>58</v>
      </c>
      <c r="T3" t="b">
        <v>1</v>
      </c>
      <c r="U3" t="s">
        <v>59</v>
      </c>
      <c r="V3" t="s">
        <v>60</v>
      </c>
      <c r="W3" t="s">
        <v>61</v>
      </c>
      <c r="X3" t="s">
        <v>47</v>
      </c>
      <c r="AA3" t="s">
        <v>62</v>
      </c>
      <c r="AC3" t="s">
        <v>63</v>
      </c>
      <c r="AD3" t="b">
        <v>0</v>
      </c>
      <c r="AF3">
        <v>6</v>
      </c>
      <c r="AG3" t="s">
        <v>64</v>
      </c>
    </row>
    <row r="4" spans="1:33" x14ac:dyDescent="0.2">
      <c r="A4">
        <v>1527</v>
      </c>
      <c r="B4" t="s">
        <v>65</v>
      </c>
      <c r="C4" t="s">
        <v>34</v>
      </c>
      <c r="D4" t="s">
        <v>35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>
        <v>2008</v>
      </c>
      <c r="L4">
        <v>2008</v>
      </c>
      <c r="M4">
        <v>1.15E-2</v>
      </c>
      <c r="N4">
        <v>1.2E-2</v>
      </c>
      <c r="R4" t="s">
        <v>72</v>
      </c>
      <c r="S4" t="s">
        <v>73</v>
      </c>
      <c r="T4" t="b">
        <v>1</v>
      </c>
      <c r="U4" t="s">
        <v>74</v>
      </c>
      <c r="V4" t="s">
        <v>75</v>
      </c>
      <c r="W4" t="s">
        <v>76</v>
      </c>
      <c r="X4" t="s">
        <v>47</v>
      </c>
      <c r="AA4" t="s">
        <v>77</v>
      </c>
      <c r="AC4" t="s">
        <v>63</v>
      </c>
      <c r="AD4" t="b">
        <v>0</v>
      </c>
      <c r="AF4">
        <v>8</v>
      </c>
      <c r="AG4" t="s">
        <v>78</v>
      </c>
    </row>
    <row r="5" spans="1:33" x14ac:dyDescent="0.2">
      <c r="A5">
        <v>1677</v>
      </c>
      <c r="B5" t="s">
        <v>79</v>
      </c>
      <c r="C5" t="s">
        <v>34</v>
      </c>
      <c r="D5" t="s">
        <v>35</v>
      </c>
      <c r="E5" t="s">
        <v>80</v>
      </c>
      <c r="F5" t="s">
        <v>81</v>
      </c>
      <c r="G5" t="s">
        <v>53</v>
      </c>
      <c r="H5" t="s">
        <v>54</v>
      </c>
      <c r="I5" t="s">
        <v>82</v>
      </c>
      <c r="J5" t="s">
        <v>83</v>
      </c>
      <c r="K5">
        <v>2013</v>
      </c>
      <c r="L5">
        <v>2013</v>
      </c>
      <c r="M5">
        <v>1.7</v>
      </c>
      <c r="N5">
        <v>4.4790000000000001</v>
      </c>
      <c r="O5">
        <v>332.5</v>
      </c>
      <c r="P5">
        <v>0.67</v>
      </c>
      <c r="Q5">
        <v>0.70499999999999996</v>
      </c>
      <c r="R5" t="s">
        <v>84</v>
      </c>
      <c r="S5" t="s">
        <v>85</v>
      </c>
      <c r="T5" t="b">
        <v>1</v>
      </c>
      <c r="U5" t="s">
        <v>86</v>
      </c>
      <c r="V5" t="s">
        <v>87</v>
      </c>
      <c r="W5" t="s">
        <v>88</v>
      </c>
      <c r="X5" t="s">
        <v>47</v>
      </c>
      <c r="AA5" t="s">
        <v>79</v>
      </c>
      <c r="AC5" t="s">
        <v>63</v>
      </c>
      <c r="AD5" t="b">
        <v>0</v>
      </c>
      <c r="AF5">
        <v>5</v>
      </c>
      <c r="AG5" t="s">
        <v>89</v>
      </c>
    </row>
    <row r="6" spans="1:33" x14ac:dyDescent="0.2">
      <c r="A6">
        <v>2054</v>
      </c>
      <c r="B6" t="s">
        <v>90</v>
      </c>
      <c r="C6" t="s">
        <v>34</v>
      </c>
      <c r="D6" t="s">
        <v>35</v>
      </c>
      <c r="E6" t="s">
        <v>91</v>
      </c>
      <c r="F6" t="s">
        <v>92</v>
      </c>
      <c r="G6" t="s">
        <v>93</v>
      </c>
      <c r="H6" t="s">
        <v>94</v>
      </c>
      <c r="I6" t="s">
        <v>95</v>
      </c>
      <c r="J6" t="s">
        <v>96</v>
      </c>
      <c r="K6">
        <v>2022</v>
      </c>
      <c r="L6">
        <v>2022</v>
      </c>
      <c r="M6">
        <v>5.8</v>
      </c>
      <c r="N6">
        <v>18.600000000000001</v>
      </c>
      <c r="O6">
        <v>346.8</v>
      </c>
      <c r="P6">
        <v>1.92</v>
      </c>
      <c r="Q6">
        <v>0.83899999999999997</v>
      </c>
      <c r="R6" t="s">
        <v>97</v>
      </c>
      <c r="S6" t="s">
        <v>98</v>
      </c>
      <c r="T6" t="b">
        <v>1</v>
      </c>
      <c r="U6" t="s">
        <v>99</v>
      </c>
      <c r="V6" t="s">
        <v>100</v>
      </c>
      <c r="W6" t="s">
        <v>101</v>
      </c>
      <c r="X6" t="s">
        <v>47</v>
      </c>
      <c r="AA6" t="s">
        <v>102</v>
      </c>
      <c r="AC6" t="s">
        <v>103</v>
      </c>
      <c r="AD6" t="b">
        <v>0</v>
      </c>
      <c r="AF6">
        <v>1</v>
      </c>
      <c r="AG6" t="s">
        <v>104</v>
      </c>
    </row>
    <row r="7" spans="1:33" x14ac:dyDescent="0.2">
      <c r="A7">
        <v>938</v>
      </c>
      <c r="B7" t="s">
        <v>105</v>
      </c>
      <c r="C7" t="s">
        <v>34</v>
      </c>
      <c r="D7" t="s">
        <v>35</v>
      </c>
      <c r="E7" t="s">
        <v>106</v>
      </c>
      <c r="F7" t="s">
        <v>107</v>
      </c>
      <c r="G7" t="s">
        <v>68</v>
      </c>
      <c r="H7" t="s">
        <v>69</v>
      </c>
      <c r="I7" t="s">
        <v>108</v>
      </c>
      <c r="J7" t="s">
        <v>109</v>
      </c>
      <c r="K7">
        <v>1997</v>
      </c>
      <c r="L7">
        <v>1997</v>
      </c>
      <c r="M7">
        <v>0.06</v>
      </c>
      <c r="N7">
        <v>0.18</v>
      </c>
      <c r="R7" t="s">
        <v>72</v>
      </c>
      <c r="S7" t="s">
        <v>110</v>
      </c>
      <c r="T7" t="b">
        <v>1</v>
      </c>
      <c r="U7" t="s">
        <v>111</v>
      </c>
      <c r="V7" t="s">
        <v>112</v>
      </c>
      <c r="W7" t="s">
        <v>113</v>
      </c>
      <c r="X7" t="s">
        <v>47</v>
      </c>
      <c r="AA7" t="s">
        <v>114</v>
      </c>
      <c r="AC7" t="s">
        <v>63</v>
      </c>
      <c r="AD7" t="b">
        <v>0</v>
      </c>
      <c r="AF7">
        <v>8</v>
      </c>
      <c r="AG7" t="s">
        <v>78</v>
      </c>
    </row>
    <row r="8" spans="1:33" x14ac:dyDescent="0.2">
      <c r="A8">
        <v>1689</v>
      </c>
      <c r="B8" t="s">
        <v>115</v>
      </c>
      <c r="C8" t="s">
        <v>34</v>
      </c>
      <c r="D8" t="s">
        <v>35</v>
      </c>
      <c r="E8" t="s">
        <v>116</v>
      </c>
      <c r="F8" t="s">
        <v>117</v>
      </c>
      <c r="G8" t="s">
        <v>53</v>
      </c>
      <c r="H8" t="s">
        <v>54</v>
      </c>
      <c r="I8" t="s">
        <v>118</v>
      </c>
      <c r="J8" t="s">
        <v>119</v>
      </c>
      <c r="K8">
        <v>2009</v>
      </c>
      <c r="L8">
        <v>2009</v>
      </c>
      <c r="M8">
        <v>1.2</v>
      </c>
      <c r="N8">
        <v>2.855</v>
      </c>
      <c r="O8">
        <v>157</v>
      </c>
      <c r="P8">
        <v>0.95</v>
      </c>
      <c r="Q8">
        <v>0.35099999999999998</v>
      </c>
      <c r="R8" t="s">
        <v>84</v>
      </c>
      <c r="S8" t="s">
        <v>120</v>
      </c>
      <c r="T8" t="b">
        <v>1</v>
      </c>
      <c r="U8" t="s">
        <v>121</v>
      </c>
      <c r="V8" t="s">
        <v>122</v>
      </c>
      <c r="W8" t="s">
        <v>123</v>
      </c>
      <c r="X8" t="s">
        <v>47</v>
      </c>
      <c r="AA8" t="s">
        <v>124</v>
      </c>
      <c r="AC8" t="s">
        <v>63</v>
      </c>
      <c r="AD8" t="b">
        <v>0</v>
      </c>
      <c r="AF8">
        <v>5</v>
      </c>
      <c r="AG8" t="s">
        <v>89</v>
      </c>
    </row>
    <row r="9" spans="1:33" x14ac:dyDescent="0.2">
      <c r="A9">
        <v>3</v>
      </c>
      <c r="B9" t="s">
        <v>125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125</v>
      </c>
      <c r="J9" t="s">
        <v>49</v>
      </c>
      <c r="K9">
        <v>1987</v>
      </c>
      <c r="L9">
        <v>1987</v>
      </c>
      <c r="M9">
        <v>153</v>
      </c>
      <c r="N9">
        <v>738.28700000000003</v>
      </c>
      <c r="O9">
        <v>185</v>
      </c>
      <c r="P9">
        <v>99</v>
      </c>
      <c r="Q9">
        <v>0.42899999999999999</v>
      </c>
      <c r="R9" t="s">
        <v>42</v>
      </c>
      <c r="S9" t="s">
        <v>126</v>
      </c>
      <c r="T9" t="b">
        <v>1</v>
      </c>
      <c r="U9" t="s">
        <v>127</v>
      </c>
      <c r="V9" t="s">
        <v>45</v>
      </c>
      <c r="W9" t="s">
        <v>128</v>
      </c>
      <c r="X9" t="s">
        <v>47</v>
      </c>
      <c r="AA9" t="s">
        <v>129</v>
      </c>
      <c r="AB9" t="s">
        <v>49</v>
      </c>
      <c r="AC9" t="s">
        <v>130</v>
      </c>
      <c r="AD9" t="b">
        <v>0</v>
      </c>
      <c r="AF9">
        <v>12</v>
      </c>
      <c r="AG9" t="s">
        <v>51</v>
      </c>
    </row>
    <row r="10" spans="1:33" x14ac:dyDescent="0.2">
      <c r="A10">
        <v>808</v>
      </c>
      <c r="B10" t="s">
        <v>131</v>
      </c>
      <c r="C10" t="s">
        <v>34</v>
      </c>
      <c r="D10" t="s">
        <v>35</v>
      </c>
      <c r="E10" t="s">
        <v>132</v>
      </c>
      <c r="F10" t="s">
        <v>133</v>
      </c>
      <c r="G10" t="s">
        <v>134</v>
      </c>
      <c r="H10" t="s">
        <v>135</v>
      </c>
      <c r="I10" t="s">
        <v>136</v>
      </c>
      <c r="J10" t="s">
        <v>41</v>
      </c>
      <c r="K10">
        <v>1908</v>
      </c>
      <c r="L10">
        <v>2001</v>
      </c>
      <c r="M10">
        <v>2</v>
      </c>
      <c r="N10">
        <v>7.282</v>
      </c>
      <c r="P10">
        <v>4.7</v>
      </c>
      <c r="Q10">
        <v>0.11799999999999999</v>
      </c>
      <c r="R10" t="s">
        <v>42</v>
      </c>
      <c r="S10" t="s">
        <v>137</v>
      </c>
      <c r="T10" t="b">
        <v>1</v>
      </c>
      <c r="U10" t="s">
        <v>138</v>
      </c>
      <c r="V10" t="s">
        <v>139</v>
      </c>
      <c r="W10" t="s">
        <v>140</v>
      </c>
      <c r="X10" t="s">
        <v>47</v>
      </c>
      <c r="AA10" t="s">
        <v>141</v>
      </c>
      <c r="AB10" t="s">
        <v>49</v>
      </c>
      <c r="AC10" t="s">
        <v>142</v>
      </c>
      <c r="AD10" t="b">
        <v>0</v>
      </c>
      <c r="AF10">
        <v>10</v>
      </c>
      <c r="AG10" t="s">
        <v>143</v>
      </c>
    </row>
    <row r="11" spans="1:33" x14ac:dyDescent="0.2">
      <c r="A11">
        <v>1929</v>
      </c>
      <c r="B11" t="s">
        <v>144</v>
      </c>
      <c r="C11" t="s">
        <v>34</v>
      </c>
      <c r="D11" t="s">
        <v>35</v>
      </c>
      <c r="E11" t="s">
        <v>145</v>
      </c>
      <c r="F11" t="s">
        <v>146</v>
      </c>
      <c r="G11" t="s">
        <v>53</v>
      </c>
      <c r="H11" t="s">
        <v>54</v>
      </c>
      <c r="I11" t="s">
        <v>147</v>
      </c>
      <c r="J11" t="s">
        <v>148</v>
      </c>
      <c r="K11">
        <v>2019</v>
      </c>
      <c r="L11">
        <v>2019</v>
      </c>
      <c r="M11">
        <v>7.8</v>
      </c>
      <c r="N11">
        <v>21.844000000000001</v>
      </c>
      <c r="O11">
        <v>56</v>
      </c>
      <c r="P11">
        <v>16.2</v>
      </c>
      <c r="Q11">
        <v>0.13400000000000001</v>
      </c>
      <c r="R11" t="s">
        <v>72</v>
      </c>
      <c r="S11" t="s">
        <v>149</v>
      </c>
      <c r="T11" t="b">
        <v>1</v>
      </c>
      <c r="U11" t="s">
        <v>150</v>
      </c>
      <c r="V11" t="s">
        <v>151</v>
      </c>
      <c r="W11" t="s">
        <v>152</v>
      </c>
      <c r="X11" t="s">
        <v>47</v>
      </c>
      <c r="AA11" t="s">
        <v>153</v>
      </c>
      <c r="AC11" t="s">
        <v>154</v>
      </c>
      <c r="AD11" t="b">
        <v>0</v>
      </c>
      <c r="AF11">
        <v>13</v>
      </c>
      <c r="AG11" t="s">
        <v>155</v>
      </c>
    </row>
    <row r="12" spans="1:33" x14ac:dyDescent="0.2">
      <c r="A12">
        <v>626</v>
      </c>
      <c r="B12" t="s">
        <v>156</v>
      </c>
      <c r="C12" t="s">
        <v>34</v>
      </c>
      <c r="D12" t="s">
        <v>35</v>
      </c>
      <c r="E12" t="s">
        <v>157</v>
      </c>
      <c r="F12" t="s">
        <v>158</v>
      </c>
      <c r="G12" t="s">
        <v>68</v>
      </c>
      <c r="H12" t="s">
        <v>69</v>
      </c>
      <c r="I12" t="s">
        <v>159</v>
      </c>
      <c r="J12" t="s">
        <v>160</v>
      </c>
      <c r="K12">
        <v>1990</v>
      </c>
      <c r="L12">
        <v>1990</v>
      </c>
      <c r="M12">
        <v>1.1000000000000001</v>
      </c>
      <c r="N12">
        <v>2.8719999999999999</v>
      </c>
      <c r="O12">
        <v>56</v>
      </c>
      <c r="P12">
        <v>2.41</v>
      </c>
      <c r="Q12">
        <v>0.127</v>
      </c>
      <c r="R12" t="s">
        <v>72</v>
      </c>
      <c r="S12" t="s">
        <v>161</v>
      </c>
      <c r="T12" t="b">
        <v>1</v>
      </c>
      <c r="U12" t="s">
        <v>162</v>
      </c>
      <c r="V12" t="s">
        <v>163</v>
      </c>
      <c r="W12" t="s">
        <v>164</v>
      </c>
      <c r="X12" t="s">
        <v>47</v>
      </c>
      <c r="AA12" t="s">
        <v>165</v>
      </c>
      <c r="AB12" t="s">
        <v>49</v>
      </c>
      <c r="AC12" t="s">
        <v>166</v>
      </c>
      <c r="AD12" t="b">
        <v>0</v>
      </c>
      <c r="AF12">
        <v>8</v>
      </c>
      <c r="AG12" t="s">
        <v>78</v>
      </c>
    </row>
    <row r="13" spans="1:33" x14ac:dyDescent="0.2">
      <c r="A13">
        <v>5</v>
      </c>
      <c r="B13" t="s">
        <v>167</v>
      </c>
      <c r="C13" t="s">
        <v>34</v>
      </c>
      <c r="D13" t="s">
        <v>35</v>
      </c>
      <c r="E13" t="s">
        <v>168</v>
      </c>
      <c r="F13" t="s">
        <v>169</v>
      </c>
      <c r="G13" t="s">
        <v>53</v>
      </c>
      <c r="H13" t="s">
        <v>54</v>
      </c>
      <c r="I13" t="s">
        <v>170</v>
      </c>
      <c r="J13" t="s">
        <v>171</v>
      </c>
      <c r="K13">
        <v>1954</v>
      </c>
      <c r="L13">
        <v>1954</v>
      </c>
      <c r="M13">
        <v>2.5</v>
      </c>
      <c r="N13">
        <v>11.13</v>
      </c>
      <c r="O13">
        <v>120</v>
      </c>
      <c r="P13">
        <v>2.29</v>
      </c>
      <c r="Q13">
        <v>0.28899999999999998</v>
      </c>
      <c r="R13" t="s">
        <v>57</v>
      </c>
      <c r="S13" t="s">
        <v>172</v>
      </c>
      <c r="T13" t="b">
        <v>1</v>
      </c>
      <c r="U13" t="s">
        <v>173</v>
      </c>
      <c r="V13" t="s">
        <v>174</v>
      </c>
      <c r="W13" t="s">
        <v>175</v>
      </c>
      <c r="X13" t="s">
        <v>47</v>
      </c>
      <c r="AA13" t="s">
        <v>176</v>
      </c>
      <c r="AB13" t="s">
        <v>177</v>
      </c>
      <c r="AC13" t="s">
        <v>178</v>
      </c>
      <c r="AD13" t="b">
        <v>0</v>
      </c>
      <c r="AF13">
        <v>6</v>
      </c>
      <c r="AG13" t="s">
        <v>64</v>
      </c>
    </row>
    <row r="14" spans="1:33" x14ac:dyDescent="0.2">
      <c r="A14">
        <v>6</v>
      </c>
      <c r="B14" t="s">
        <v>179</v>
      </c>
      <c r="C14" t="s">
        <v>34</v>
      </c>
      <c r="D14" t="s">
        <v>35</v>
      </c>
      <c r="E14" t="s">
        <v>180</v>
      </c>
      <c r="F14" t="s">
        <v>181</v>
      </c>
      <c r="G14" t="s">
        <v>53</v>
      </c>
      <c r="H14" t="s">
        <v>54</v>
      </c>
      <c r="I14" t="s">
        <v>182</v>
      </c>
      <c r="J14" t="s">
        <v>49</v>
      </c>
      <c r="K14">
        <v>1934</v>
      </c>
      <c r="L14">
        <v>2018</v>
      </c>
      <c r="M14">
        <v>0.8</v>
      </c>
      <c r="N14">
        <v>2.8340000000000001</v>
      </c>
      <c r="O14">
        <v>61</v>
      </c>
      <c r="P14">
        <v>1.6</v>
      </c>
      <c r="Q14">
        <v>0.13900000000000001</v>
      </c>
      <c r="R14" t="s">
        <v>57</v>
      </c>
      <c r="S14" t="s">
        <v>183</v>
      </c>
      <c r="T14" t="b">
        <v>1</v>
      </c>
      <c r="U14" t="s">
        <v>184</v>
      </c>
      <c r="V14" t="s">
        <v>185</v>
      </c>
      <c r="W14" t="s">
        <v>113</v>
      </c>
      <c r="X14" t="s">
        <v>47</v>
      </c>
      <c r="AA14" t="s">
        <v>186</v>
      </c>
      <c r="AB14" t="s">
        <v>49</v>
      </c>
      <c r="AC14" t="s">
        <v>187</v>
      </c>
      <c r="AD14" t="b">
        <v>0</v>
      </c>
      <c r="AF14">
        <v>6</v>
      </c>
      <c r="AG14" t="s">
        <v>64</v>
      </c>
    </row>
    <row r="15" spans="1:33" x14ac:dyDescent="0.2">
      <c r="A15">
        <v>817</v>
      </c>
      <c r="B15" t="s">
        <v>188</v>
      </c>
      <c r="C15" t="s">
        <v>34</v>
      </c>
      <c r="D15" t="s">
        <v>35</v>
      </c>
      <c r="E15" t="s">
        <v>189</v>
      </c>
      <c r="F15" t="s">
        <v>190</v>
      </c>
      <c r="G15" t="s">
        <v>134</v>
      </c>
      <c r="H15" t="s">
        <v>135</v>
      </c>
      <c r="I15" t="s">
        <v>191</v>
      </c>
      <c r="J15" t="s">
        <v>192</v>
      </c>
      <c r="K15">
        <v>2004</v>
      </c>
      <c r="L15">
        <v>2004</v>
      </c>
      <c r="M15">
        <v>2.4</v>
      </c>
      <c r="N15">
        <v>8.2959999999999994</v>
      </c>
      <c r="O15">
        <v>412.8</v>
      </c>
      <c r="P15">
        <v>0.7</v>
      </c>
      <c r="Q15">
        <v>0.95199999999999996</v>
      </c>
      <c r="R15" t="s">
        <v>42</v>
      </c>
      <c r="S15" t="s">
        <v>193</v>
      </c>
      <c r="T15" t="b">
        <v>1</v>
      </c>
      <c r="U15" t="s">
        <v>194</v>
      </c>
      <c r="V15" t="s">
        <v>195</v>
      </c>
      <c r="W15" t="s">
        <v>196</v>
      </c>
      <c r="X15" t="s">
        <v>47</v>
      </c>
      <c r="AA15" t="s">
        <v>197</v>
      </c>
      <c r="AC15" t="s">
        <v>63</v>
      </c>
      <c r="AD15" t="b">
        <v>0</v>
      </c>
      <c r="AF15">
        <v>11</v>
      </c>
      <c r="AG15" t="s">
        <v>198</v>
      </c>
    </row>
    <row r="16" spans="1:33" x14ac:dyDescent="0.2">
      <c r="A16">
        <v>1160</v>
      </c>
      <c r="B16" t="s">
        <v>199</v>
      </c>
      <c r="C16" t="s">
        <v>34</v>
      </c>
      <c r="D16" t="s">
        <v>35</v>
      </c>
      <c r="E16" t="s">
        <v>200</v>
      </c>
      <c r="F16" t="s">
        <v>201</v>
      </c>
      <c r="G16" t="s">
        <v>134</v>
      </c>
      <c r="H16" t="s">
        <v>135</v>
      </c>
      <c r="I16" t="s">
        <v>202</v>
      </c>
      <c r="J16" t="s">
        <v>203</v>
      </c>
      <c r="K16">
        <v>2003</v>
      </c>
      <c r="L16">
        <v>2003</v>
      </c>
      <c r="M16">
        <v>1</v>
      </c>
      <c r="N16">
        <v>3.5649999999999999</v>
      </c>
      <c r="O16">
        <v>24</v>
      </c>
      <c r="P16">
        <v>5</v>
      </c>
      <c r="Q16">
        <v>5.6000000000000001E-2</v>
      </c>
      <c r="R16" t="s">
        <v>42</v>
      </c>
      <c r="S16" t="s">
        <v>204</v>
      </c>
      <c r="T16" t="b">
        <v>1</v>
      </c>
      <c r="U16" t="s">
        <v>205</v>
      </c>
      <c r="V16" t="s">
        <v>206</v>
      </c>
      <c r="W16" t="s">
        <v>207</v>
      </c>
      <c r="X16" t="s">
        <v>47</v>
      </c>
      <c r="AA16" t="s">
        <v>208</v>
      </c>
      <c r="AB16" t="s">
        <v>56</v>
      </c>
      <c r="AC16" t="s">
        <v>209</v>
      </c>
      <c r="AD16" t="b">
        <v>0</v>
      </c>
      <c r="AF16">
        <v>10</v>
      </c>
      <c r="AG16" t="s">
        <v>143</v>
      </c>
    </row>
    <row r="17" spans="1:33" x14ac:dyDescent="0.2">
      <c r="A17">
        <v>1413</v>
      </c>
      <c r="B17" t="s">
        <v>210</v>
      </c>
      <c r="C17" t="s">
        <v>34</v>
      </c>
      <c r="D17" t="s">
        <v>35</v>
      </c>
      <c r="E17" t="s">
        <v>211</v>
      </c>
      <c r="F17" t="s">
        <v>212</v>
      </c>
      <c r="G17" t="s">
        <v>213</v>
      </c>
      <c r="H17" t="s">
        <v>83</v>
      </c>
      <c r="I17" t="s">
        <v>214</v>
      </c>
      <c r="J17" t="s">
        <v>215</v>
      </c>
      <c r="K17">
        <v>2007</v>
      </c>
      <c r="L17">
        <v>2007</v>
      </c>
      <c r="M17">
        <v>0.19500000000000001</v>
      </c>
      <c r="N17">
        <v>0.47699999999999998</v>
      </c>
      <c r="O17">
        <v>140</v>
      </c>
      <c r="P17">
        <v>0.24</v>
      </c>
      <c r="R17" t="s">
        <v>84</v>
      </c>
      <c r="S17" t="s">
        <v>216</v>
      </c>
      <c r="T17" t="b">
        <v>1</v>
      </c>
      <c r="U17" t="s">
        <v>217</v>
      </c>
      <c r="V17" t="s">
        <v>218</v>
      </c>
      <c r="W17" t="s">
        <v>219</v>
      </c>
      <c r="X17" t="s">
        <v>47</v>
      </c>
      <c r="AA17" t="s">
        <v>220</v>
      </c>
      <c r="AC17" t="s">
        <v>63</v>
      </c>
      <c r="AD17" t="b">
        <v>0</v>
      </c>
      <c r="AF17">
        <v>5</v>
      </c>
      <c r="AG17" t="s">
        <v>89</v>
      </c>
    </row>
    <row r="18" spans="1:33" x14ac:dyDescent="0.2">
      <c r="A18">
        <v>7</v>
      </c>
      <c r="B18" t="s">
        <v>221</v>
      </c>
      <c r="C18" t="s">
        <v>34</v>
      </c>
      <c r="D18" t="s">
        <v>35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227</v>
      </c>
      <c r="K18">
        <v>1946</v>
      </c>
      <c r="L18">
        <v>1990</v>
      </c>
      <c r="M18">
        <v>6.6</v>
      </c>
      <c r="N18">
        <v>52</v>
      </c>
      <c r="O18">
        <v>20.6</v>
      </c>
      <c r="P18">
        <v>37.5</v>
      </c>
      <c r="Q18">
        <v>4.9000000000000002E-2</v>
      </c>
      <c r="R18" t="s">
        <v>97</v>
      </c>
      <c r="S18" t="s">
        <v>228</v>
      </c>
      <c r="T18" t="b">
        <v>1</v>
      </c>
      <c r="U18" t="s">
        <v>162</v>
      </c>
      <c r="V18" t="s">
        <v>229</v>
      </c>
      <c r="W18" t="s">
        <v>230</v>
      </c>
      <c r="X18" t="s">
        <v>47</v>
      </c>
      <c r="AA18" t="s">
        <v>102</v>
      </c>
      <c r="AB18" t="s">
        <v>231</v>
      </c>
      <c r="AC18" t="s">
        <v>103</v>
      </c>
      <c r="AD18" t="b">
        <v>0</v>
      </c>
      <c r="AF18">
        <v>1</v>
      </c>
      <c r="AG18" t="s">
        <v>104</v>
      </c>
    </row>
    <row r="19" spans="1:33" x14ac:dyDescent="0.2">
      <c r="A19">
        <v>986</v>
      </c>
      <c r="B19" t="s">
        <v>232</v>
      </c>
      <c r="C19" t="s">
        <v>34</v>
      </c>
      <c r="D19" t="s">
        <v>35</v>
      </c>
      <c r="E19" t="s">
        <v>233</v>
      </c>
      <c r="F19" t="s">
        <v>234</v>
      </c>
      <c r="G19" t="s">
        <v>53</v>
      </c>
      <c r="H19" t="s">
        <v>54</v>
      </c>
      <c r="I19" t="s">
        <v>235</v>
      </c>
      <c r="J19" t="s">
        <v>41</v>
      </c>
      <c r="K19">
        <v>2005</v>
      </c>
      <c r="L19">
        <v>2005</v>
      </c>
      <c r="M19">
        <v>5.5E-2</v>
      </c>
      <c r="N19">
        <v>0.09</v>
      </c>
      <c r="R19" t="s">
        <v>57</v>
      </c>
      <c r="S19" t="s">
        <v>236</v>
      </c>
      <c r="T19" t="b">
        <v>1</v>
      </c>
      <c r="U19" t="s">
        <v>237</v>
      </c>
      <c r="V19" t="s">
        <v>238</v>
      </c>
      <c r="W19" t="s">
        <v>113</v>
      </c>
      <c r="X19" t="s">
        <v>47</v>
      </c>
      <c r="AA19" t="s">
        <v>114</v>
      </c>
      <c r="AC19" t="s">
        <v>63</v>
      </c>
      <c r="AD19" t="b">
        <v>0</v>
      </c>
      <c r="AF19">
        <v>6</v>
      </c>
      <c r="AG19" t="s">
        <v>64</v>
      </c>
    </row>
    <row r="20" spans="1:33" x14ac:dyDescent="0.2">
      <c r="A20">
        <v>1289</v>
      </c>
      <c r="B20" t="s">
        <v>239</v>
      </c>
      <c r="C20" t="s">
        <v>34</v>
      </c>
      <c r="D20" t="s">
        <v>35</v>
      </c>
      <c r="E20" t="s">
        <v>240</v>
      </c>
      <c r="F20" t="s">
        <v>241</v>
      </c>
      <c r="G20" t="s">
        <v>242</v>
      </c>
      <c r="H20" t="s">
        <v>243</v>
      </c>
      <c r="I20" t="s">
        <v>244</v>
      </c>
      <c r="J20" t="s">
        <v>245</v>
      </c>
      <c r="K20">
        <v>2002</v>
      </c>
      <c r="L20">
        <v>2002</v>
      </c>
      <c r="M20">
        <v>1.7999999999999999E-2</v>
      </c>
      <c r="N20">
        <v>8.3000000000000004E-2</v>
      </c>
      <c r="R20" t="s">
        <v>72</v>
      </c>
      <c r="S20" t="s">
        <v>246</v>
      </c>
      <c r="T20" t="b">
        <v>1</v>
      </c>
      <c r="U20" t="s">
        <v>247</v>
      </c>
      <c r="V20" t="s">
        <v>248</v>
      </c>
      <c r="W20" t="s">
        <v>249</v>
      </c>
      <c r="X20" t="s">
        <v>47</v>
      </c>
      <c r="AA20" t="s">
        <v>250</v>
      </c>
      <c r="AC20" t="s">
        <v>63</v>
      </c>
      <c r="AD20" t="b">
        <v>0</v>
      </c>
      <c r="AF20">
        <v>9</v>
      </c>
      <c r="AG20" t="s">
        <v>251</v>
      </c>
    </row>
    <row r="21" spans="1:33" x14ac:dyDescent="0.2">
      <c r="A21">
        <v>8</v>
      </c>
      <c r="B21" t="s">
        <v>252</v>
      </c>
      <c r="C21" t="s">
        <v>34</v>
      </c>
      <c r="D21" t="s">
        <v>35</v>
      </c>
      <c r="E21" t="s">
        <v>253</v>
      </c>
      <c r="F21" t="s">
        <v>254</v>
      </c>
      <c r="G21" t="s">
        <v>242</v>
      </c>
      <c r="H21" t="s">
        <v>243</v>
      </c>
      <c r="I21" t="s">
        <v>255</v>
      </c>
      <c r="J21" t="s">
        <v>256</v>
      </c>
      <c r="K21">
        <v>1959</v>
      </c>
      <c r="L21">
        <v>1959</v>
      </c>
      <c r="M21">
        <v>29.54</v>
      </c>
      <c r="N21">
        <v>194.69800000000001</v>
      </c>
      <c r="O21">
        <v>28.5</v>
      </c>
      <c r="P21">
        <v>129.91999999999999</v>
      </c>
      <c r="Q21">
        <v>6.0999999999999999E-2</v>
      </c>
      <c r="R21" t="s">
        <v>42</v>
      </c>
      <c r="S21" t="s">
        <v>257</v>
      </c>
      <c r="T21" t="b">
        <v>1</v>
      </c>
      <c r="U21" t="s">
        <v>258</v>
      </c>
      <c r="V21" t="s">
        <v>259</v>
      </c>
      <c r="W21" t="s">
        <v>260</v>
      </c>
      <c r="X21" t="s">
        <v>47</v>
      </c>
      <c r="AA21" t="s">
        <v>261</v>
      </c>
      <c r="AB21" t="s">
        <v>262</v>
      </c>
      <c r="AC21" t="s">
        <v>263</v>
      </c>
      <c r="AD21" t="b">
        <v>0</v>
      </c>
      <c r="AF21">
        <v>10</v>
      </c>
      <c r="AG21" t="s">
        <v>143</v>
      </c>
    </row>
    <row r="22" spans="1:33" x14ac:dyDescent="0.2">
      <c r="A22">
        <v>9</v>
      </c>
      <c r="B22" t="s">
        <v>264</v>
      </c>
      <c r="C22" t="s">
        <v>34</v>
      </c>
      <c r="D22" t="s">
        <v>35</v>
      </c>
      <c r="E22" t="s">
        <v>36</v>
      </c>
      <c r="F22" t="s">
        <v>37</v>
      </c>
      <c r="G22" t="s">
        <v>68</v>
      </c>
      <c r="H22" t="s">
        <v>69</v>
      </c>
      <c r="I22" t="s">
        <v>265</v>
      </c>
      <c r="J22" t="s">
        <v>266</v>
      </c>
      <c r="K22">
        <v>1955</v>
      </c>
      <c r="L22">
        <v>1955</v>
      </c>
      <c r="M22">
        <v>290</v>
      </c>
      <c r="N22">
        <v>1754.1489999999999</v>
      </c>
      <c r="O22">
        <v>783</v>
      </c>
      <c r="P22">
        <v>46</v>
      </c>
      <c r="Q22">
        <v>1.7509999999999999</v>
      </c>
      <c r="R22" t="s">
        <v>72</v>
      </c>
      <c r="S22" t="s">
        <v>267</v>
      </c>
      <c r="T22" t="b">
        <v>1</v>
      </c>
      <c r="U22" t="s">
        <v>268</v>
      </c>
      <c r="V22" t="s">
        <v>45</v>
      </c>
      <c r="W22" t="s">
        <v>269</v>
      </c>
      <c r="X22" t="s">
        <v>47</v>
      </c>
      <c r="AA22" t="s">
        <v>270</v>
      </c>
      <c r="AB22" t="s">
        <v>49</v>
      </c>
      <c r="AC22" t="s">
        <v>271</v>
      </c>
      <c r="AD22" t="b">
        <v>0</v>
      </c>
      <c r="AF22">
        <v>8</v>
      </c>
      <c r="AG22" t="s">
        <v>78</v>
      </c>
    </row>
    <row r="23" spans="1:33" x14ac:dyDescent="0.2">
      <c r="A23">
        <v>1019</v>
      </c>
      <c r="B23" t="s">
        <v>272</v>
      </c>
      <c r="C23" t="s">
        <v>34</v>
      </c>
      <c r="D23" t="s">
        <v>35</v>
      </c>
      <c r="G23" t="s">
        <v>213</v>
      </c>
      <c r="H23" t="s">
        <v>83</v>
      </c>
      <c r="I23" t="s">
        <v>214</v>
      </c>
      <c r="J23" t="s">
        <v>215</v>
      </c>
      <c r="K23">
        <v>2002</v>
      </c>
      <c r="L23">
        <v>2002</v>
      </c>
      <c r="M23">
        <v>0.02</v>
      </c>
      <c r="N23">
        <v>3.3000000000000002E-2</v>
      </c>
      <c r="O23">
        <v>40</v>
      </c>
      <c r="R23" t="s">
        <v>84</v>
      </c>
      <c r="S23" t="s">
        <v>273</v>
      </c>
      <c r="T23" t="b">
        <v>1</v>
      </c>
      <c r="U23" t="s">
        <v>247</v>
      </c>
      <c r="V23" t="s">
        <v>274</v>
      </c>
      <c r="W23" t="s">
        <v>113</v>
      </c>
      <c r="X23" t="s">
        <v>47</v>
      </c>
      <c r="AA23" t="s">
        <v>275</v>
      </c>
      <c r="AC23" t="s">
        <v>63</v>
      </c>
      <c r="AD23" t="b">
        <v>0</v>
      </c>
      <c r="AF23">
        <v>5</v>
      </c>
      <c r="AG23" t="s">
        <v>89</v>
      </c>
    </row>
    <row r="24" spans="1:33" x14ac:dyDescent="0.2">
      <c r="A24">
        <v>10</v>
      </c>
      <c r="B24" t="s">
        <v>276</v>
      </c>
      <c r="C24" t="s">
        <v>34</v>
      </c>
      <c r="D24" t="s">
        <v>35</v>
      </c>
      <c r="E24" t="s">
        <v>277</v>
      </c>
      <c r="F24" t="s">
        <v>278</v>
      </c>
      <c r="G24" t="s">
        <v>53</v>
      </c>
      <c r="H24" t="s">
        <v>54</v>
      </c>
      <c r="I24" t="s">
        <v>279</v>
      </c>
      <c r="J24" t="s">
        <v>280</v>
      </c>
      <c r="K24">
        <v>1973</v>
      </c>
      <c r="L24">
        <v>1973</v>
      </c>
      <c r="M24">
        <v>840</v>
      </c>
      <c r="N24">
        <v>2099.4079999999999</v>
      </c>
      <c r="O24">
        <v>850</v>
      </c>
      <c r="P24">
        <v>112.5</v>
      </c>
      <c r="Q24">
        <v>2.0739999999999998</v>
      </c>
      <c r="R24" t="s">
        <v>57</v>
      </c>
      <c r="S24" t="s">
        <v>281</v>
      </c>
      <c r="T24" t="b">
        <v>1</v>
      </c>
      <c r="U24" t="s">
        <v>282</v>
      </c>
      <c r="V24" t="s">
        <v>283</v>
      </c>
      <c r="W24" t="s">
        <v>284</v>
      </c>
      <c r="X24" t="s">
        <v>47</v>
      </c>
      <c r="AA24" t="s">
        <v>285</v>
      </c>
      <c r="AB24" t="s">
        <v>177</v>
      </c>
      <c r="AC24" t="s">
        <v>286</v>
      </c>
      <c r="AD24" t="b">
        <v>0</v>
      </c>
      <c r="AF24">
        <v>2</v>
      </c>
      <c r="AG24" t="s">
        <v>287</v>
      </c>
    </row>
    <row r="25" spans="1:33" x14ac:dyDescent="0.2">
      <c r="A25">
        <v>11</v>
      </c>
      <c r="B25" t="s">
        <v>288</v>
      </c>
      <c r="C25" t="s">
        <v>34</v>
      </c>
      <c r="D25" t="s">
        <v>35</v>
      </c>
      <c r="E25" t="s">
        <v>277</v>
      </c>
      <c r="F25" t="s">
        <v>278</v>
      </c>
      <c r="G25" t="s">
        <v>53</v>
      </c>
      <c r="H25" t="s">
        <v>54</v>
      </c>
      <c r="I25" t="s">
        <v>279</v>
      </c>
      <c r="J25" t="s">
        <v>280</v>
      </c>
      <c r="K25">
        <v>1983</v>
      </c>
      <c r="L25">
        <v>1983</v>
      </c>
      <c r="M25">
        <v>70</v>
      </c>
      <c r="N25">
        <v>221.387</v>
      </c>
      <c r="O25">
        <v>500</v>
      </c>
      <c r="P25">
        <v>16.100000000000001</v>
      </c>
      <c r="Q25">
        <v>1.2070000000000001</v>
      </c>
      <c r="R25" t="s">
        <v>57</v>
      </c>
      <c r="S25" t="s">
        <v>289</v>
      </c>
      <c r="T25" t="b">
        <v>1</v>
      </c>
      <c r="U25" t="s">
        <v>290</v>
      </c>
      <c r="V25" t="s">
        <v>283</v>
      </c>
      <c r="W25" t="s">
        <v>291</v>
      </c>
      <c r="X25" t="s">
        <v>47</v>
      </c>
      <c r="AA25" t="s">
        <v>285</v>
      </c>
      <c r="AB25" t="s">
        <v>83</v>
      </c>
      <c r="AC25" t="s">
        <v>286</v>
      </c>
      <c r="AD25" t="b">
        <v>0</v>
      </c>
      <c r="AF25">
        <v>2</v>
      </c>
      <c r="AG25" t="s">
        <v>287</v>
      </c>
    </row>
    <row r="26" spans="1:33" x14ac:dyDescent="0.2">
      <c r="A26">
        <v>12</v>
      </c>
      <c r="B26" t="s">
        <v>292</v>
      </c>
      <c r="C26" t="s">
        <v>34</v>
      </c>
      <c r="D26" t="s">
        <v>35</v>
      </c>
      <c r="E26" t="s">
        <v>277</v>
      </c>
      <c r="F26" t="s">
        <v>278</v>
      </c>
      <c r="G26" t="s">
        <v>53</v>
      </c>
      <c r="H26" t="s">
        <v>54</v>
      </c>
      <c r="I26" t="s">
        <v>279</v>
      </c>
      <c r="J26" t="s">
        <v>280</v>
      </c>
      <c r="K26">
        <v>1982</v>
      </c>
      <c r="L26">
        <v>1982</v>
      </c>
      <c r="M26">
        <v>60</v>
      </c>
      <c r="N26">
        <v>176.03299999999999</v>
      </c>
      <c r="O26">
        <v>109</v>
      </c>
      <c r="P26">
        <v>61.95</v>
      </c>
      <c r="Q26">
        <v>0.26800000000000002</v>
      </c>
      <c r="R26" t="s">
        <v>57</v>
      </c>
      <c r="S26" t="s">
        <v>289</v>
      </c>
      <c r="T26" t="b">
        <v>1</v>
      </c>
      <c r="U26" t="s">
        <v>293</v>
      </c>
      <c r="V26" t="s">
        <v>283</v>
      </c>
      <c r="W26" t="s">
        <v>294</v>
      </c>
      <c r="X26" t="s">
        <v>47</v>
      </c>
      <c r="AA26" t="s">
        <v>285</v>
      </c>
      <c r="AB26" t="s">
        <v>56</v>
      </c>
      <c r="AC26" t="s">
        <v>286</v>
      </c>
      <c r="AD26" t="b">
        <v>0</v>
      </c>
      <c r="AF26">
        <v>2</v>
      </c>
      <c r="AG26" t="s">
        <v>287</v>
      </c>
    </row>
    <row r="27" spans="1:33" x14ac:dyDescent="0.2">
      <c r="A27">
        <v>13</v>
      </c>
      <c r="B27" t="s">
        <v>295</v>
      </c>
      <c r="C27" t="s">
        <v>296</v>
      </c>
      <c r="D27" t="s">
        <v>297</v>
      </c>
      <c r="E27" t="s">
        <v>277</v>
      </c>
      <c r="F27" t="s">
        <v>278</v>
      </c>
      <c r="G27" t="s">
        <v>53</v>
      </c>
      <c r="H27" t="s">
        <v>54</v>
      </c>
      <c r="I27" t="s">
        <v>279</v>
      </c>
      <c r="J27" t="s">
        <v>280</v>
      </c>
      <c r="K27">
        <v>1979</v>
      </c>
      <c r="L27">
        <v>1979</v>
      </c>
      <c r="M27">
        <v>270</v>
      </c>
      <c r="N27">
        <v>94.475999999999999</v>
      </c>
      <c r="O27">
        <v>400</v>
      </c>
      <c r="P27">
        <v>79.95</v>
      </c>
      <c r="Q27">
        <v>0.93799999999999994</v>
      </c>
      <c r="R27" t="s">
        <v>57</v>
      </c>
      <c r="S27" t="s">
        <v>298</v>
      </c>
      <c r="T27" t="b">
        <v>1</v>
      </c>
      <c r="U27" t="s">
        <v>299</v>
      </c>
      <c r="V27" t="s">
        <v>283</v>
      </c>
      <c r="W27" t="s">
        <v>294</v>
      </c>
      <c r="X27" t="s">
        <v>47</v>
      </c>
      <c r="AA27" t="s">
        <v>285</v>
      </c>
      <c r="AB27" t="s">
        <v>262</v>
      </c>
      <c r="AC27" t="s">
        <v>286</v>
      </c>
      <c r="AD27" t="b">
        <v>0</v>
      </c>
      <c r="AF27">
        <v>2</v>
      </c>
      <c r="AG27" t="s">
        <v>287</v>
      </c>
    </row>
    <row r="28" spans="1:33" x14ac:dyDescent="0.2">
      <c r="A28">
        <v>489</v>
      </c>
      <c r="B28" t="s">
        <v>300</v>
      </c>
      <c r="C28" t="s">
        <v>34</v>
      </c>
      <c r="D28" t="s">
        <v>35</v>
      </c>
      <c r="E28" t="s">
        <v>277</v>
      </c>
      <c r="F28" t="s">
        <v>278</v>
      </c>
      <c r="G28" t="s">
        <v>53</v>
      </c>
      <c r="H28" t="s">
        <v>54</v>
      </c>
      <c r="I28" t="s">
        <v>279</v>
      </c>
      <c r="J28" t="s">
        <v>280</v>
      </c>
      <c r="K28">
        <v>1980</v>
      </c>
      <c r="L28">
        <v>1980</v>
      </c>
      <c r="M28">
        <v>38</v>
      </c>
      <c r="N28">
        <v>102.03</v>
      </c>
      <c r="O28">
        <v>55</v>
      </c>
      <c r="P28">
        <v>90</v>
      </c>
      <c r="Q28">
        <v>0.11700000000000001</v>
      </c>
      <c r="R28" t="s">
        <v>57</v>
      </c>
      <c r="S28" t="s">
        <v>301</v>
      </c>
      <c r="T28" t="b">
        <v>1</v>
      </c>
      <c r="U28" t="s">
        <v>302</v>
      </c>
      <c r="V28" t="s">
        <v>283</v>
      </c>
      <c r="W28" t="s">
        <v>303</v>
      </c>
      <c r="X28" t="s">
        <v>47</v>
      </c>
      <c r="AA28" t="s">
        <v>285</v>
      </c>
      <c r="AB28" t="s">
        <v>49</v>
      </c>
      <c r="AC28" t="s">
        <v>286</v>
      </c>
      <c r="AD28" t="b">
        <v>0</v>
      </c>
      <c r="AF28">
        <v>2</v>
      </c>
      <c r="AG28" t="s">
        <v>287</v>
      </c>
    </row>
    <row r="29" spans="1:33" x14ac:dyDescent="0.2">
      <c r="A29">
        <v>338</v>
      </c>
      <c r="B29" t="s">
        <v>304</v>
      </c>
      <c r="C29" t="s">
        <v>34</v>
      </c>
      <c r="D29" t="s">
        <v>35</v>
      </c>
      <c r="E29" t="s">
        <v>277</v>
      </c>
      <c r="F29" t="s">
        <v>278</v>
      </c>
      <c r="G29" t="s">
        <v>53</v>
      </c>
      <c r="H29" t="s">
        <v>54</v>
      </c>
      <c r="I29" t="s">
        <v>279</v>
      </c>
      <c r="J29" t="s">
        <v>280</v>
      </c>
      <c r="K29">
        <v>1984</v>
      </c>
      <c r="L29">
        <v>1984</v>
      </c>
      <c r="M29">
        <v>9</v>
      </c>
      <c r="N29">
        <v>27.803999999999998</v>
      </c>
      <c r="O29">
        <v>395</v>
      </c>
      <c r="P29">
        <v>2.59</v>
      </c>
      <c r="Q29">
        <v>0.96499999999999997</v>
      </c>
      <c r="R29" t="s">
        <v>57</v>
      </c>
      <c r="S29" t="s">
        <v>305</v>
      </c>
      <c r="T29" t="b">
        <v>1</v>
      </c>
      <c r="U29" t="s">
        <v>306</v>
      </c>
      <c r="V29" t="s">
        <v>283</v>
      </c>
      <c r="W29" t="s">
        <v>307</v>
      </c>
      <c r="X29" t="s">
        <v>47</v>
      </c>
      <c r="AA29" t="s">
        <v>285</v>
      </c>
      <c r="AB29" t="s">
        <v>308</v>
      </c>
      <c r="AC29" t="s">
        <v>286</v>
      </c>
      <c r="AD29" t="b">
        <v>0</v>
      </c>
      <c r="AF29">
        <v>2</v>
      </c>
      <c r="AG29" t="s">
        <v>287</v>
      </c>
    </row>
    <row r="30" spans="1:33" x14ac:dyDescent="0.2">
      <c r="A30">
        <v>2056</v>
      </c>
      <c r="B30" t="s">
        <v>309</v>
      </c>
      <c r="C30" t="s">
        <v>34</v>
      </c>
      <c r="D30" t="s">
        <v>35</v>
      </c>
      <c r="E30" t="s">
        <v>310</v>
      </c>
      <c r="F30" t="s">
        <v>311</v>
      </c>
      <c r="G30" t="s">
        <v>312</v>
      </c>
      <c r="H30" t="s">
        <v>313</v>
      </c>
      <c r="I30" t="s">
        <v>314</v>
      </c>
      <c r="J30" t="s">
        <v>71</v>
      </c>
      <c r="K30">
        <v>2021</v>
      </c>
      <c r="L30">
        <v>2021</v>
      </c>
      <c r="M30">
        <v>1.5</v>
      </c>
      <c r="N30">
        <v>5.0199999999999996</v>
      </c>
      <c r="O30">
        <v>200</v>
      </c>
      <c r="P30">
        <v>0.86</v>
      </c>
      <c r="Q30">
        <v>0.46800000000000003</v>
      </c>
      <c r="R30" t="s">
        <v>84</v>
      </c>
      <c r="S30" t="s">
        <v>315</v>
      </c>
      <c r="T30" t="b">
        <v>1</v>
      </c>
      <c r="U30" t="s">
        <v>316</v>
      </c>
      <c r="V30" t="s">
        <v>317</v>
      </c>
      <c r="W30" t="s">
        <v>318</v>
      </c>
      <c r="X30" t="s">
        <v>47</v>
      </c>
      <c r="AA30" t="s">
        <v>319</v>
      </c>
      <c r="AC30" t="s">
        <v>320</v>
      </c>
      <c r="AD30" t="b">
        <v>0</v>
      </c>
      <c r="AF30">
        <v>4</v>
      </c>
      <c r="AG30" t="s">
        <v>321</v>
      </c>
    </row>
    <row r="31" spans="1:33" x14ac:dyDescent="0.2">
      <c r="A31">
        <v>793</v>
      </c>
      <c r="B31" t="s">
        <v>322</v>
      </c>
      <c r="C31" t="s">
        <v>34</v>
      </c>
      <c r="D31" t="s">
        <v>35</v>
      </c>
      <c r="E31" t="s">
        <v>323</v>
      </c>
      <c r="F31" t="s">
        <v>324</v>
      </c>
      <c r="G31" t="s">
        <v>53</v>
      </c>
      <c r="H31" t="s">
        <v>54</v>
      </c>
      <c r="I31" t="s">
        <v>325</v>
      </c>
      <c r="J31" t="s">
        <v>135</v>
      </c>
      <c r="K31">
        <v>2004</v>
      </c>
      <c r="L31">
        <v>2004</v>
      </c>
      <c r="M31">
        <v>1.3</v>
      </c>
      <c r="N31">
        <v>9.81</v>
      </c>
      <c r="O31">
        <v>147</v>
      </c>
      <c r="P31">
        <v>1.1000000000000001</v>
      </c>
      <c r="Q31">
        <v>0.32800000000000001</v>
      </c>
      <c r="R31" t="s">
        <v>84</v>
      </c>
      <c r="S31" t="s">
        <v>326</v>
      </c>
      <c r="T31" t="b">
        <v>1</v>
      </c>
      <c r="U31" t="s">
        <v>327</v>
      </c>
      <c r="V31" t="s">
        <v>328</v>
      </c>
      <c r="W31" t="s">
        <v>329</v>
      </c>
      <c r="X31" t="s">
        <v>47</v>
      </c>
      <c r="AA31" t="s">
        <v>330</v>
      </c>
      <c r="AB31" t="s">
        <v>49</v>
      </c>
      <c r="AC31" t="s">
        <v>331</v>
      </c>
      <c r="AD31" t="b">
        <v>0</v>
      </c>
      <c r="AF31">
        <v>3</v>
      </c>
      <c r="AG31" t="s">
        <v>332</v>
      </c>
    </row>
    <row r="32" spans="1:33" x14ac:dyDescent="0.2">
      <c r="A32">
        <v>1162</v>
      </c>
      <c r="B32" t="s">
        <v>333</v>
      </c>
      <c r="C32" t="s">
        <v>34</v>
      </c>
      <c r="D32" t="s">
        <v>35</v>
      </c>
      <c r="E32" t="s">
        <v>334</v>
      </c>
      <c r="F32" t="s">
        <v>335</v>
      </c>
      <c r="G32" t="s">
        <v>93</v>
      </c>
      <c r="H32" t="s">
        <v>94</v>
      </c>
      <c r="I32" t="s">
        <v>336</v>
      </c>
      <c r="J32" t="s">
        <v>337</v>
      </c>
      <c r="K32">
        <v>2002</v>
      </c>
      <c r="L32">
        <v>2002</v>
      </c>
      <c r="M32">
        <v>0.12</v>
      </c>
      <c r="N32">
        <v>0.10299999999999999</v>
      </c>
      <c r="R32" t="s">
        <v>97</v>
      </c>
      <c r="S32" t="s">
        <v>338</v>
      </c>
      <c r="T32" t="b">
        <v>1</v>
      </c>
      <c r="U32" t="s">
        <v>247</v>
      </c>
      <c r="V32" t="s">
        <v>339</v>
      </c>
      <c r="W32" t="s">
        <v>113</v>
      </c>
      <c r="X32" t="s">
        <v>47</v>
      </c>
      <c r="AA32" t="s">
        <v>340</v>
      </c>
      <c r="AC32" t="s">
        <v>341</v>
      </c>
      <c r="AD32" t="b">
        <v>0</v>
      </c>
      <c r="AF32">
        <v>1</v>
      </c>
      <c r="AG32" t="s">
        <v>104</v>
      </c>
    </row>
    <row r="33" spans="1:33" x14ac:dyDescent="0.2">
      <c r="A33">
        <v>1839</v>
      </c>
      <c r="B33" t="s">
        <v>342</v>
      </c>
      <c r="C33" t="s">
        <v>34</v>
      </c>
      <c r="D33" t="s">
        <v>35</v>
      </c>
      <c r="E33" t="s">
        <v>343</v>
      </c>
      <c r="F33" t="s">
        <v>344</v>
      </c>
      <c r="G33" t="s">
        <v>134</v>
      </c>
      <c r="H33" t="s">
        <v>135</v>
      </c>
      <c r="I33" t="s">
        <v>345</v>
      </c>
      <c r="J33" t="s">
        <v>256</v>
      </c>
      <c r="K33">
        <v>2015</v>
      </c>
      <c r="L33">
        <v>2015</v>
      </c>
      <c r="M33">
        <v>0.13200000000000001</v>
      </c>
      <c r="N33">
        <v>0.40100000000000002</v>
      </c>
      <c r="O33">
        <v>24</v>
      </c>
      <c r="P33">
        <v>0.81</v>
      </c>
      <c r="Q33">
        <v>4.5999999999999999E-2</v>
      </c>
      <c r="R33" t="s">
        <v>42</v>
      </c>
      <c r="S33" t="s">
        <v>346</v>
      </c>
      <c r="T33" t="b">
        <v>1</v>
      </c>
      <c r="U33" t="s">
        <v>347</v>
      </c>
      <c r="V33" t="s">
        <v>348</v>
      </c>
      <c r="W33" t="s">
        <v>349</v>
      </c>
      <c r="X33" t="s">
        <v>47</v>
      </c>
      <c r="AA33" t="s">
        <v>350</v>
      </c>
      <c r="AC33" t="s">
        <v>351</v>
      </c>
      <c r="AD33" t="b">
        <v>0</v>
      </c>
      <c r="AF33">
        <v>10</v>
      </c>
      <c r="AG33" t="s">
        <v>143</v>
      </c>
    </row>
    <row r="34" spans="1:33" x14ac:dyDescent="0.2">
      <c r="A34">
        <v>15</v>
      </c>
      <c r="B34" t="s">
        <v>352</v>
      </c>
      <c r="C34" t="s">
        <v>34</v>
      </c>
      <c r="D34" t="s">
        <v>35</v>
      </c>
      <c r="E34" t="s">
        <v>91</v>
      </c>
      <c r="F34" t="s">
        <v>92</v>
      </c>
      <c r="G34" t="s">
        <v>93</v>
      </c>
      <c r="H34" t="s">
        <v>94</v>
      </c>
      <c r="I34" t="s">
        <v>353</v>
      </c>
      <c r="J34" t="s">
        <v>354</v>
      </c>
      <c r="K34">
        <v>1963</v>
      </c>
      <c r="L34">
        <v>1963</v>
      </c>
      <c r="M34">
        <v>75.5</v>
      </c>
      <c r="N34">
        <v>344.41</v>
      </c>
      <c r="O34">
        <v>87</v>
      </c>
      <c r="P34">
        <v>99.7</v>
      </c>
      <c r="Q34">
        <v>0.21</v>
      </c>
      <c r="R34" t="s">
        <v>97</v>
      </c>
      <c r="S34" t="s">
        <v>355</v>
      </c>
      <c r="T34" t="b">
        <v>1</v>
      </c>
      <c r="U34" t="s">
        <v>356</v>
      </c>
      <c r="V34" t="s">
        <v>357</v>
      </c>
      <c r="W34" t="s">
        <v>358</v>
      </c>
      <c r="X34" t="s">
        <v>47</v>
      </c>
      <c r="AA34" t="s">
        <v>102</v>
      </c>
      <c r="AB34" t="s">
        <v>94</v>
      </c>
      <c r="AC34" t="s">
        <v>103</v>
      </c>
      <c r="AD34" t="b">
        <v>0</v>
      </c>
      <c r="AF34">
        <v>1</v>
      </c>
      <c r="AG34" t="s">
        <v>104</v>
      </c>
    </row>
    <row r="35" spans="1:33" x14ac:dyDescent="0.2">
      <c r="A35">
        <v>1993</v>
      </c>
      <c r="B35" t="s">
        <v>359</v>
      </c>
      <c r="C35" t="s">
        <v>34</v>
      </c>
      <c r="D35" t="s">
        <v>35</v>
      </c>
      <c r="E35" t="s">
        <v>360</v>
      </c>
      <c r="F35" t="s">
        <v>361</v>
      </c>
      <c r="G35" t="s">
        <v>53</v>
      </c>
      <c r="H35" t="s">
        <v>54</v>
      </c>
      <c r="I35" t="s">
        <v>362</v>
      </c>
      <c r="J35" t="s">
        <v>256</v>
      </c>
      <c r="K35">
        <v>2019</v>
      </c>
      <c r="L35">
        <v>2019</v>
      </c>
      <c r="M35">
        <v>2.5</v>
      </c>
      <c r="N35">
        <v>8.0060000000000002</v>
      </c>
      <c r="O35">
        <v>222</v>
      </c>
      <c r="P35">
        <v>1.4</v>
      </c>
      <c r="Q35">
        <v>0.496</v>
      </c>
      <c r="R35" t="s">
        <v>72</v>
      </c>
      <c r="S35" t="s">
        <v>363</v>
      </c>
      <c r="T35" t="b">
        <v>1</v>
      </c>
      <c r="U35" t="s">
        <v>364</v>
      </c>
      <c r="V35" t="s">
        <v>365</v>
      </c>
      <c r="W35" t="s">
        <v>366</v>
      </c>
      <c r="X35" t="s">
        <v>47</v>
      </c>
      <c r="AA35" t="s">
        <v>367</v>
      </c>
      <c r="AC35" t="s">
        <v>63</v>
      </c>
      <c r="AD35" t="b">
        <v>0</v>
      </c>
      <c r="AF35">
        <v>13</v>
      </c>
      <c r="AG35" t="s">
        <v>155</v>
      </c>
    </row>
    <row r="36" spans="1:33" x14ac:dyDescent="0.2">
      <c r="A36">
        <v>941</v>
      </c>
      <c r="B36" t="s">
        <v>368</v>
      </c>
      <c r="C36" t="s">
        <v>34</v>
      </c>
      <c r="D36" t="s">
        <v>35</v>
      </c>
      <c r="E36" t="s">
        <v>369</v>
      </c>
      <c r="F36" t="s">
        <v>370</v>
      </c>
      <c r="G36" t="s">
        <v>53</v>
      </c>
      <c r="H36" t="s">
        <v>54</v>
      </c>
      <c r="I36" t="s">
        <v>147</v>
      </c>
      <c r="J36" t="s">
        <v>148</v>
      </c>
      <c r="K36">
        <v>1994</v>
      </c>
      <c r="L36">
        <v>1994</v>
      </c>
      <c r="M36">
        <v>7.3800000000000004E-2</v>
      </c>
      <c r="N36">
        <v>0.64600000000000002</v>
      </c>
      <c r="R36" t="s">
        <v>72</v>
      </c>
      <c r="S36" t="s">
        <v>371</v>
      </c>
      <c r="T36" t="b">
        <v>1</v>
      </c>
      <c r="U36" t="s">
        <v>372</v>
      </c>
      <c r="V36" t="s">
        <v>373</v>
      </c>
      <c r="W36" t="s">
        <v>113</v>
      </c>
      <c r="X36" t="s">
        <v>47</v>
      </c>
      <c r="AA36" t="s">
        <v>374</v>
      </c>
      <c r="AC36" t="s">
        <v>375</v>
      </c>
      <c r="AD36" t="b">
        <v>0</v>
      </c>
      <c r="AF36">
        <v>13</v>
      </c>
      <c r="AG36" t="s">
        <v>155</v>
      </c>
    </row>
    <row r="37" spans="1:33" x14ac:dyDescent="0.2">
      <c r="A37">
        <v>16</v>
      </c>
      <c r="B37" t="s">
        <v>376</v>
      </c>
      <c r="C37" t="s">
        <v>34</v>
      </c>
      <c r="D37" t="s">
        <v>35</v>
      </c>
      <c r="E37" t="s">
        <v>36</v>
      </c>
      <c r="F37" t="s">
        <v>37</v>
      </c>
      <c r="G37" t="s">
        <v>377</v>
      </c>
      <c r="H37" t="s">
        <v>378</v>
      </c>
      <c r="I37" t="s">
        <v>379</v>
      </c>
      <c r="J37" t="s">
        <v>41</v>
      </c>
      <c r="K37">
        <v>1953</v>
      </c>
      <c r="L37">
        <v>1953</v>
      </c>
      <c r="M37">
        <v>43</v>
      </c>
      <c r="N37">
        <v>242.4</v>
      </c>
      <c r="O37">
        <v>53</v>
      </c>
      <c r="P37">
        <v>84.5</v>
      </c>
      <c r="Q37">
        <v>0.14099999999999999</v>
      </c>
      <c r="R37" t="s">
        <v>42</v>
      </c>
      <c r="S37" t="s">
        <v>380</v>
      </c>
      <c r="T37" t="b">
        <v>1</v>
      </c>
      <c r="U37" t="s">
        <v>381</v>
      </c>
      <c r="V37" t="s">
        <v>45</v>
      </c>
      <c r="W37" t="s">
        <v>382</v>
      </c>
      <c r="X37" t="s">
        <v>47</v>
      </c>
      <c r="AA37" t="s">
        <v>383</v>
      </c>
      <c r="AB37" t="s">
        <v>177</v>
      </c>
      <c r="AC37" t="s">
        <v>384</v>
      </c>
      <c r="AD37" t="b">
        <v>0</v>
      </c>
      <c r="AF37">
        <v>11</v>
      </c>
      <c r="AG37" t="s">
        <v>198</v>
      </c>
    </row>
    <row r="38" spans="1:33" x14ac:dyDescent="0.2">
      <c r="A38">
        <v>17</v>
      </c>
      <c r="B38" t="s">
        <v>385</v>
      </c>
      <c r="C38" t="s">
        <v>34</v>
      </c>
      <c r="D38" t="s">
        <v>35</v>
      </c>
      <c r="E38" t="s">
        <v>277</v>
      </c>
      <c r="F38" t="s">
        <v>278</v>
      </c>
      <c r="G38" t="s">
        <v>93</v>
      </c>
      <c r="H38" t="s">
        <v>94</v>
      </c>
      <c r="I38" t="s">
        <v>386</v>
      </c>
      <c r="J38" t="s">
        <v>49</v>
      </c>
      <c r="K38">
        <v>1985</v>
      </c>
      <c r="L38">
        <v>1985</v>
      </c>
      <c r="M38">
        <v>1</v>
      </c>
      <c r="N38">
        <v>3.343</v>
      </c>
      <c r="O38">
        <v>19.29</v>
      </c>
      <c r="P38">
        <v>5.44</v>
      </c>
      <c r="Q38">
        <v>0.05</v>
      </c>
      <c r="R38" t="s">
        <v>97</v>
      </c>
      <c r="S38" t="s">
        <v>387</v>
      </c>
      <c r="T38" t="b">
        <v>1</v>
      </c>
      <c r="U38" t="s">
        <v>388</v>
      </c>
      <c r="V38" t="s">
        <v>389</v>
      </c>
      <c r="W38" t="s">
        <v>390</v>
      </c>
      <c r="X38" t="s">
        <v>47</v>
      </c>
      <c r="AA38" t="s">
        <v>391</v>
      </c>
      <c r="AB38" t="s">
        <v>177</v>
      </c>
      <c r="AC38" t="s">
        <v>392</v>
      </c>
      <c r="AD38" t="b">
        <v>0</v>
      </c>
      <c r="AF38">
        <v>1</v>
      </c>
      <c r="AG38" t="s">
        <v>104</v>
      </c>
    </row>
    <row r="39" spans="1:33" x14ac:dyDescent="0.2">
      <c r="A39">
        <v>792</v>
      </c>
      <c r="B39" t="s">
        <v>393</v>
      </c>
      <c r="C39" t="s">
        <v>34</v>
      </c>
      <c r="D39" t="s">
        <v>35</v>
      </c>
      <c r="E39" t="s">
        <v>394</v>
      </c>
      <c r="F39" t="s">
        <v>395</v>
      </c>
      <c r="G39" t="s">
        <v>53</v>
      </c>
      <c r="H39" t="s">
        <v>54</v>
      </c>
      <c r="I39" t="s">
        <v>147</v>
      </c>
      <c r="J39" t="s">
        <v>148</v>
      </c>
      <c r="K39">
        <v>2003</v>
      </c>
      <c r="L39">
        <v>2003</v>
      </c>
      <c r="M39">
        <v>4.5</v>
      </c>
      <c r="N39">
        <v>20.693000000000001</v>
      </c>
      <c r="O39">
        <v>281</v>
      </c>
      <c r="P39">
        <v>1.9</v>
      </c>
      <c r="Q39">
        <v>0.65800000000000003</v>
      </c>
      <c r="R39" t="s">
        <v>72</v>
      </c>
      <c r="S39" t="s">
        <v>396</v>
      </c>
      <c r="T39" t="b">
        <v>1</v>
      </c>
      <c r="U39" t="s">
        <v>397</v>
      </c>
      <c r="V39" t="s">
        <v>398</v>
      </c>
      <c r="W39" t="s">
        <v>399</v>
      </c>
      <c r="X39" t="s">
        <v>47</v>
      </c>
      <c r="AA39" t="s">
        <v>400</v>
      </c>
      <c r="AB39" t="s">
        <v>401</v>
      </c>
      <c r="AC39" t="s">
        <v>402</v>
      </c>
      <c r="AD39" t="b">
        <v>0</v>
      </c>
      <c r="AF39">
        <v>13</v>
      </c>
      <c r="AG39" t="s">
        <v>155</v>
      </c>
    </row>
    <row r="40" spans="1:33" x14ac:dyDescent="0.2">
      <c r="A40">
        <v>18</v>
      </c>
      <c r="B40" t="s">
        <v>403</v>
      </c>
      <c r="C40" t="s">
        <v>34</v>
      </c>
      <c r="D40" t="s">
        <v>35</v>
      </c>
      <c r="E40" t="s">
        <v>404</v>
      </c>
      <c r="F40" t="s">
        <v>405</v>
      </c>
      <c r="G40" t="s">
        <v>224</v>
      </c>
      <c r="H40" t="s">
        <v>225</v>
      </c>
      <c r="I40" t="s">
        <v>226</v>
      </c>
      <c r="J40" t="s">
        <v>227</v>
      </c>
      <c r="K40">
        <v>1954</v>
      </c>
      <c r="L40">
        <v>1954</v>
      </c>
      <c r="M40">
        <v>5.6</v>
      </c>
      <c r="N40">
        <v>36.545999999999999</v>
      </c>
      <c r="O40">
        <v>8</v>
      </c>
      <c r="P40">
        <v>81.87</v>
      </c>
      <c r="Q40">
        <v>1.7999999999999999E-2</v>
      </c>
      <c r="R40" t="s">
        <v>97</v>
      </c>
      <c r="S40" t="s">
        <v>406</v>
      </c>
      <c r="T40" t="b">
        <v>1</v>
      </c>
      <c r="U40" t="s">
        <v>407</v>
      </c>
      <c r="V40" t="s">
        <v>408</v>
      </c>
      <c r="W40" t="s">
        <v>113</v>
      </c>
      <c r="X40" t="s">
        <v>47</v>
      </c>
      <c r="AA40" t="s">
        <v>102</v>
      </c>
      <c r="AB40" t="s">
        <v>409</v>
      </c>
      <c r="AC40" t="s">
        <v>103</v>
      </c>
      <c r="AD40" t="b">
        <v>0</v>
      </c>
      <c r="AF40">
        <v>1</v>
      </c>
      <c r="AG40" t="s">
        <v>104</v>
      </c>
    </row>
    <row r="41" spans="1:33" x14ac:dyDescent="0.2">
      <c r="A41">
        <v>1678</v>
      </c>
      <c r="B41" t="s">
        <v>410</v>
      </c>
      <c r="C41" t="s">
        <v>34</v>
      </c>
      <c r="D41" t="s">
        <v>35</v>
      </c>
      <c r="E41" t="s">
        <v>411</v>
      </c>
      <c r="F41" t="s">
        <v>412</v>
      </c>
      <c r="G41" t="s">
        <v>68</v>
      </c>
      <c r="H41" t="s">
        <v>69</v>
      </c>
      <c r="I41" t="s">
        <v>413</v>
      </c>
      <c r="J41" t="s">
        <v>414</v>
      </c>
      <c r="K41">
        <v>2013</v>
      </c>
      <c r="L41">
        <v>2013</v>
      </c>
      <c r="M41">
        <v>2.9</v>
      </c>
      <c r="N41">
        <v>7.7290000000000001</v>
      </c>
      <c r="O41">
        <v>379</v>
      </c>
      <c r="P41">
        <v>0.94</v>
      </c>
      <c r="Q41">
        <v>0.85699999999999998</v>
      </c>
      <c r="R41" t="s">
        <v>72</v>
      </c>
      <c r="S41" t="s">
        <v>415</v>
      </c>
      <c r="T41" t="b">
        <v>1</v>
      </c>
      <c r="U41" t="s">
        <v>416</v>
      </c>
      <c r="V41" t="s">
        <v>417</v>
      </c>
      <c r="W41" t="s">
        <v>418</v>
      </c>
      <c r="X41" t="s">
        <v>47</v>
      </c>
      <c r="AA41" t="s">
        <v>419</v>
      </c>
      <c r="AC41" t="s">
        <v>63</v>
      </c>
      <c r="AD41" t="b">
        <v>0</v>
      </c>
      <c r="AF41">
        <v>8</v>
      </c>
      <c r="AG41" t="s">
        <v>78</v>
      </c>
    </row>
    <row r="42" spans="1:33" x14ac:dyDescent="0.2">
      <c r="A42">
        <v>910</v>
      </c>
      <c r="B42" t="s">
        <v>420</v>
      </c>
      <c r="C42" t="s">
        <v>34</v>
      </c>
      <c r="D42" t="s">
        <v>35</v>
      </c>
      <c r="E42" t="s">
        <v>421</v>
      </c>
      <c r="F42" t="s">
        <v>422</v>
      </c>
      <c r="G42" t="s">
        <v>68</v>
      </c>
      <c r="H42" t="s">
        <v>69</v>
      </c>
      <c r="I42" t="s">
        <v>413</v>
      </c>
      <c r="J42" t="s">
        <v>414</v>
      </c>
      <c r="K42">
        <v>2007</v>
      </c>
      <c r="L42">
        <v>2007</v>
      </c>
      <c r="M42">
        <v>8.2000000000000003E-2</v>
      </c>
      <c r="N42">
        <v>0.32</v>
      </c>
      <c r="O42">
        <v>91</v>
      </c>
      <c r="P42">
        <v>0.2</v>
      </c>
      <c r="R42" t="s">
        <v>72</v>
      </c>
      <c r="S42" t="s">
        <v>415</v>
      </c>
      <c r="T42" t="b">
        <v>1</v>
      </c>
      <c r="U42" t="s">
        <v>59</v>
      </c>
      <c r="V42" t="s">
        <v>423</v>
      </c>
      <c r="W42" t="s">
        <v>113</v>
      </c>
      <c r="X42" t="s">
        <v>47</v>
      </c>
      <c r="AA42" t="s">
        <v>419</v>
      </c>
      <c r="AC42" t="s">
        <v>63</v>
      </c>
      <c r="AD42" t="b">
        <v>0</v>
      </c>
      <c r="AF42">
        <v>8</v>
      </c>
      <c r="AG42" t="s">
        <v>78</v>
      </c>
    </row>
    <row r="43" spans="1:33" x14ac:dyDescent="0.2">
      <c r="A43">
        <v>1665</v>
      </c>
      <c r="B43" t="s">
        <v>424</v>
      </c>
      <c r="C43" t="s">
        <v>34</v>
      </c>
      <c r="D43" t="s">
        <v>35</v>
      </c>
      <c r="E43" t="s">
        <v>180</v>
      </c>
      <c r="F43" t="s">
        <v>181</v>
      </c>
      <c r="G43" t="s">
        <v>377</v>
      </c>
      <c r="H43" t="s">
        <v>378</v>
      </c>
      <c r="I43" t="s">
        <v>425</v>
      </c>
      <c r="J43" t="s">
        <v>426</v>
      </c>
      <c r="K43">
        <v>2012</v>
      </c>
      <c r="L43">
        <v>2012</v>
      </c>
      <c r="M43">
        <v>2.66</v>
      </c>
      <c r="N43">
        <v>4.6689999999999996</v>
      </c>
      <c r="O43">
        <v>419</v>
      </c>
      <c r="P43">
        <v>0.72699999999999998</v>
      </c>
      <c r="Q43">
        <v>1.016</v>
      </c>
      <c r="R43" t="s">
        <v>42</v>
      </c>
      <c r="S43" t="s">
        <v>427</v>
      </c>
      <c r="T43" t="b">
        <v>1</v>
      </c>
      <c r="U43" t="s">
        <v>428</v>
      </c>
      <c r="V43" t="s">
        <v>429</v>
      </c>
      <c r="W43" t="s">
        <v>430</v>
      </c>
      <c r="X43" t="s">
        <v>47</v>
      </c>
      <c r="AA43" t="s">
        <v>431</v>
      </c>
      <c r="AB43" t="s">
        <v>49</v>
      </c>
      <c r="AC43" t="s">
        <v>432</v>
      </c>
      <c r="AD43" t="b">
        <v>0</v>
      </c>
      <c r="AF43">
        <v>11</v>
      </c>
      <c r="AG43" t="s">
        <v>198</v>
      </c>
    </row>
    <row r="44" spans="1:33" x14ac:dyDescent="0.2">
      <c r="A44">
        <v>991</v>
      </c>
      <c r="B44" t="s">
        <v>433</v>
      </c>
      <c r="C44" t="s">
        <v>34</v>
      </c>
      <c r="D44" t="s">
        <v>35</v>
      </c>
      <c r="E44" t="s">
        <v>434</v>
      </c>
      <c r="F44" t="s">
        <v>435</v>
      </c>
      <c r="G44" t="s">
        <v>242</v>
      </c>
      <c r="H44" t="s">
        <v>243</v>
      </c>
      <c r="I44" t="s">
        <v>436</v>
      </c>
      <c r="J44" t="s">
        <v>437</v>
      </c>
      <c r="K44">
        <v>1996</v>
      </c>
      <c r="L44">
        <v>1996</v>
      </c>
      <c r="M44">
        <v>0.2</v>
      </c>
      <c r="N44">
        <v>0.42699999999999999</v>
      </c>
      <c r="R44" t="s">
        <v>72</v>
      </c>
      <c r="S44" t="s">
        <v>438</v>
      </c>
      <c r="T44" t="b">
        <v>1</v>
      </c>
      <c r="U44" t="s">
        <v>439</v>
      </c>
      <c r="V44" t="s">
        <v>440</v>
      </c>
      <c r="W44" t="s">
        <v>113</v>
      </c>
      <c r="X44" t="s">
        <v>47</v>
      </c>
      <c r="AA44" t="s">
        <v>441</v>
      </c>
      <c r="AC44" t="s">
        <v>63</v>
      </c>
      <c r="AD44" t="b">
        <v>0</v>
      </c>
      <c r="AF44">
        <v>9</v>
      </c>
      <c r="AG44" t="s">
        <v>251</v>
      </c>
    </row>
    <row r="45" spans="1:33" x14ac:dyDescent="0.2">
      <c r="A45">
        <v>1559</v>
      </c>
      <c r="B45" t="s">
        <v>442</v>
      </c>
      <c r="C45" t="s">
        <v>34</v>
      </c>
      <c r="D45" t="s">
        <v>35</v>
      </c>
      <c r="E45" t="s">
        <v>443</v>
      </c>
      <c r="F45" t="s">
        <v>444</v>
      </c>
      <c r="G45" t="s">
        <v>68</v>
      </c>
      <c r="H45" t="s">
        <v>69</v>
      </c>
      <c r="I45" t="s">
        <v>445</v>
      </c>
      <c r="J45" t="s">
        <v>203</v>
      </c>
      <c r="K45">
        <v>2011</v>
      </c>
      <c r="L45">
        <v>2011</v>
      </c>
      <c r="M45">
        <v>4.3499999999999996</v>
      </c>
      <c r="N45">
        <v>15.478999999999999</v>
      </c>
      <c r="O45">
        <v>304.3</v>
      </c>
      <c r="P45">
        <v>1.7</v>
      </c>
      <c r="Q45">
        <v>0.71099999999999997</v>
      </c>
      <c r="R45" t="s">
        <v>72</v>
      </c>
      <c r="S45" t="s">
        <v>446</v>
      </c>
      <c r="T45" t="b">
        <v>1</v>
      </c>
      <c r="U45" t="s">
        <v>447</v>
      </c>
      <c r="V45" t="s">
        <v>448</v>
      </c>
      <c r="W45" t="s">
        <v>449</v>
      </c>
      <c r="X45" t="s">
        <v>47</v>
      </c>
      <c r="AA45" t="s">
        <v>450</v>
      </c>
      <c r="AB45" t="s">
        <v>177</v>
      </c>
      <c r="AC45" t="s">
        <v>451</v>
      </c>
      <c r="AD45" t="b">
        <v>0</v>
      </c>
      <c r="AF45">
        <v>8</v>
      </c>
      <c r="AG45" t="s">
        <v>78</v>
      </c>
    </row>
    <row r="46" spans="1:33" x14ac:dyDescent="0.2">
      <c r="A46">
        <v>1300</v>
      </c>
      <c r="B46" t="s">
        <v>452</v>
      </c>
      <c r="C46" t="s">
        <v>34</v>
      </c>
      <c r="D46" t="s">
        <v>35</v>
      </c>
      <c r="G46" t="s">
        <v>68</v>
      </c>
      <c r="H46" t="s">
        <v>69</v>
      </c>
      <c r="I46" t="s">
        <v>453</v>
      </c>
      <c r="J46" t="s">
        <v>192</v>
      </c>
      <c r="K46">
        <v>1998</v>
      </c>
      <c r="L46">
        <v>1998</v>
      </c>
      <c r="M46">
        <v>1.4E-3</v>
      </c>
      <c r="N46">
        <v>3.0000000000000001E-3</v>
      </c>
      <c r="O46">
        <v>18</v>
      </c>
      <c r="P46">
        <v>2.4E-2</v>
      </c>
      <c r="Q46">
        <v>1.6E-2</v>
      </c>
      <c r="R46" t="s">
        <v>72</v>
      </c>
      <c r="S46" t="s">
        <v>454</v>
      </c>
      <c r="T46" t="b">
        <v>1</v>
      </c>
      <c r="U46" t="s">
        <v>455</v>
      </c>
      <c r="V46" t="s">
        <v>60</v>
      </c>
      <c r="W46" t="s">
        <v>456</v>
      </c>
      <c r="X46" t="s">
        <v>47</v>
      </c>
      <c r="AA46" t="s">
        <v>457</v>
      </c>
      <c r="AC46" t="s">
        <v>63</v>
      </c>
      <c r="AD46" t="b">
        <v>0</v>
      </c>
      <c r="AF46">
        <v>8</v>
      </c>
      <c r="AG46" t="s">
        <v>78</v>
      </c>
    </row>
    <row r="47" spans="1:33" x14ac:dyDescent="0.2">
      <c r="A47">
        <v>1914</v>
      </c>
      <c r="B47" t="s">
        <v>458</v>
      </c>
      <c r="C47" t="s">
        <v>34</v>
      </c>
      <c r="D47" t="s">
        <v>35</v>
      </c>
      <c r="E47" t="s">
        <v>459</v>
      </c>
      <c r="F47" t="s">
        <v>460</v>
      </c>
      <c r="G47" t="s">
        <v>53</v>
      </c>
      <c r="H47" t="s">
        <v>54</v>
      </c>
      <c r="I47" t="s">
        <v>461</v>
      </c>
      <c r="J47" t="s">
        <v>462</v>
      </c>
      <c r="K47">
        <v>2018</v>
      </c>
      <c r="L47">
        <v>2018</v>
      </c>
      <c r="M47">
        <v>7.96</v>
      </c>
      <c r="N47">
        <v>16.518000000000001</v>
      </c>
      <c r="O47">
        <v>425</v>
      </c>
      <c r="P47">
        <v>2.4</v>
      </c>
      <c r="Q47">
        <v>0.92100000000000004</v>
      </c>
      <c r="R47" t="s">
        <v>57</v>
      </c>
      <c r="S47" t="s">
        <v>463</v>
      </c>
      <c r="T47" t="b">
        <v>1</v>
      </c>
      <c r="U47" t="s">
        <v>464</v>
      </c>
      <c r="V47" t="s">
        <v>465</v>
      </c>
      <c r="W47" t="s">
        <v>466</v>
      </c>
      <c r="X47" t="s">
        <v>47</v>
      </c>
      <c r="AA47" t="s">
        <v>467</v>
      </c>
      <c r="AB47" t="s">
        <v>49</v>
      </c>
      <c r="AC47" t="s">
        <v>468</v>
      </c>
      <c r="AD47" t="b">
        <v>0</v>
      </c>
      <c r="AF47">
        <v>7</v>
      </c>
      <c r="AG47" t="s">
        <v>469</v>
      </c>
    </row>
    <row r="48" spans="1:33" x14ac:dyDescent="0.2">
      <c r="A48">
        <v>1363</v>
      </c>
      <c r="B48" t="s">
        <v>470</v>
      </c>
      <c r="C48" t="s">
        <v>34</v>
      </c>
      <c r="D48" t="s">
        <v>35</v>
      </c>
      <c r="E48" t="s">
        <v>471</v>
      </c>
      <c r="F48" t="s">
        <v>472</v>
      </c>
      <c r="G48" t="s">
        <v>68</v>
      </c>
      <c r="H48" t="s">
        <v>69</v>
      </c>
      <c r="I48" t="s">
        <v>473</v>
      </c>
      <c r="J48" t="s">
        <v>474</v>
      </c>
      <c r="K48">
        <v>2008</v>
      </c>
      <c r="L48">
        <v>2008</v>
      </c>
      <c r="M48">
        <v>0.3</v>
      </c>
      <c r="N48">
        <v>0.63900000000000001</v>
      </c>
      <c r="R48" t="s">
        <v>72</v>
      </c>
      <c r="S48" t="s">
        <v>475</v>
      </c>
      <c r="T48" t="b">
        <v>1</v>
      </c>
      <c r="U48" t="s">
        <v>476</v>
      </c>
      <c r="V48" t="s">
        <v>477</v>
      </c>
      <c r="W48" t="s">
        <v>478</v>
      </c>
      <c r="X48" t="s">
        <v>47</v>
      </c>
      <c r="AA48" t="s">
        <v>479</v>
      </c>
      <c r="AC48" t="s">
        <v>63</v>
      </c>
      <c r="AD48" t="b">
        <v>0</v>
      </c>
      <c r="AF48">
        <v>8</v>
      </c>
      <c r="AG48" t="s">
        <v>78</v>
      </c>
    </row>
    <row r="49" spans="1:33" x14ac:dyDescent="0.2">
      <c r="A49">
        <v>19</v>
      </c>
      <c r="B49" t="s">
        <v>480</v>
      </c>
      <c r="C49" t="s">
        <v>34</v>
      </c>
      <c r="D49" t="s">
        <v>35</v>
      </c>
      <c r="E49" t="s">
        <v>481</v>
      </c>
      <c r="F49" t="s">
        <v>482</v>
      </c>
      <c r="G49" t="s">
        <v>483</v>
      </c>
      <c r="H49" t="s">
        <v>109</v>
      </c>
      <c r="I49" t="s">
        <v>484</v>
      </c>
      <c r="J49" t="s">
        <v>485</v>
      </c>
      <c r="K49">
        <v>1938</v>
      </c>
      <c r="L49">
        <v>1938</v>
      </c>
      <c r="M49">
        <v>3.3</v>
      </c>
      <c r="N49">
        <v>15.116</v>
      </c>
      <c r="O49">
        <v>5.4</v>
      </c>
      <c r="P49">
        <v>70.510000000000005</v>
      </c>
      <c r="Q49">
        <v>1.2999999999999999E-2</v>
      </c>
      <c r="R49" t="s">
        <v>97</v>
      </c>
      <c r="S49" t="s">
        <v>486</v>
      </c>
      <c r="T49" t="b">
        <v>1</v>
      </c>
      <c r="U49" t="s">
        <v>487</v>
      </c>
      <c r="V49" t="s">
        <v>488</v>
      </c>
      <c r="W49" t="s">
        <v>489</v>
      </c>
      <c r="X49" t="s">
        <v>47</v>
      </c>
      <c r="AA49" t="s">
        <v>102</v>
      </c>
      <c r="AB49" t="s">
        <v>83</v>
      </c>
      <c r="AC49" t="s">
        <v>103</v>
      </c>
      <c r="AD49" t="b">
        <v>0</v>
      </c>
      <c r="AF49">
        <v>1</v>
      </c>
      <c r="AG49" t="s">
        <v>104</v>
      </c>
    </row>
    <row r="50" spans="1:33" x14ac:dyDescent="0.2">
      <c r="A50">
        <v>1513</v>
      </c>
      <c r="B50" t="s">
        <v>490</v>
      </c>
      <c r="C50" t="s">
        <v>34</v>
      </c>
      <c r="D50" t="s">
        <v>35</v>
      </c>
      <c r="E50" t="s">
        <v>491</v>
      </c>
      <c r="F50" t="s">
        <v>492</v>
      </c>
      <c r="G50" t="s">
        <v>312</v>
      </c>
      <c r="H50" t="s">
        <v>313</v>
      </c>
      <c r="I50" t="s">
        <v>493</v>
      </c>
      <c r="J50" t="s">
        <v>409</v>
      </c>
      <c r="K50">
        <v>2008</v>
      </c>
      <c r="L50">
        <v>2008</v>
      </c>
      <c r="M50">
        <v>0.78</v>
      </c>
      <c r="N50">
        <v>2.0699999999999998</v>
      </c>
      <c r="O50">
        <v>103</v>
      </c>
      <c r="P50">
        <v>0.9</v>
      </c>
      <c r="Q50">
        <v>0.24099999999999999</v>
      </c>
      <c r="R50" t="s">
        <v>84</v>
      </c>
      <c r="S50" t="s">
        <v>494</v>
      </c>
      <c r="T50" t="b">
        <v>1</v>
      </c>
      <c r="U50" t="s">
        <v>495</v>
      </c>
      <c r="V50" t="s">
        <v>496</v>
      </c>
      <c r="W50" t="s">
        <v>497</v>
      </c>
      <c r="X50" t="s">
        <v>47</v>
      </c>
      <c r="AA50" t="s">
        <v>498</v>
      </c>
      <c r="AC50" t="s">
        <v>499</v>
      </c>
      <c r="AD50" t="b">
        <v>0</v>
      </c>
      <c r="AF50">
        <v>4</v>
      </c>
      <c r="AG50" t="s">
        <v>321</v>
      </c>
    </row>
    <row r="51" spans="1:33" x14ac:dyDescent="0.2">
      <c r="A51">
        <v>2082</v>
      </c>
      <c r="B51" t="s">
        <v>500</v>
      </c>
      <c r="C51" t="s">
        <v>34</v>
      </c>
      <c r="D51" t="s">
        <v>35</v>
      </c>
      <c r="E51" t="s">
        <v>501</v>
      </c>
      <c r="F51" t="s">
        <v>502</v>
      </c>
      <c r="G51" t="s">
        <v>503</v>
      </c>
      <c r="H51" t="s">
        <v>462</v>
      </c>
      <c r="I51" t="s">
        <v>504</v>
      </c>
      <c r="J51" t="s">
        <v>109</v>
      </c>
      <c r="K51">
        <v>2022</v>
      </c>
      <c r="L51">
        <v>2022</v>
      </c>
      <c r="M51">
        <v>3.5</v>
      </c>
      <c r="N51">
        <v>10.541</v>
      </c>
      <c r="O51">
        <v>232.5</v>
      </c>
      <c r="P51">
        <v>1.9</v>
      </c>
      <c r="Q51">
        <v>0.51200000000000001</v>
      </c>
      <c r="R51" t="s">
        <v>84</v>
      </c>
      <c r="S51" t="s">
        <v>505</v>
      </c>
      <c r="T51" t="b">
        <v>1</v>
      </c>
      <c r="U51" t="s">
        <v>506</v>
      </c>
      <c r="V51" t="s">
        <v>507</v>
      </c>
      <c r="W51" t="s">
        <v>508</v>
      </c>
      <c r="X51" t="s">
        <v>47</v>
      </c>
      <c r="AA51" t="s">
        <v>509</v>
      </c>
      <c r="AC51" t="s">
        <v>510</v>
      </c>
      <c r="AD51" t="b">
        <v>0</v>
      </c>
      <c r="AF51">
        <v>3</v>
      </c>
      <c r="AG51" t="s">
        <v>332</v>
      </c>
    </row>
    <row r="52" spans="1:33" x14ac:dyDescent="0.2">
      <c r="A52">
        <v>20</v>
      </c>
      <c r="B52" t="s">
        <v>511</v>
      </c>
      <c r="C52" t="s">
        <v>34</v>
      </c>
      <c r="D52" t="s">
        <v>35</v>
      </c>
      <c r="E52" t="s">
        <v>512</v>
      </c>
      <c r="F52" t="s">
        <v>513</v>
      </c>
      <c r="G52" t="s">
        <v>377</v>
      </c>
      <c r="H52" t="s">
        <v>378</v>
      </c>
      <c r="I52" t="s">
        <v>514</v>
      </c>
      <c r="J52" t="s">
        <v>515</v>
      </c>
      <c r="K52">
        <v>1985</v>
      </c>
      <c r="L52">
        <v>1985</v>
      </c>
      <c r="M52">
        <v>7.9</v>
      </c>
      <c r="N52">
        <v>28.216999999999999</v>
      </c>
      <c r="O52">
        <v>354.1</v>
      </c>
      <c r="P52">
        <v>2.59</v>
      </c>
      <c r="Q52">
        <v>0.84299999999999997</v>
      </c>
      <c r="R52" t="s">
        <v>42</v>
      </c>
      <c r="S52" t="s">
        <v>516</v>
      </c>
      <c r="T52" t="b">
        <v>1</v>
      </c>
      <c r="U52" t="s">
        <v>517</v>
      </c>
      <c r="V52" t="s">
        <v>518</v>
      </c>
      <c r="W52" t="s">
        <v>519</v>
      </c>
      <c r="X52" t="s">
        <v>47</v>
      </c>
      <c r="AA52" t="s">
        <v>520</v>
      </c>
      <c r="AB52" t="s">
        <v>49</v>
      </c>
      <c r="AC52" t="s">
        <v>521</v>
      </c>
      <c r="AD52" t="b">
        <v>0</v>
      </c>
      <c r="AF52">
        <v>11</v>
      </c>
      <c r="AG52" t="s">
        <v>198</v>
      </c>
    </row>
    <row r="53" spans="1:33" x14ac:dyDescent="0.2">
      <c r="A53">
        <v>1732</v>
      </c>
      <c r="B53" t="s">
        <v>522</v>
      </c>
      <c r="C53" t="s">
        <v>34</v>
      </c>
      <c r="D53" t="s">
        <v>35</v>
      </c>
      <c r="E53" t="s">
        <v>523</v>
      </c>
      <c r="F53" t="s">
        <v>524</v>
      </c>
      <c r="G53" t="s">
        <v>377</v>
      </c>
      <c r="H53" t="s">
        <v>378</v>
      </c>
      <c r="I53" t="s">
        <v>425</v>
      </c>
      <c r="J53" t="s">
        <v>426</v>
      </c>
      <c r="K53">
        <v>2013</v>
      </c>
      <c r="L53">
        <v>2013</v>
      </c>
      <c r="M53">
        <v>5.4</v>
      </c>
      <c r="N53">
        <v>10.616</v>
      </c>
      <c r="O53">
        <v>394</v>
      </c>
      <c r="P53">
        <v>1.6</v>
      </c>
      <c r="Q53">
        <v>0.93799999999999994</v>
      </c>
      <c r="R53" t="s">
        <v>42</v>
      </c>
      <c r="S53" t="s">
        <v>525</v>
      </c>
      <c r="T53" t="b">
        <v>1</v>
      </c>
      <c r="U53" t="s">
        <v>526</v>
      </c>
      <c r="V53" t="s">
        <v>527</v>
      </c>
      <c r="W53" t="s">
        <v>528</v>
      </c>
      <c r="X53" t="s">
        <v>47</v>
      </c>
      <c r="AA53" t="s">
        <v>114</v>
      </c>
      <c r="AC53" t="s">
        <v>63</v>
      </c>
      <c r="AD53" t="b">
        <v>0</v>
      </c>
      <c r="AF53">
        <v>11</v>
      </c>
      <c r="AG53" t="s">
        <v>198</v>
      </c>
    </row>
    <row r="54" spans="1:33" x14ac:dyDescent="0.2">
      <c r="A54">
        <v>2026</v>
      </c>
      <c r="B54" t="s">
        <v>529</v>
      </c>
      <c r="C54" t="s">
        <v>34</v>
      </c>
      <c r="D54" t="s">
        <v>35</v>
      </c>
      <c r="E54" t="s">
        <v>530</v>
      </c>
      <c r="F54" t="s">
        <v>531</v>
      </c>
      <c r="G54" t="s">
        <v>53</v>
      </c>
      <c r="H54" t="s">
        <v>54</v>
      </c>
      <c r="I54" t="s">
        <v>532</v>
      </c>
      <c r="J54" t="s">
        <v>533</v>
      </c>
      <c r="K54">
        <v>2021</v>
      </c>
      <c r="L54">
        <v>2021</v>
      </c>
      <c r="M54">
        <v>8.91</v>
      </c>
      <c r="N54">
        <v>23.148</v>
      </c>
      <c r="O54">
        <v>491</v>
      </c>
      <c r="P54">
        <v>2.2000000000000002</v>
      </c>
      <c r="Q54">
        <v>1.125</v>
      </c>
      <c r="R54" t="s">
        <v>57</v>
      </c>
      <c r="S54" t="s">
        <v>534</v>
      </c>
      <c r="T54" t="b">
        <v>1</v>
      </c>
      <c r="U54" t="s">
        <v>535</v>
      </c>
      <c r="V54" t="s">
        <v>536</v>
      </c>
      <c r="W54" t="s">
        <v>537</v>
      </c>
      <c r="X54" t="s">
        <v>47</v>
      </c>
      <c r="AA54" t="s">
        <v>538</v>
      </c>
      <c r="AB54" t="s">
        <v>539</v>
      </c>
      <c r="AC54" t="s">
        <v>540</v>
      </c>
      <c r="AD54" t="b">
        <v>0</v>
      </c>
      <c r="AF54">
        <v>7</v>
      </c>
      <c r="AG54" t="s">
        <v>469</v>
      </c>
    </row>
    <row r="55" spans="1:33" x14ac:dyDescent="0.2">
      <c r="A55">
        <v>1207</v>
      </c>
      <c r="B55" t="s">
        <v>541</v>
      </c>
      <c r="C55" t="s">
        <v>34</v>
      </c>
      <c r="D55" t="s">
        <v>35</v>
      </c>
      <c r="E55" t="s">
        <v>542</v>
      </c>
      <c r="F55" t="s">
        <v>543</v>
      </c>
      <c r="G55" t="s">
        <v>38</v>
      </c>
      <c r="H55" t="s">
        <v>39</v>
      </c>
      <c r="I55" t="s">
        <v>544</v>
      </c>
      <c r="J55" t="s">
        <v>337</v>
      </c>
      <c r="K55">
        <v>1959</v>
      </c>
      <c r="L55">
        <v>2006</v>
      </c>
      <c r="M55">
        <v>1.1000000000000001</v>
      </c>
      <c r="N55">
        <v>2.9329999999999998</v>
      </c>
      <c r="O55">
        <v>83.7</v>
      </c>
      <c r="P55">
        <v>1.5</v>
      </c>
      <c r="Q55">
        <v>0.187</v>
      </c>
      <c r="R55" t="s">
        <v>42</v>
      </c>
      <c r="S55" t="s">
        <v>545</v>
      </c>
      <c r="T55" t="b">
        <v>1</v>
      </c>
      <c r="U55" t="s">
        <v>546</v>
      </c>
      <c r="V55" t="s">
        <v>547</v>
      </c>
      <c r="W55" t="s">
        <v>548</v>
      </c>
      <c r="X55" t="s">
        <v>47</v>
      </c>
      <c r="AA55" t="s">
        <v>549</v>
      </c>
      <c r="AC55" t="s">
        <v>63</v>
      </c>
      <c r="AD55" t="b">
        <v>0</v>
      </c>
      <c r="AF55">
        <v>12</v>
      </c>
      <c r="AG55" t="s">
        <v>51</v>
      </c>
    </row>
    <row r="56" spans="1:33" x14ac:dyDescent="0.2">
      <c r="A56">
        <v>1447</v>
      </c>
      <c r="B56" t="s">
        <v>550</v>
      </c>
      <c r="C56" t="s">
        <v>34</v>
      </c>
      <c r="D56" t="s">
        <v>35</v>
      </c>
      <c r="E56" t="s">
        <v>168</v>
      </c>
      <c r="F56" t="s">
        <v>169</v>
      </c>
      <c r="G56" t="s">
        <v>53</v>
      </c>
      <c r="H56" t="s">
        <v>54</v>
      </c>
      <c r="I56" t="s">
        <v>82</v>
      </c>
      <c r="J56" t="s">
        <v>83</v>
      </c>
      <c r="K56">
        <v>2009</v>
      </c>
      <c r="L56">
        <v>2009</v>
      </c>
      <c r="M56">
        <v>2.9</v>
      </c>
      <c r="N56">
        <v>7.9820000000000002</v>
      </c>
      <c r="O56">
        <v>240</v>
      </c>
      <c r="P56">
        <v>1.33</v>
      </c>
      <c r="Q56">
        <v>0.60499999999999998</v>
      </c>
      <c r="R56" t="s">
        <v>84</v>
      </c>
      <c r="S56" t="s">
        <v>551</v>
      </c>
      <c r="T56" t="b">
        <v>1</v>
      </c>
      <c r="U56" t="s">
        <v>552</v>
      </c>
      <c r="V56" t="s">
        <v>174</v>
      </c>
      <c r="W56" t="s">
        <v>553</v>
      </c>
      <c r="X56" t="s">
        <v>47</v>
      </c>
      <c r="AA56" t="s">
        <v>554</v>
      </c>
      <c r="AB56" t="s">
        <v>539</v>
      </c>
      <c r="AC56" t="s">
        <v>555</v>
      </c>
      <c r="AD56" t="b">
        <v>0</v>
      </c>
      <c r="AF56">
        <v>5</v>
      </c>
      <c r="AG56" t="s">
        <v>89</v>
      </c>
    </row>
    <row r="57" spans="1:33" x14ac:dyDescent="0.2">
      <c r="A57">
        <v>765</v>
      </c>
      <c r="B57" t="s">
        <v>556</v>
      </c>
      <c r="C57" t="s">
        <v>34</v>
      </c>
      <c r="D57" t="s">
        <v>35</v>
      </c>
      <c r="E57" t="s">
        <v>557</v>
      </c>
      <c r="F57" t="s">
        <v>558</v>
      </c>
      <c r="G57" t="s">
        <v>68</v>
      </c>
      <c r="H57" t="s">
        <v>69</v>
      </c>
      <c r="I57" t="s">
        <v>445</v>
      </c>
      <c r="J57" t="s">
        <v>203</v>
      </c>
      <c r="K57">
        <v>1999</v>
      </c>
      <c r="L57">
        <v>1999</v>
      </c>
      <c r="M57">
        <v>15.9</v>
      </c>
      <c r="N57">
        <v>45.694000000000003</v>
      </c>
      <c r="O57">
        <v>275</v>
      </c>
      <c r="P57">
        <v>6.6</v>
      </c>
      <c r="Q57">
        <v>0.66900000000000004</v>
      </c>
      <c r="R57" t="s">
        <v>72</v>
      </c>
      <c r="S57" t="s">
        <v>559</v>
      </c>
      <c r="T57" t="b">
        <v>1</v>
      </c>
      <c r="U57" t="s">
        <v>560</v>
      </c>
      <c r="V57" t="s">
        <v>561</v>
      </c>
      <c r="W57" t="s">
        <v>562</v>
      </c>
      <c r="X57" t="s">
        <v>47</v>
      </c>
      <c r="AA57" t="s">
        <v>450</v>
      </c>
      <c r="AB57" t="s">
        <v>49</v>
      </c>
      <c r="AC57" t="s">
        <v>451</v>
      </c>
      <c r="AD57" t="b">
        <v>0</v>
      </c>
      <c r="AF57">
        <v>8</v>
      </c>
      <c r="AG57" t="s">
        <v>78</v>
      </c>
    </row>
    <row r="58" spans="1:33" x14ac:dyDescent="0.2">
      <c r="A58">
        <v>21</v>
      </c>
      <c r="B58" t="s">
        <v>563</v>
      </c>
      <c r="C58" t="s">
        <v>34</v>
      </c>
      <c r="D58" t="s">
        <v>35</v>
      </c>
      <c r="E58" t="s">
        <v>404</v>
      </c>
      <c r="F58" t="s">
        <v>405</v>
      </c>
      <c r="G58" t="s">
        <v>503</v>
      </c>
      <c r="H58" t="s">
        <v>462</v>
      </c>
      <c r="I58" t="s">
        <v>564</v>
      </c>
      <c r="J58" t="s">
        <v>515</v>
      </c>
      <c r="K58">
        <v>1958</v>
      </c>
      <c r="L58">
        <v>1958</v>
      </c>
      <c r="M58">
        <v>9.5</v>
      </c>
      <c r="N58">
        <v>56.326999999999998</v>
      </c>
      <c r="O58">
        <v>29</v>
      </c>
      <c r="P58">
        <v>39.97</v>
      </c>
      <c r="Q58">
        <v>6.5000000000000002E-2</v>
      </c>
      <c r="R58" t="s">
        <v>84</v>
      </c>
      <c r="S58" t="s">
        <v>565</v>
      </c>
      <c r="T58" t="b">
        <v>1</v>
      </c>
      <c r="U58" t="s">
        <v>566</v>
      </c>
      <c r="V58" t="s">
        <v>408</v>
      </c>
      <c r="W58" t="s">
        <v>113</v>
      </c>
      <c r="X58" t="s">
        <v>47</v>
      </c>
      <c r="AA58" t="s">
        <v>509</v>
      </c>
      <c r="AB58" t="s">
        <v>567</v>
      </c>
      <c r="AC58" t="s">
        <v>510</v>
      </c>
      <c r="AD58" t="b">
        <v>0</v>
      </c>
      <c r="AF58">
        <v>3</v>
      </c>
      <c r="AG58" t="s">
        <v>332</v>
      </c>
    </row>
    <row r="59" spans="1:33" x14ac:dyDescent="0.2">
      <c r="A59">
        <v>1006</v>
      </c>
      <c r="B59" t="s">
        <v>568</v>
      </c>
      <c r="C59" t="s">
        <v>34</v>
      </c>
      <c r="D59" t="s">
        <v>35</v>
      </c>
      <c r="G59" t="s">
        <v>93</v>
      </c>
      <c r="H59" t="s">
        <v>94</v>
      </c>
      <c r="I59" t="s">
        <v>569</v>
      </c>
      <c r="J59" t="s">
        <v>245</v>
      </c>
      <c r="K59">
        <v>1999</v>
      </c>
      <c r="L59">
        <v>1999</v>
      </c>
      <c r="M59">
        <v>9.8000000000000004E-2</v>
      </c>
      <c r="N59">
        <v>0.216</v>
      </c>
      <c r="R59" t="s">
        <v>72</v>
      </c>
      <c r="S59" t="s">
        <v>570</v>
      </c>
      <c r="T59" t="b">
        <v>1</v>
      </c>
      <c r="U59" t="s">
        <v>571</v>
      </c>
      <c r="V59" t="s">
        <v>274</v>
      </c>
      <c r="W59" t="s">
        <v>572</v>
      </c>
      <c r="X59" t="s">
        <v>47</v>
      </c>
      <c r="AA59" t="s">
        <v>340</v>
      </c>
      <c r="AC59" t="s">
        <v>341</v>
      </c>
      <c r="AD59" t="b">
        <v>0</v>
      </c>
      <c r="AF59">
        <v>8</v>
      </c>
      <c r="AG59" t="s">
        <v>78</v>
      </c>
    </row>
    <row r="60" spans="1:33" x14ac:dyDescent="0.2">
      <c r="A60">
        <v>1802</v>
      </c>
      <c r="B60" t="s">
        <v>573</v>
      </c>
      <c r="C60" t="s">
        <v>574</v>
      </c>
      <c r="D60" t="s">
        <v>575</v>
      </c>
      <c r="E60" t="s">
        <v>576</v>
      </c>
      <c r="F60" t="s">
        <v>577</v>
      </c>
      <c r="G60" t="s">
        <v>503</v>
      </c>
      <c r="H60" t="s">
        <v>462</v>
      </c>
      <c r="I60" t="s">
        <v>578</v>
      </c>
      <c r="J60" t="s">
        <v>308</v>
      </c>
      <c r="K60">
        <v>2015</v>
      </c>
      <c r="L60">
        <v>2015</v>
      </c>
      <c r="M60">
        <v>-0.71</v>
      </c>
      <c r="N60">
        <v>-2.8210000000000002</v>
      </c>
      <c r="P60">
        <v>1.5</v>
      </c>
      <c r="Q60">
        <v>-0.13100000000000001</v>
      </c>
      <c r="R60" t="s">
        <v>84</v>
      </c>
      <c r="S60" t="s">
        <v>579</v>
      </c>
      <c r="T60" t="b">
        <v>1</v>
      </c>
      <c r="U60" t="s">
        <v>580</v>
      </c>
      <c r="V60" t="s">
        <v>581</v>
      </c>
      <c r="W60" t="s">
        <v>582</v>
      </c>
      <c r="X60" t="s">
        <v>47</v>
      </c>
      <c r="AA60" t="s">
        <v>583</v>
      </c>
      <c r="AB60" t="s">
        <v>584</v>
      </c>
      <c r="AC60" t="s">
        <v>585</v>
      </c>
      <c r="AD60" t="b">
        <v>0</v>
      </c>
      <c r="AF60">
        <v>3</v>
      </c>
      <c r="AG60" t="s">
        <v>332</v>
      </c>
    </row>
    <row r="61" spans="1:33" x14ac:dyDescent="0.2">
      <c r="A61">
        <v>22</v>
      </c>
      <c r="B61" t="s">
        <v>586</v>
      </c>
      <c r="C61" t="s">
        <v>34</v>
      </c>
      <c r="D61" t="s">
        <v>35</v>
      </c>
      <c r="E61" t="s">
        <v>587</v>
      </c>
      <c r="F61" t="s">
        <v>588</v>
      </c>
      <c r="G61" t="s">
        <v>483</v>
      </c>
      <c r="H61" t="s">
        <v>109</v>
      </c>
      <c r="I61" t="s">
        <v>589</v>
      </c>
      <c r="J61" t="s">
        <v>227</v>
      </c>
      <c r="K61">
        <v>1977</v>
      </c>
      <c r="L61">
        <v>1977</v>
      </c>
      <c r="M61">
        <v>32.5</v>
      </c>
      <c r="N61">
        <v>165.06299999999999</v>
      </c>
      <c r="O61">
        <v>5</v>
      </c>
      <c r="P61">
        <v>820</v>
      </c>
      <c r="Q61">
        <v>1.0999999999999999E-2</v>
      </c>
      <c r="R61" t="s">
        <v>97</v>
      </c>
      <c r="S61" t="s">
        <v>590</v>
      </c>
      <c r="T61" t="b">
        <v>1</v>
      </c>
      <c r="U61" t="s">
        <v>591</v>
      </c>
      <c r="V61" t="s">
        <v>592</v>
      </c>
      <c r="W61" t="s">
        <v>593</v>
      </c>
      <c r="X61" t="s">
        <v>47</v>
      </c>
      <c r="AA61" t="s">
        <v>340</v>
      </c>
      <c r="AB61" t="s">
        <v>56</v>
      </c>
      <c r="AC61" t="s">
        <v>341</v>
      </c>
      <c r="AD61" t="b">
        <v>0</v>
      </c>
      <c r="AF61">
        <v>1</v>
      </c>
      <c r="AG61" t="s">
        <v>104</v>
      </c>
    </row>
    <row r="62" spans="1:33" x14ac:dyDescent="0.2">
      <c r="A62">
        <v>1917</v>
      </c>
      <c r="B62" t="s">
        <v>594</v>
      </c>
      <c r="C62" t="s">
        <v>34</v>
      </c>
      <c r="D62" t="s">
        <v>35</v>
      </c>
      <c r="E62" t="s">
        <v>595</v>
      </c>
      <c r="F62" t="s">
        <v>596</v>
      </c>
      <c r="G62" t="s">
        <v>68</v>
      </c>
      <c r="H62" t="s">
        <v>69</v>
      </c>
      <c r="I62" t="s">
        <v>597</v>
      </c>
      <c r="J62" t="s">
        <v>83</v>
      </c>
      <c r="K62">
        <v>2017</v>
      </c>
      <c r="L62">
        <v>2017</v>
      </c>
      <c r="M62">
        <v>5.5E-2</v>
      </c>
      <c r="N62">
        <v>0.10100000000000001</v>
      </c>
      <c r="O62">
        <v>93</v>
      </c>
      <c r="P62">
        <v>7.9000000000000001E-2</v>
      </c>
      <c r="Q62">
        <v>0.193</v>
      </c>
      <c r="R62" t="s">
        <v>72</v>
      </c>
      <c r="S62" t="s">
        <v>598</v>
      </c>
      <c r="T62" t="b">
        <v>1</v>
      </c>
      <c r="U62" t="s">
        <v>599</v>
      </c>
      <c r="V62" t="s">
        <v>600</v>
      </c>
      <c r="W62" t="s">
        <v>601</v>
      </c>
      <c r="X62" t="s">
        <v>47</v>
      </c>
      <c r="AA62" t="s">
        <v>602</v>
      </c>
      <c r="AC62" t="s">
        <v>63</v>
      </c>
      <c r="AD62" t="b">
        <v>0</v>
      </c>
      <c r="AF62">
        <v>13</v>
      </c>
      <c r="AG62" t="s">
        <v>155</v>
      </c>
    </row>
    <row r="63" spans="1:33" x14ac:dyDescent="0.2">
      <c r="A63">
        <v>983</v>
      </c>
      <c r="B63" t="s">
        <v>603</v>
      </c>
      <c r="C63" t="s">
        <v>34</v>
      </c>
      <c r="D63" t="s">
        <v>35</v>
      </c>
      <c r="E63" t="s">
        <v>168</v>
      </c>
      <c r="F63" t="s">
        <v>169</v>
      </c>
      <c r="G63" t="s">
        <v>53</v>
      </c>
      <c r="H63" t="s">
        <v>54</v>
      </c>
      <c r="I63" t="s">
        <v>604</v>
      </c>
      <c r="J63" t="s">
        <v>426</v>
      </c>
      <c r="K63">
        <v>2006</v>
      </c>
      <c r="L63">
        <v>2006</v>
      </c>
      <c r="M63">
        <v>0.71</v>
      </c>
      <c r="N63">
        <v>1.7789999999999999</v>
      </c>
      <c r="R63" t="s">
        <v>72</v>
      </c>
      <c r="S63" t="s">
        <v>605</v>
      </c>
      <c r="T63" t="b">
        <v>1</v>
      </c>
      <c r="U63" t="s">
        <v>606</v>
      </c>
      <c r="V63" t="s">
        <v>174</v>
      </c>
      <c r="W63" t="s">
        <v>607</v>
      </c>
      <c r="X63" t="s">
        <v>47</v>
      </c>
      <c r="AA63" t="s">
        <v>608</v>
      </c>
      <c r="AC63" t="s">
        <v>609</v>
      </c>
      <c r="AD63" t="b">
        <v>0</v>
      </c>
      <c r="AF63">
        <v>13</v>
      </c>
      <c r="AG63" t="s">
        <v>155</v>
      </c>
    </row>
    <row r="64" spans="1:33" x14ac:dyDescent="0.2">
      <c r="A64">
        <v>994</v>
      </c>
      <c r="B64" t="s">
        <v>610</v>
      </c>
      <c r="C64" t="s">
        <v>34</v>
      </c>
      <c r="D64" t="s">
        <v>35</v>
      </c>
      <c r="G64" t="s">
        <v>213</v>
      </c>
      <c r="H64" t="s">
        <v>83</v>
      </c>
      <c r="I64" t="s">
        <v>611</v>
      </c>
      <c r="J64" t="s">
        <v>612</v>
      </c>
      <c r="K64">
        <v>1999</v>
      </c>
      <c r="L64">
        <v>1999</v>
      </c>
      <c r="M64">
        <v>0.04</v>
      </c>
      <c r="N64">
        <v>0.216</v>
      </c>
      <c r="O64">
        <v>150</v>
      </c>
      <c r="P64">
        <v>3.5000000000000003E-2</v>
      </c>
      <c r="Q64">
        <v>0.317</v>
      </c>
      <c r="R64" t="s">
        <v>84</v>
      </c>
      <c r="S64" t="s">
        <v>613</v>
      </c>
      <c r="T64" t="b">
        <v>1</v>
      </c>
      <c r="U64" t="s">
        <v>571</v>
      </c>
      <c r="V64" t="s">
        <v>274</v>
      </c>
      <c r="W64" t="s">
        <v>614</v>
      </c>
      <c r="X64" t="s">
        <v>47</v>
      </c>
      <c r="AA64" t="s">
        <v>615</v>
      </c>
      <c r="AC64" t="s">
        <v>616</v>
      </c>
      <c r="AD64" t="b">
        <v>0</v>
      </c>
      <c r="AF64">
        <v>4</v>
      </c>
      <c r="AG64" t="s">
        <v>321</v>
      </c>
    </row>
    <row r="65" spans="1:33" x14ac:dyDescent="0.2">
      <c r="A65">
        <v>23</v>
      </c>
      <c r="B65" t="s">
        <v>617</v>
      </c>
      <c r="C65" t="s">
        <v>34</v>
      </c>
      <c r="D65" t="s">
        <v>35</v>
      </c>
      <c r="E65" t="s">
        <v>404</v>
      </c>
      <c r="F65" t="s">
        <v>405</v>
      </c>
      <c r="G65" t="s">
        <v>312</v>
      </c>
      <c r="H65" t="s">
        <v>313</v>
      </c>
      <c r="I65" t="s">
        <v>618</v>
      </c>
      <c r="J65" t="s">
        <v>227</v>
      </c>
      <c r="K65">
        <v>1974</v>
      </c>
      <c r="L65">
        <v>1974</v>
      </c>
      <c r="M65">
        <v>55</v>
      </c>
      <c r="N65">
        <v>335.76400000000001</v>
      </c>
      <c r="O65">
        <v>84.3</v>
      </c>
      <c r="P65">
        <v>80.180000000000007</v>
      </c>
      <c r="Q65">
        <v>0.19400000000000001</v>
      </c>
      <c r="R65" t="s">
        <v>84</v>
      </c>
      <c r="S65" t="s">
        <v>619</v>
      </c>
      <c r="T65" t="b">
        <v>1</v>
      </c>
      <c r="U65" t="s">
        <v>620</v>
      </c>
      <c r="V65" t="s">
        <v>408</v>
      </c>
      <c r="W65" t="s">
        <v>621</v>
      </c>
      <c r="X65" t="s">
        <v>47</v>
      </c>
      <c r="AA65" t="s">
        <v>622</v>
      </c>
      <c r="AB65" t="s">
        <v>612</v>
      </c>
      <c r="AC65" t="s">
        <v>623</v>
      </c>
      <c r="AD65" t="b">
        <v>0</v>
      </c>
      <c r="AF65">
        <v>4</v>
      </c>
      <c r="AG65" t="s">
        <v>321</v>
      </c>
    </row>
    <row r="66" spans="1:33" x14ac:dyDescent="0.2">
      <c r="A66">
        <v>1626</v>
      </c>
      <c r="B66" t="s">
        <v>624</v>
      </c>
      <c r="C66" t="s">
        <v>34</v>
      </c>
      <c r="D66" t="s">
        <v>35</v>
      </c>
      <c r="E66" t="s">
        <v>625</v>
      </c>
      <c r="F66" t="s">
        <v>626</v>
      </c>
      <c r="G66" t="s">
        <v>213</v>
      </c>
      <c r="H66" t="s">
        <v>83</v>
      </c>
      <c r="I66" t="s">
        <v>627</v>
      </c>
      <c r="J66" t="s">
        <v>54</v>
      </c>
      <c r="K66">
        <v>2011</v>
      </c>
      <c r="L66">
        <v>2011</v>
      </c>
      <c r="M66">
        <v>0.71</v>
      </c>
      <c r="N66">
        <v>2.911</v>
      </c>
      <c r="O66">
        <v>165</v>
      </c>
      <c r="P66">
        <v>0.61</v>
      </c>
      <c r="Q66">
        <v>0.32300000000000001</v>
      </c>
      <c r="R66" t="s">
        <v>84</v>
      </c>
      <c r="S66" t="s">
        <v>628</v>
      </c>
      <c r="T66" t="b">
        <v>1</v>
      </c>
      <c r="U66" t="s">
        <v>629</v>
      </c>
      <c r="V66" t="s">
        <v>630</v>
      </c>
      <c r="W66" t="s">
        <v>631</v>
      </c>
      <c r="X66" t="s">
        <v>47</v>
      </c>
      <c r="AA66" t="s">
        <v>114</v>
      </c>
      <c r="AC66" t="s">
        <v>63</v>
      </c>
      <c r="AD66" t="b">
        <v>0</v>
      </c>
      <c r="AF66">
        <v>5</v>
      </c>
      <c r="AG66" t="s">
        <v>89</v>
      </c>
    </row>
    <row r="67" spans="1:33" x14ac:dyDescent="0.2">
      <c r="A67">
        <v>1011</v>
      </c>
      <c r="B67" t="s">
        <v>632</v>
      </c>
      <c r="C67" t="s">
        <v>34</v>
      </c>
      <c r="D67" t="s">
        <v>35</v>
      </c>
      <c r="E67" t="s">
        <v>633</v>
      </c>
      <c r="F67" t="s">
        <v>634</v>
      </c>
      <c r="G67" t="s">
        <v>213</v>
      </c>
      <c r="H67" t="s">
        <v>83</v>
      </c>
      <c r="I67" t="s">
        <v>635</v>
      </c>
      <c r="J67" t="s">
        <v>94</v>
      </c>
      <c r="K67">
        <v>2004</v>
      </c>
      <c r="L67">
        <v>2004</v>
      </c>
      <c r="M67">
        <v>0.65</v>
      </c>
      <c r="N67">
        <v>1.7150000000000001</v>
      </c>
      <c r="R67" t="s">
        <v>84</v>
      </c>
      <c r="S67" t="s">
        <v>636</v>
      </c>
      <c r="T67" t="b">
        <v>1</v>
      </c>
      <c r="U67" t="s">
        <v>637</v>
      </c>
      <c r="V67" t="s">
        <v>638</v>
      </c>
      <c r="W67" t="s">
        <v>639</v>
      </c>
      <c r="X67" t="s">
        <v>47</v>
      </c>
      <c r="AA67" t="s">
        <v>114</v>
      </c>
      <c r="AC67" t="s">
        <v>63</v>
      </c>
      <c r="AD67" t="b">
        <v>0</v>
      </c>
      <c r="AF67">
        <v>3</v>
      </c>
      <c r="AG67" t="s">
        <v>332</v>
      </c>
    </row>
    <row r="68" spans="1:33" x14ac:dyDescent="0.2">
      <c r="A68">
        <v>24</v>
      </c>
      <c r="B68" t="s">
        <v>640</v>
      </c>
      <c r="C68" t="s">
        <v>34</v>
      </c>
      <c r="D68" t="s">
        <v>35</v>
      </c>
      <c r="E68" t="s">
        <v>36</v>
      </c>
      <c r="F68" t="s">
        <v>37</v>
      </c>
      <c r="G68" t="s">
        <v>134</v>
      </c>
      <c r="H68" t="s">
        <v>135</v>
      </c>
      <c r="I68" t="s">
        <v>641</v>
      </c>
      <c r="J68" t="s">
        <v>109</v>
      </c>
      <c r="K68">
        <v>1972</v>
      </c>
      <c r="L68">
        <v>1972</v>
      </c>
      <c r="M68">
        <v>20</v>
      </c>
      <c r="N68">
        <v>141.566</v>
      </c>
      <c r="O68">
        <v>357</v>
      </c>
      <c r="P68">
        <v>6.59</v>
      </c>
      <c r="Q68">
        <v>0.84199999999999997</v>
      </c>
      <c r="R68" t="s">
        <v>42</v>
      </c>
      <c r="S68" t="s">
        <v>642</v>
      </c>
      <c r="T68" t="b">
        <v>1</v>
      </c>
      <c r="U68" t="s">
        <v>643</v>
      </c>
      <c r="V68" t="s">
        <v>45</v>
      </c>
      <c r="W68" t="s">
        <v>644</v>
      </c>
      <c r="X68" t="s">
        <v>47</v>
      </c>
      <c r="AA68" t="s">
        <v>645</v>
      </c>
      <c r="AB68" t="s">
        <v>49</v>
      </c>
      <c r="AC68" t="s">
        <v>646</v>
      </c>
      <c r="AD68" t="b">
        <v>0</v>
      </c>
      <c r="AF68">
        <v>10</v>
      </c>
      <c r="AG68" t="s">
        <v>143</v>
      </c>
    </row>
    <row r="69" spans="1:33" x14ac:dyDescent="0.2">
      <c r="A69">
        <v>898</v>
      </c>
      <c r="B69" t="s">
        <v>647</v>
      </c>
      <c r="C69" t="s">
        <v>34</v>
      </c>
      <c r="D69" t="s">
        <v>35</v>
      </c>
      <c r="E69" t="s">
        <v>648</v>
      </c>
      <c r="F69" t="s">
        <v>649</v>
      </c>
      <c r="G69" t="s">
        <v>213</v>
      </c>
      <c r="H69" t="s">
        <v>83</v>
      </c>
      <c r="I69" t="s">
        <v>214</v>
      </c>
      <c r="J69" t="s">
        <v>215</v>
      </c>
      <c r="K69">
        <v>2004</v>
      </c>
      <c r="L69">
        <v>2004</v>
      </c>
      <c r="M69">
        <v>9.9000000000000005E-2</v>
      </c>
      <c r="N69">
        <v>0.45900000000000002</v>
      </c>
      <c r="R69" t="s">
        <v>84</v>
      </c>
      <c r="S69" t="s">
        <v>650</v>
      </c>
      <c r="T69" t="b">
        <v>1</v>
      </c>
      <c r="U69" t="s">
        <v>651</v>
      </c>
      <c r="V69" t="s">
        <v>652</v>
      </c>
      <c r="W69" t="s">
        <v>653</v>
      </c>
      <c r="X69" t="s">
        <v>47</v>
      </c>
      <c r="AA69" t="s">
        <v>654</v>
      </c>
      <c r="AC69" t="s">
        <v>63</v>
      </c>
      <c r="AD69" t="b">
        <v>0</v>
      </c>
      <c r="AF69">
        <v>5</v>
      </c>
      <c r="AG69" t="s">
        <v>89</v>
      </c>
    </row>
    <row r="70" spans="1:33" x14ac:dyDescent="0.2">
      <c r="A70">
        <v>1498</v>
      </c>
      <c r="B70" t="s">
        <v>655</v>
      </c>
      <c r="C70" t="s">
        <v>34</v>
      </c>
      <c r="D70" t="s">
        <v>35</v>
      </c>
      <c r="E70" t="s">
        <v>648</v>
      </c>
      <c r="F70" t="s">
        <v>649</v>
      </c>
      <c r="G70" t="s">
        <v>213</v>
      </c>
      <c r="H70" t="s">
        <v>83</v>
      </c>
      <c r="I70" t="s">
        <v>214</v>
      </c>
      <c r="J70" t="s">
        <v>215</v>
      </c>
      <c r="K70">
        <v>2009</v>
      </c>
      <c r="L70">
        <v>2009</v>
      </c>
      <c r="M70">
        <v>0.14000000000000001</v>
      </c>
      <c r="N70">
        <v>0.42099999999999999</v>
      </c>
      <c r="R70" t="s">
        <v>84</v>
      </c>
      <c r="S70" t="s">
        <v>650</v>
      </c>
      <c r="T70" t="b">
        <v>1</v>
      </c>
      <c r="U70" t="s">
        <v>656</v>
      </c>
      <c r="V70" t="s">
        <v>652</v>
      </c>
      <c r="W70" t="s">
        <v>657</v>
      </c>
      <c r="X70" t="s">
        <v>47</v>
      </c>
      <c r="AA70" t="s">
        <v>654</v>
      </c>
      <c r="AC70" t="s">
        <v>63</v>
      </c>
      <c r="AD70" t="b">
        <v>0</v>
      </c>
      <c r="AF70">
        <v>5</v>
      </c>
      <c r="AG70" t="s">
        <v>89</v>
      </c>
    </row>
    <row r="71" spans="1:33" x14ac:dyDescent="0.2">
      <c r="A71">
        <v>25</v>
      </c>
      <c r="B71" t="s">
        <v>658</v>
      </c>
      <c r="C71" t="s">
        <v>34</v>
      </c>
      <c r="D71" t="s">
        <v>35</v>
      </c>
      <c r="E71" t="s">
        <v>91</v>
      </c>
      <c r="F71" t="s">
        <v>92</v>
      </c>
      <c r="G71" t="s">
        <v>503</v>
      </c>
      <c r="H71" t="s">
        <v>462</v>
      </c>
      <c r="I71" t="s">
        <v>659</v>
      </c>
      <c r="J71" t="s">
        <v>41</v>
      </c>
      <c r="K71">
        <v>1960</v>
      </c>
      <c r="L71">
        <v>1960</v>
      </c>
      <c r="M71">
        <v>2.9</v>
      </c>
      <c r="N71">
        <v>9.032</v>
      </c>
      <c r="O71">
        <v>56.5</v>
      </c>
      <c r="P71">
        <v>9.3000000000000007</v>
      </c>
      <c r="Q71">
        <v>8.6999999999999994E-2</v>
      </c>
      <c r="R71" t="s">
        <v>84</v>
      </c>
      <c r="S71" t="s">
        <v>660</v>
      </c>
      <c r="T71" t="b">
        <v>1</v>
      </c>
      <c r="U71" t="s">
        <v>661</v>
      </c>
      <c r="V71" t="s">
        <v>100</v>
      </c>
      <c r="W71" t="s">
        <v>662</v>
      </c>
      <c r="X71" t="s">
        <v>47</v>
      </c>
      <c r="AA71" t="s">
        <v>583</v>
      </c>
      <c r="AB71" t="s">
        <v>663</v>
      </c>
      <c r="AC71" t="s">
        <v>585</v>
      </c>
      <c r="AD71" t="b">
        <v>0</v>
      </c>
      <c r="AF71">
        <v>3</v>
      </c>
      <c r="AG71" t="s">
        <v>332</v>
      </c>
    </row>
    <row r="72" spans="1:33" x14ac:dyDescent="0.2">
      <c r="A72">
        <v>881</v>
      </c>
      <c r="B72" t="s">
        <v>664</v>
      </c>
      <c r="C72" t="s">
        <v>34</v>
      </c>
      <c r="D72" t="s">
        <v>35</v>
      </c>
      <c r="E72" t="s">
        <v>665</v>
      </c>
      <c r="F72" t="s">
        <v>666</v>
      </c>
      <c r="G72" t="s">
        <v>503</v>
      </c>
      <c r="H72" t="s">
        <v>462</v>
      </c>
      <c r="I72" t="s">
        <v>659</v>
      </c>
      <c r="J72" t="s">
        <v>41</v>
      </c>
      <c r="K72">
        <v>2005</v>
      </c>
      <c r="L72">
        <v>2005</v>
      </c>
      <c r="M72">
        <v>0.13200000000000001</v>
      </c>
      <c r="N72">
        <v>0.31</v>
      </c>
      <c r="O72">
        <v>25</v>
      </c>
      <c r="P72">
        <v>0.7</v>
      </c>
      <c r="Q72">
        <v>5.1999999999999998E-2</v>
      </c>
      <c r="R72" t="s">
        <v>84</v>
      </c>
      <c r="S72" t="s">
        <v>667</v>
      </c>
      <c r="T72" t="b">
        <v>1</v>
      </c>
      <c r="U72" t="s">
        <v>668</v>
      </c>
      <c r="V72" t="s">
        <v>669</v>
      </c>
      <c r="W72" t="s">
        <v>670</v>
      </c>
      <c r="X72" t="s">
        <v>47</v>
      </c>
      <c r="AA72" t="s">
        <v>583</v>
      </c>
      <c r="AC72" t="s">
        <v>585</v>
      </c>
      <c r="AD72" t="b">
        <v>0</v>
      </c>
      <c r="AF72">
        <v>3</v>
      </c>
      <c r="AG72" t="s">
        <v>332</v>
      </c>
    </row>
    <row r="73" spans="1:33" x14ac:dyDescent="0.2">
      <c r="A73">
        <v>1260</v>
      </c>
      <c r="B73" t="s">
        <v>671</v>
      </c>
      <c r="C73" t="s">
        <v>34</v>
      </c>
      <c r="D73" t="s">
        <v>35</v>
      </c>
      <c r="G73" t="s">
        <v>503</v>
      </c>
      <c r="H73" t="s">
        <v>462</v>
      </c>
      <c r="I73" t="s">
        <v>504</v>
      </c>
      <c r="J73" t="s">
        <v>109</v>
      </c>
      <c r="K73">
        <v>2005</v>
      </c>
      <c r="L73">
        <v>2005</v>
      </c>
      <c r="M73">
        <v>2.8000000000000001E-2</v>
      </c>
      <c r="N73">
        <v>0.18099999999999999</v>
      </c>
      <c r="R73" t="s">
        <v>84</v>
      </c>
      <c r="S73" t="s">
        <v>672</v>
      </c>
      <c r="T73" t="b">
        <v>1</v>
      </c>
      <c r="U73" t="s">
        <v>237</v>
      </c>
      <c r="V73" t="s">
        <v>274</v>
      </c>
      <c r="W73" t="s">
        <v>673</v>
      </c>
      <c r="X73" t="s">
        <v>47</v>
      </c>
      <c r="AA73" t="s">
        <v>509</v>
      </c>
      <c r="AC73" t="s">
        <v>63</v>
      </c>
      <c r="AD73" t="b">
        <v>0</v>
      </c>
      <c r="AF73">
        <v>3</v>
      </c>
      <c r="AG73" t="s">
        <v>332</v>
      </c>
    </row>
    <row r="74" spans="1:33" x14ac:dyDescent="0.2">
      <c r="A74">
        <v>26</v>
      </c>
      <c r="B74" t="s">
        <v>674</v>
      </c>
      <c r="C74" t="s">
        <v>34</v>
      </c>
      <c r="D74" t="s">
        <v>35</v>
      </c>
      <c r="E74" t="s">
        <v>36</v>
      </c>
      <c r="F74" t="s">
        <v>37</v>
      </c>
      <c r="G74" t="s">
        <v>53</v>
      </c>
      <c r="H74" t="s">
        <v>54</v>
      </c>
      <c r="I74" t="s">
        <v>675</v>
      </c>
      <c r="J74" t="s">
        <v>676</v>
      </c>
      <c r="K74">
        <v>1918</v>
      </c>
      <c r="L74">
        <v>2003</v>
      </c>
      <c r="M74">
        <v>99.2</v>
      </c>
      <c r="N74">
        <v>457.05599999999998</v>
      </c>
      <c r="O74">
        <v>870</v>
      </c>
      <c r="P74">
        <v>13</v>
      </c>
      <c r="Q74">
        <v>2.11</v>
      </c>
      <c r="R74" t="s">
        <v>57</v>
      </c>
      <c r="S74" t="s">
        <v>677</v>
      </c>
      <c r="T74" t="b">
        <v>1</v>
      </c>
      <c r="U74" t="s">
        <v>678</v>
      </c>
      <c r="V74" t="s">
        <v>45</v>
      </c>
      <c r="W74" t="s">
        <v>679</v>
      </c>
      <c r="X74" t="s">
        <v>47</v>
      </c>
      <c r="AA74" t="s">
        <v>674</v>
      </c>
      <c r="AB74" t="s">
        <v>49</v>
      </c>
      <c r="AC74" t="s">
        <v>680</v>
      </c>
      <c r="AD74" t="b">
        <v>0</v>
      </c>
      <c r="AF74">
        <v>6</v>
      </c>
      <c r="AG74" t="s">
        <v>64</v>
      </c>
    </row>
    <row r="75" spans="1:33" x14ac:dyDescent="0.2">
      <c r="A75">
        <v>27</v>
      </c>
      <c r="B75" t="s">
        <v>681</v>
      </c>
      <c r="C75" t="s">
        <v>34</v>
      </c>
      <c r="D75" t="s">
        <v>35</v>
      </c>
      <c r="E75" t="s">
        <v>682</v>
      </c>
      <c r="F75" t="s">
        <v>683</v>
      </c>
      <c r="G75" t="s">
        <v>68</v>
      </c>
      <c r="H75" t="s">
        <v>69</v>
      </c>
      <c r="I75" t="s">
        <v>70</v>
      </c>
      <c r="J75" t="s">
        <v>71</v>
      </c>
      <c r="K75">
        <v>1931</v>
      </c>
      <c r="L75">
        <v>1931</v>
      </c>
      <c r="M75">
        <v>4.3</v>
      </c>
      <c r="N75">
        <v>29.81</v>
      </c>
      <c r="O75">
        <v>291</v>
      </c>
      <c r="P75">
        <v>1.9</v>
      </c>
      <c r="Q75">
        <v>0.629</v>
      </c>
      <c r="R75" t="s">
        <v>72</v>
      </c>
      <c r="S75" t="s">
        <v>684</v>
      </c>
      <c r="T75" t="b">
        <v>1</v>
      </c>
      <c r="U75" t="s">
        <v>685</v>
      </c>
      <c r="V75" t="s">
        <v>686</v>
      </c>
      <c r="W75" t="s">
        <v>687</v>
      </c>
      <c r="X75" t="s">
        <v>47</v>
      </c>
      <c r="AA75" t="s">
        <v>688</v>
      </c>
      <c r="AB75" t="s">
        <v>177</v>
      </c>
      <c r="AC75" t="s">
        <v>689</v>
      </c>
      <c r="AD75" t="b">
        <v>0</v>
      </c>
      <c r="AF75">
        <v>8</v>
      </c>
      <c r="AG75" t="s">
        <v>78</v>
      </c>
    </row>
    <row r="76" spans="1:33" x14ac:dyDescent="0.2">
      <c r="A76">
        <v>2002</v>
      </c>
      <c r="B76" t="s">
        <v>690</v>
      </c>
      <c r="C76" t="s">
        <v>34</v>
      </c>
      <c r="D76" t="s">
        <v>35</v>
      </c>
      <c r="E76" t="s">
        <v>180</v>
      </c>
      <c r="F76" t="s">
        <v>181</v>
      </c>
      <c r="G76" t="s">
        <v>377</v>
      </c>
      <c r="H76" t="s">
        <v>378</v>
      </c>
      <c r="I76" t="s">
        <v>691</v>
      </c>
      <c r="J76" t="s">
        <v>262</v>
      </c>
      <c r="K76">
        <v>2020</v>
      </c>
      <c r="L76">
        <v>2020</v>
      </c>
      <c r="M76">
        <v>2.42</v>
      </c>
      <c r="N76">
        <v>7.508</v>
      </c>
      <c r="O76">
        <v>232.3</v>
      </c>
      <c r="P76">
        <v>1.23</v>
      </c>
      <c r="Q76">
        <v>0.54700000000000004</v>
      </c>
      <c r="R76" t="s">
        <v>42</v>
      </c>
      <c r="S76" t="s">
        <v>692</v>
      </c>
      <c r="T76" t="b">
        <v>1</v>
      </c>
      <c r="U76" t="s">
        <v>693</v>
      </c>
      <c r="V76" t="s">
        <v>429</v>
      </c>
      <c r="W76" t="s">
        <v>694</v>
      </c>
      <c r="X76" t="s">
        <v>47</v>
      </c>
      <c r="AA76" t="s">
        <v>690</v>
      </c>
      <c r="AC76" t="s">
        <v>63</v>
      </c>
      <c r="AD76" t="b">
        <v>0</v>
      </c>
      <c r="AF76">
        <v>11</v>
      </c>
      <c r="AG76" t="s">
        <v>198</v>
      </c>
    </row>
    <row r="77" spans="1:33" x14ac:dyDescent="0.2">
      <c r="A77">
        <v>1540</v>
      </c>
      <c r="B77" t="s">
        <v>695</v>
      </c>
      <c r="C77" t="s">
        <v>34</v>
      </c>
      <c r="D77" t="s">
        <v>35</v>
      </c>
      <c r="E77" t="s">
        <v>696</v>
      </c>
      <c r="F77" t="s">
        <v>697</v>
      </c>
      <c r="G77" t="s">
        <v>53</v>
      </c>
      <c r="H77" t="s">
        <v>54</v>
      </c>
      <c r="I77" t="s">
        <v>82</v>
      </c>
      <c r="J77" t="s">
        <v>83</v>
      </c>
      <c r="K77">
        <v>2009</v>
      </c>
      <c r="L77">
        <v>2009</v>
      </c>
      <c r="M77">
        <v>0.6</v>
      </c>
      <c r="N77">
        <v>1.8919999999999999</v>
      </c>
      <c r="O77">
        <v>348.5</v>
      </c>
      <c r="P77">
        <v>0.2</v>
      </c>
      <c r="R77" t="s">
        <v>84</v>
      </c>
      <c r="S77" t="s">
        <v>698</v>
      </c>
      <c r="T77" t="b">
        <v>1</v>
      </c>
      <c r="U77" t="s">
        <v>699</v>
      </c>
      <c r="V77" t="s">
        <v>700</v>
      </c>
      <c r="W77" t="s">
        <v>701</v>
      </c>
      <c r="X77" t="s">
        <v>47</v>
      </c>
      <c r="AA77" t="s">
        <v>702</v>
      </c>
      <c r="AC77" t="s">
        <v>63</v>
      </c>
      <c r="AD77" t="b">
        <v>0</v>
      </c>
      <c r="AF77">
        <v>5</v>
      </c>
      <c r="AG77" t="s">
        <v>89</v>
      </c>
    </row>
    <row r="78" spans="1:33" x14ac:dyDescent="0.2">
      <c r="A78">
        <v>814</v>
      </c>
      <c r="B78" t="s">
        <v>703</v>
      </c>
      <c r="C78" t="s">
        <v>34</v>
      </c>
      <c r="D78" t="s">
        <v>35</v>
      </c>
      <c r="E78" t="s">
        <v>168</v>
      </c>
      <c r="F78" t="s">
        <v>169</v>
      </c>
      <c r="G78" t="s">
        <v>312</v>
      </c>
      <c r="H78" t="s">
        <v>313</v>
      </c>
      <c r="I78" t="s">
        <v>704</v>
      </c>
      <c r="J78" t="s">
        <v>56</v>
      </c>
      <c r="K78">
        <v>2004</v>
      </c>
      <c r="L78">
        <v>2004</v>
      </c>
      <c r="M78">
        <v>5.4950000000000001</v>
      </c>
      <c r="N78">
        <v>15.693</v>
      </c>
      <c r="O78">
        <v>295</v>
      </c>
      <c r="P78">
        <v>2.2999999999999998</v>
      </c>
      <c r="Q78">
        <v>0.66300000000000003</v>
      </c>
      <c r="R78" t="s">
        <v>84</v>
      </c>
      <c r="S78" t="s">
        <v>705</v>
      </c>
      <c r="T78" t="b">
        <v>1</v>
      </c>
      <c r="U78" t="s">
        <v>706</v>
      </c>
      <c r="V78" t="s">
        <v>174</v>
      </c>
      <c r="W78" t="s">
        <v>707</v>
      </c>
      <c r="X78" t="s">
        <v>47</v>
      </c>
      <c r="AA78" t="s">
        <v>319</v>
      </c>
      <c r="AB78" t="s">
        <v>676</v>
      </c>
      <c r="AC78" t="s">
        <v>320</v>
      </c>
      <c r="AD78" t="b">
        <v>0</v>
      </c>
      <c r="AF78">
        <v>4</v>
      </c>
      <c r="AG78" t="s">
        <v>321</v>
      </c>
    </row>
    <row r="79" spans="1:33" x14ac:dyDescent="0.2">
      <c r="A79">
        <v>1250</v>
      </c>
      <c r="B79" t="s">
        <v>708</v>
      </c>
      <c r="C79" t="s">
        <v>34</v>
      </c>
      <c r="D79" t="s">
        <v>35</v>
      </c>
      <c r="E79" t="s">
        <v>709</v>
      </c>
      <c r="F79" t="s">
        <v>710</v>
      </c>
      <c r="G79" t="s">
        <v>213</v>
      </c>
      <c r="H79" t="s">
        <v>83</v>
      </c>
      <c r="I79" t="s">
        <v>711</v>
      </c>
      <c r="J79" t="s">
        <v>515</v>
      </c>
      <c r="K79">
        <v>2006</v>
      </c>
      <c r="L79">
        <v>2006</v>
      </c>
      <c r="M79">
        <v>0.9</v>
      </c>
      <c r="N79">
        <v>3.802</v>
      </c>
      <c r="O79">
        <v>176</v>
      </c>
      <c r="R79" t="s">
        <v>84</v>
      </c>
      <c r="S79" t="s">
        <v>712</v>
      </c>
      <c r="T79" t="b">
        <v>1</v>
      </c>
      <c r="U79" t="s">
        <v>713</v>
      </c>
      <c r="V79" t="s">
        <v>714</v>
      </c>
      <c r="W79" t="s">
        <v>715</v>
      </c>
      <c r="X79" t="s">
        <v>47</v>
      </c>
      <c r="AA79" t="s">
        <v>716</v>
      </c>
      <c r="AC79" t="s">
        <v>717</v>
      </c>
      <c r="AD79" t="b">
        <v>0</v>
      </c>
      <c r="AF79">
        <v>4</v>
      </c>
      <c r="AG79" t="s">
        <v>321</v>
      </c>
    </row>
    <row r="80" spans="1:33" x14ac:dyDescent="0.2">
      <c r="A80">
        <v>28</v>
      </c>
      <c r="B80" t="s">
        <v>718</v>
      </c>
      <c r="C80" t="s">
        <v>34</v>
      </c>
      <c r="D80" t="s">
        <v>35</v>
      </c>
      <c r="E80" t="s">
        <v>719</v>
      </c>
      <c r="F80" t="s">
        <v>720</v>
      </c>
      <c r="G80" t="s">
        <v>134</v>
      </c>
      <c r="H80" t="s">
        <v>135</v>
      </c>
      <c r="I80" t="s">
        <v>191</v>
      </c>
      <c r="J80" t="s">
        <v>192</v>
      </c>
      <c r="K80">
        <v>1921</v>
      </c>
      <c r="L80">
        <v>1987</v>
      </c>
      <c r="M80">
        <v>3.68</v>
      </c>
      <c r="N80">
        <v>17.811</v>
      </c>
      <c r="O80">
        <v>82.5</v>
      </c>
      <c r="P80">
        <v>6.2</v>
      </c>
      <c r="Q80">
        <v>0.17499999999999999</v>
      </c>
      <c r="R80" t="s">
        <v>42</v>
      </c>
      <c r="S80" t="s">
        <v>721</v>
      </c>
      <c r="T80" t="b">
        <v>1</v>
      </c>
      <c r="U80" t="s">
        <v>722</v>
      </c>
      <c r="V80" t="s">
        <v>723</v>
      </c>
      <c r="W80" t="s">
        <v>724</v>
      </c>
      <c r="X80" t="s">
        <v>47</v>
      </c>
      <c r="AA80" t="s">
        <v>725</v>
      </c>
      <c r="AB80" t="s">
        <v>83</v>
      </c>
      <c r="AC80" t="s">
        <v>726</v>
      </c>
      <c r="AD80" t="b">
        <v>0</v>
      </c>
      <c r="AF80">
        <v>11</v>
      </c>
      <c r="AG80" t="s">
        <v>198</v>
      </c>
    </row>
    <row r="81" spans="1:33" x14ac:dyDescent="0.2">
      <c r="A81">
        <v>1367</v>
      </c>
      <c r="B81" t="s">
        <v>727</v>
      </c>
      <c r="C81" t="s">
        <v>34</v>
      </c>
      <c r="D81" t="s">
        <v>35</v>
      </c>
      <c r="E81" t="s">
        <v>728</v>
      </c>
      <c r="F81" t="s">
        <v>729</v>
      </c>
      <c r="G81" t="s">
        <v>53</v>
      </c>
      <c r="H81" t="s">
        <v>54</v>
      </c>
      <c r="I81" t="s">
        <v>730</v>
      </c>
      <c r="J81" t="s">
        <v>731</v>
      </c>
      <c r="K81">
        <v>2006</v>
      </c>
      <c r="L81">
        <v>2006</v>
      </c>
      <c r="M81">
        <v>4.95</v>
      </c>
      <c r="N81">
        <v>23.997</v>
      </c>
      <c r="O81">
        <v>101.6</v>
      </c>
      <c r="P81">
        <v>5.5</v>
      </c>
      <c r="Q81">
        <v>0.25</v>
      </c>
      <c r="R81" t="s">
        <v>72</v>
      </c>
      <c r="S81" t="s">
        <v>732</v>
      </c>
      <c r="T81" t="b">
        <v>1</v>
      </c>
      <c r="U81" t="s">
        <v>733</v>
      </c>
      <c r="V81" t="s">
        <v>734</v>
      </c>
      <c r="W81" t="s">
        <v>735</v>
      </c>
      <c r="X81" t="s">
        <v>47</v>
      </c>
      <c r="AA81" t="s">
        <v>736</v>
      </c>
      <c r="AB81" t="s">
        <v>177</v>
      </c>
      <c r="AC81" t="s">
        <v>737</v>
      </c>
      <c r="AD81" t="b">
        <v>0</v>
      </c>
      <c r="AF81">
        <v>13</v>
      </c>
      <c r="AG81" t="s">
        <v>155</v>
      </c>
    </row>
    <row r="82" spans="1:33" x14ac:dyDescent="0.2">
      <c r="A82">
        <v>2070</v>
      </c>
      <c r="B82" t="s">
        <v>727</v>
      </c>
      <c r="C82" t="s">
        <v>34</v>
      </c>
      <c r="D82" t="s">
        <v>35</v>
      </c>
      <c r="E82" t="s">
        <v>501</v>
      </c>
      <c r="F82" t="s">
        <v>502</v>
      </c>
      <c r="G82" t="s">
        <v>53</v>
      </c>
      <c r="H82" t="s">
        <v>54</v>
      </c>
      <c r="I82" t="s">
        <v>55</v>
      </c>
      <c r="J82" t="s">
        <v>56</v>
      </c>
      <c r="K82">
        <v>2021</v>
      </c>
      <c r="L82">
        <v>2021</v>
      </c>
      <c r="M82">
        <v>2.2999999999999998</v>
      </c>
      <c r="N82">
        <v>6.6280000000000001</v>
      </c>
      <c r="O82">
        <v>167.07</v>
      </c>
      <c r="P82">
        <v>1.6</v>
      </c>
      <c r="Q82">
        <v>0.39900000000000002</v>
      </c>
      <c r="R82" t="s">
        <v>57</v>
      </c>
      <c r="S82" t="s">
        <v>738</v>
      </c>
      <c r="T82" t="b">
        <v>1</v>
      </c>
      <c r="U82" t="s">
        <v>739</v>
      </c>
      <c r="V82" t="s">
        <v>507</v>
      </c>
      <c r="W82" t="s">
        <v>740</v>
      </c>
      <c r="X82" t="s">
        <v>47</v>
      </c>
      <c r="AA82" t="s">
        <v>741</v>
      </c>
      <c r="AC82" t="s">
        <v>742</v>
      </c>
      <c r="AD82" t="b">
        <v>0</v>
      </c>
      <c r="AF82">
        <v>6</v>
      </c>
      <c r="AG82" t="s">
        <v>64</v>
      </c>
    </row>
    <row r="83" spans="1:33" x14ac:dyDescent="0.2">
      <c r="A83">
        <v>1242</v>
      </c>
      <c r="B83" t="s">
        <v>743</v>
      </c>
      <c r="C83" t="s">
        <v>34</v>
      </c>
      <c r="D83" t="s">
        <v>35</v>
      </c>
      <c r="E83" t="s">
        <v>744</v>
      </c>
      <c r="F83" t="s">
        <v>745</v>
      </c>
      <c r="G83" t="s">
        <v>53</v>
      </c>
      <c r="H83" t="s">
        <v>54</v>
      </c>
      <c r="I83" t="s">
        <v>147</v>
      </c>
      <c r="J83" t="s">
        <v>148</v>
      </c>
      <c r="K83">
        <v>2006</v>
      </c>
      <c r="L83">
        <v>2006</v>
      </c>
      <c r="M83">
        <v>5.3</v>
      </c>
      <c r="N83">
        <v>18.105</v>
      </c>
      <c r="O83">
        <v>327</v>
      </c>
      <c r="P83">
        <v>1.92</v>
      </c>
      <c r="Q83">
        <v>0.752</v>
      </c>
      <c r="R83" t="s">
        <v>72</v>
      </c>
      <c r="S83" t="s">
        <v>746</v>
      </c>
      <c r="T83" t="b">
        <v>1</v>
      </c>
      <c r="U83" t="s">
        <v>733</v>
      </c>
      <c r="V83" t="s">
        <v>747</v>
      </c>
      <c r="W83" t="s">
        <v>748</v>
      </c>
      <c r="X83" t="s">
        <v>47</v>
      </c>
      <c r="AA83" t="s">
        <v>153</v>
      </c>
      <c r="AB83" t="s">
        <v>676</v>
      </c>
      <c r="AC83" t="s">
        <v>154</v>
      </c>
      <c r="AD83" t="b">
        <v>0</v>
      </c>
      <c r="AF83">
        <v>13</v>
      </c>
      <c r="AG83" t="s">
        <v>155</v>
      </c>
    </row>
    <row r="84" spans="1:33" x14ac:dyDescent="0.2">
      <c r="A84">
        <v>1166</v>
      </c>
      <c r="B84" t="s">
        <v>749</v>
      </c>
      <c r="C84" t="s">
        <v>34</v>
      </c>
      <c r="D84" t="s">
        <v>35</v>
      </c>
      <c r="E84" t="s">
        <v>750</v>
      </c>
      <c r="F84" t="s">
        <v>751</v>
      </c>
      <c r="G84" t="s">
        <v>93</v>
      </c>
      <c r="H84" t="s">
        <v>94</v>
      </c>
      <c r="I84" t="s">
        <v>752</v>
      </c>
      <c r="J84" t="s">
        <v>135</v>
      </c>
      <c r="K84">
        <v>2000</v>
      </c>
      <c r="L84">
        <v>2000</v>
      </c>
      <c r="M84">
        <v>0.09</v>
      </c>
      <c r="N84">
        <v>0.34399999999999997</v>
      </c>
      <c r="O84">
        <v>8</v>
      </c>
      <c r="R84" t="s">
        <v>97</v>
      </c>
      <c r="S84" t="s">
        <v>753</v>
      </c>
      <c r="T84" t="b">
        <v>1</v>
      </c>
      <c r="U84" t="s">
        <v>754</v>
      </c>
      <c r="V84" t="s">
        <v>755</v>
      </c>
      <c r="W84" t="s">
        <v>113</v>
      </c>
      <c r="X84" t="s">
        <v>47</v>
      </c>
      <c r="AA84" t="s">
        <v>340</v>
      </c>
      <c r="AC84" t="s">
        <v>341</v>
      </c>
      <c r="AD84" t="b">
        <v>0</v>
      </c>
      <c r="AF84">
        <v>1</v>
      </c>
      <c r="AG84" t="s">
        <v>104</v>
      </c>
    </row>
    <row r="85" spans="1:33" x14ac:dyDescent="0.2">
      <c r="A85">
        <v>2136</v>
      </c>
      <c r="B85" t="s">
        <v>756</v>
      </c>
      <c r="C85" t="s">
        <v>34</v>
      </c>
      <c r="D85" t="s">
        <v>35</v>
      </c>
      <c r="E85" t="s">
        <v>757</v>
      </c>
      <c r="F85" t="s">
        <v>758</v>
      </c>
      <c r="G85" t="s">
        <v>503</v>
      </c>
      <c r="H85" t="s">
        <v>462</v>
      </c>
      <c r="I85" t="s">
        <v>504</v>
      </c>
      <c r="J85" t="s">
        <v>109</v>
      </c>
      <c r="K85">
        <v>2025</v>
      </c>
      <c r="L85">
        <v>2025</v>
      </c>
      <c r="M85">
        <v>2.012</v>
      </c>
      <c r="N85">
        <v>4.5</v>
      </c>
      <c r="O85">
        <v>334.45</v>
      </c>
      <c r="P85">
        <v>0.74299999999999999</v>
      </c>
      <c r="Q85">
        <v>0.752</v>
      </c>
      <c r="R85" t="s">
        <v>84</v>
      </c>
      <c r="S85" t="s">
        <v>759</v>
      </c>
      <c r="T85" t="b">
        <v>1</v>
      </c>
      <c r="U85" t="s">
        <v>760</v>
      </c>
      <c r="V85" t="s">
        <v>761</v>
      </c>
      <c r="W85" t="s">
        <v>762</v>
      </c>
      <c r="X85" t="s">
        <v>47</v>
      </c>
      <c r="AA85" t="s">
        <v>509</v>
      </c>
      <c r="AC85" t="s">
        <v>510</v>
      </c>
      <c r="AD85" t="b">
        <v>0</v>
      </c>
      <c r="AF85">
        <v>3</v>
      </c>
      <c r="AG85" t="s">
        <v>332</v>
      </c>
    </row>
    <row r="86" spans="1:33" x14ac:dyDescent="0.2">
      <c r="A86">
        <v>1854</v>
      </c>
      <c r="B86" t="s">
        <v>763</v>
      </c>
      <c r="C86" t="s">
        <v>34</v>
      </c>
      <c r="D86" t="s">
        <v>35</v>
      </c>
      <c r="E86" t="s">
        <v>132</v>
      </c>
      <c r="F86" t="s">
        <v>133</v>
      </c>
      <c r="G86" t="s">
        <v>134</v>
      </c>
      <c r="H86" t="s">
        <v>135</v>
      </c>
      <c r="I86" t="s">
        <v>764</v>
      </c>
      <c r="J86" t="s">
        <v>765</v>
      </c>
      <c r="K86">
        <v>2017</v>
      </c>
      <c r="L86">
        <v>2017</v>
      </c>
      <c r="M86">
        <v>8.1999999999999993</v>
      </c>
      <c r="N86">
        <v>20.393999999999998</v>
      </c>
      <c r="O86">
        <v>264.2</v>
      </c>
      <c r="P86">
        <v>3.7</v>
      </c>
      <c r="Q86">
        <v>0.61599999999999999</v>
      </c>
      <c r="R86" t="s">
        <v>42</v>
      </c>
      <c r="S86" t="s">
        <v>766</v>
      </c>
      <c r="T86" t="b">
        <v>1</v>
      </c>
      <c r="U86" t="s">
        <v>767</v>
      </c>
      <c r="V86" t="s">
        <v>139</v>
      </c>
      <c r="W86" t="s">
        <v>768</v>
      </c>
      <c r="X86" t="s">
        <v>47</v>
      </c>
      <c r="AA86" t="s">
        <v>769</v>
      </c>
      <c r="AB86" t="s">
        <v>49</v>
      </c>
      <c r="AC86" t="s">
        <v>770</v>
      </c>
      <c r="AD86" t="b">
        <v>0</v>
      </c>
      <c r="AF86">
        <v>10</v>
      </c>
      <c r="AG86" t="s">
        <v>143</v>
      </c>
    </row>
    <row r="87" spans="1:33" x14ac:dyDescent="0.2">
      <c r="A87">
        <v>979</v>
      </c>
      <c r="B87" t="s">
        <v>771</v>
      </c>
      <c r="C87" t="s">
        <v>34</v>
      </c>
      <c r="D87" t="s">
        <v>35</v>
      </c>
      <c r="E87" t="s">
        <v>772</v>
      </c>
      <c r="F87" t="s">
        <v>773</v>
      </c>
      <c r="G87" t="s">
        <v>53</v>
      </c>
      <c r="H87" t="s">
        <v>54</v>
      </c>
      <c r="I87" t="s">
        <v>774</v>
      </c>
      <c r="J87" t="s">
        <v>567</v>
      </c>
      <c r="K87">
        <v>1952</v>
      </c>
      <c r="L87">
        <v>1952</v>
      </c>
      <c r="M87">
        <v>0.495</v>
      </c>
      <c r="N87">
        <v>0.33600000000000002</v>
      </c>
      <c r="R87" t="s">
        <v>57</v>
      </c>
      <c r="S87" t="s">
        <v>775</v>
      </c>
      <c r="T87" t="b">
        <v>1</v>
      </c>
      <c r="U87" t="s">
        <v>776</v>
      </c>
      <c r="V87" t="s">
        <v>777</v>
      </c>
      <c r="W87" t="s">
        <v>778</v>
      </c>
      <c r="X87" t="s">
        <v>47</v>
      </c>
      <c r="AA87" t="s">
        <v>114</v>
      </c>
      <c r="AC87" t="s">
        <v>63</v>
      </c>
      <c r="AD87" t="b">
        <v>0</v>
      </c>
      <c r="AF87">
        <v>6</v>
      </c>
      <c r="AG87" t="s">
        <v>64</v>
      </c>
    </row>
    <row r="88" spans="1:33" x14ac:dyDescent="0.2">
      <c r="A88">
        <v>1115</v>
      </c>
      <c r="B88" t="s">
        <v>779</v>
      </c>
      <c r="C88" t="s">
        <v>34</v>
      </c>
      <c r="D88" t="s">
        <v>35</v>
      </c>
      <c r="G88" t="s">
        <v>242</v>
      </c>
      <c r="H88" t="s">
        <v>243</v>
      </c>
      <c r="I88" t="s">
        <v>780</v>
      </c>
      <c r="J88" t="s">
        <v>54</v>
      </c>
      <c r="K88">
        <v>1999</v>
      </c>
      <c r="L88">
        <v>1999</v>
      </c>
      <c r="M88">
        <v>2.5000000000000001E-2</v>
      </c>
      <c r="N88">
        <v>0.02</v>
      </c>
      <c r="O88">
        <v>71</v>
      </c>
      <c r="P88">
        <v>0.06</v>
      </c>
      <c r="Q88">
        <v>0.11600000000000001</v>
      </c>
      <c r="R88" t="s">
        <v>72</v>
      </c>
      <c r="S88" t="s">
        <v>781</v>
      </c>
      <c r="T88" t="b">
        <v>1</v>
      </c>
      <c r="U88" t="s">
        <v>571</v>
      </c>
      <c r="V88" t="s">
        <v>60</v>
      </c>
      <c r="W88" t="s">
        <v>113</v>
      </c>
      <c r="X88" t="s">
        <v>47</v>
      </c>
      <c r="AA88" t="s">
        <v>779</v>
      </c>
      <c r="AC88" t="s">
        <v>63</v>
      </c>
      <c r="AD88" t="b">
        <v>0</v>
      </c>
      <c r="AF88">
        <v>9</v>
      </c>
      <c r="AG88" t="s">
        <v>251</v>
      </c>
    </row>
    <row r="89" spans="1:33" x14ac:dyDescent="0.2">
      <c r="A89">
        <v>1190</v>
      </c>
      <c r="B89" t="s">
        <v>779</v>
      </c>
      <c r="C89" t="s">
        <v>34</v>
      </c>
      <c r="D89" t="s">
        <v>35</v>
      </c>
      <c r="E89" t="s">
        <v>782</v>
      </c>
      <c r="F89" t="s">
        <v>783</v>
      </c>
      <c r="G89" t="s">
        <v>68</v>
      </c>
      <c r="H89" t="s">
        <v>69</v>
      </c>
      <c r="I89" t="s">
        <v>413</v>
      </c>
      <c r="J89" t="s">
        <v>414</v>
      </c>
      <c r="K89">
        <v>1997</v>
      </c>
      <c r="L89">
        <v>1997</v>
      </c>
      <c r="M89">
        <v>3.5999999999999997E-2</v>
      </c>
      <c r="N89">
        <v>0.20699999999999999</v>
      </c>
      <c r="R89" t="s">
        <v>72</v>
      </c>
      <c r="S89" t="s">
        <v>784</v>
      </c>
      <c r="T89" t="b">
        <v>1</v>
      </c>
      <c r="U89" t="s">
        <v>111</v>
      </c>
      <c r="V89" t="s">
        <v>785</v>
      </c>
      <c r="W89" t="s">
        <v>786</v>
      </c>
      <c r="X89" t="s">
        <v>47</v>
      </c>
      <c r="AA89" t="s">
        <v>787</v>
      </c>
      <c r="AC89" t="s">
        <v>63</v>
      </c>
      <c r="AD89" t="b">
        <v>0</v>
      </c>
      <c r="AF89">
        <v>8</v>
      </c>
      <c r="AG89" t="s">
        <v>78</v>
      </c>
    </row>
    <row r="90" spans="1:33" x14ac:dyDescent="0.2">
      <c r="A90">
        <v>1915</v>
      </c>
      <c r="B90" t="s">
        <v>788</v>
      </c>
      <c r="C90" t="s">
        <v>34</v>
      </c>
      <c r="D90" t="s">
        <v>35</v>
      </c>
      <c r="E90" t="s">
        <v>459</v>
      </c>
      <c r="F90" t="s">
        <v>460</v>
      </c>
      <c r="G90" t="s">
        <v>53</v>
      </c>
      <c r="H90" t="s">
        <v>54</v>
      </c>
      <c r="I90" t="s">
        <v>461</v>
      </c>
      <c r="J90" t="s">
        <v>462</v>
      </c>
      <c r="K90">
        <v>2018</v>
      </c>
      <c r="L90">
        <v>2018</v>
      </c>
      <c r="M90">
        <v>5.19</v>
      </c>
      <c r="N90">
        <v>11.663</v>
      </c>
      <c r="O90">
        <v>385.83</v>
      </c>
      <c r="P90">
        <v>1.68</v>
      </c>
      <c r="Q90">
        <v>0.85799999999999998</v>
      </c>
      <c r="R90" t="s">
        <v>57</v>
      </c>
      <c r="S90" t="s">
        <v>463</v>
      </c>
      <c r="T90" t="b">
        <v>1</v>
      </c>
      <c r="U90" t="s">
        <v>789</v>
      </c>
      <c r="V90" t="s">
        <v>465</v>
      </c>
      <c r="W90" t="s">
        <v>790</v>
      </c>
      <c r="X90" t="s">
        <v>47</v>
      </c>
      <c r="AA90" t="s">
        <v>467</v>
      </c>
      <c r="AB90" t="s">
        <v>177</v>
      </c>
      <c r="AC90" t="s">
        <v>468</v>
      </c>
      <c r="AD90" t="b">
        <v>0</v>
      </c>
      <c r="AF90">
        <v>7</v>
      </c>
      <c r="AG90" t="s">
        <v>469</v>
      </c>
    </row>
    <row r="91" spans="1:33" x14ac:dyDescent="0.2">
      <c r="A91">
        <v>1351</v>
      </c>
      <c r="B91" t="s">
        <v>791</v>
      </c>
      <c r="C91" t="s">
        <v>34</v>
      </c>
      <c r="D91" t="s">
        <v>35</v>
      </c>
      <c r="E91" t="s">
        <v>792</v>
      </c>
      <c r="F91" t="s">
        <v>793</v>
      </c>
      <c r="G91" t="s">
        <v>213</v>
      </c>
      <c r="H91" t="s">
        <v>83</v>
      </c>
      <c r="I91" t="s">
        <v>214</v>
      </c>
      <c r="J91" t="s">
        <v>215</v>
      </c>
      <c r="K91">
        <v>2006</v>
      </c>
      <c r="L91">
        <v>2006</v>
      </c>
      <c r="M91">
        <v>0.25</v>
      </c>
      <c r="N91">
        <v>0.997</v>
      </c>
      <c r="O91">
        <v>235</v>
      </c>
      <c r="P91">
        <v>0.08</v>
      </c>
      <c r="R91" t="s">
        <v>84</v>
      </c>
      <c r="S91" t="s">
        <v>794</v>
      </c>
      <c r="T91" t="b">
        <v>1</v>
      </c>
      <c r="U91" t="s">
        <v>795</v>
      </c>
      <c r="V91" t="s">
        <v>796</v>
      </c>
      <c r="W91" t="s">
        <v>797</v>
      </c>
      <c r="X91" t="s">
        <v>47</v>
      </c>
      <c r="AA91" t="s">
        <v>275</v>
      </c>
      <c r="AC91" t="s">
        <v>63</v>
      </c>
      <c r="AD91" t="b">
        <v>0</v>
      </c>
      <c r="AF91">
        <v>5</v>
      </c>
      <c r="AG91" t="s">
        <v>89</v>
      </c>
    </row>
    <row r="92" spans="1:33" x14ac:dyDescent="0.2">
      <c r="A92">
        <v>1078</v>
      </c>
      <c r="B92" t="s">
        <v>798</v>
      </c>
      <c r="C92" t="s">
        <v>34</v>
      </c>
      <c r="D92" t="s">
        <v>35</v>
      </c>
      <c r="G92" t="s">
        <v>242</v>
      </c>
      <c r="H92" t="s">
        <v>243</v>
      </c>
      <c r="I92" t="s">
        <v>799</v>
      </c>
      <c r="J92" t="s">
        <v>96</v>
      </c>
      <c r="K92">
        <v>2000</v>
      </c>
      <c r="L92">
        <v>2000</v>
      </c>
      <c r="M92">
        <v>4.0000000000000001E-3</v>
      </c>
      <c r="N92">
        <v>1.6E-2</v>
      </c>
      <c r="R92" t="s">
        <v>72</v>
      </c>
      <c r="S92" t="s">
        <v>800</v>
      </c>
      <c r="T92" t="b">
        <v>1</v>
      </c>
      <c r="U92" t="s">
        <v>754</v>
      </c>
      <c r="V92" t="s">
        <v>274</v>
      </c>
      <c r="W92" t="s">
        <v>801</v>
      </c>
      <c r="X92" t="s">
        <v>47</v>
      </c>
      <c r="AA92" t="s">
        <v>802</v>
      </c>
      <c r="AC92" t="s">
        <v>63</v>
      </c>
      <c r="AD92" t="b">
        <v>0</v>
      </c>
      <c r="AF92">
        <v>9</v>
      </c>
      <c r="AG92" t="s">
        <v>251</v>
      </c>
    </row>
    <row r="93" spans="1:33" x14ac:dyDescent="0.2">
      <c r="A93">
        <v>2004</v>
      </c>
      <c r="B93" t="s">
        <v>803</v>
      </c>
      <c r="C93" t="s">
        <v>34</v>
      </c>
      <c r="D93" t="s">
        <v>35</v>
      </c>
      <c r="G93" t="s">
        <v>134</v>
      </c>
      <c r="H93" t="s">
        <v>135</v>
      </c>
      <c r="I93" t="s">
        <v>804</v>
      </c>
      <c r="J93" t="s">
        <v>805</v>
      </c>
      <c r="K93">
        <v>1917</v>
      </c>
      <c r="L93">
        <v>1917</v>
      </c>
      <c r="M93">
        <v>0.12</v>
      </c>
      <c r="N93">
        <v>0.51500000000000001</v>
      </c>
      <c r="O93">
        <v>10</v>
      </c>
      <c r="P93">
        <v>1.6</v>
      </c>
      <c r="Q93">
        <v>2.1000000000000001E-2</v>
      </c>
      <c r="R93" t="s">
        <v>42</v>
      </c>
      <c r="S93" t="s">
        <v>806</v>
      </c>
      <c r="T93" t="b">
        <v>1</v>
      </c>
      <c r="U93" t="s">
        <v>807</v>
      </c>
      <c r="V93" t="s">
        <v>60</v>
      </c>
      <c r="W93" t="s">
        <v>808</v>
      </c>
      <c r="X93" t="s">
        <v>47</v>
      </c>
      <c r="AA93" t="s">
        <v>809</v>
      </c>
      <c r="AC93" t="s">
        <v>63</v>
      </c>
      <c r="AD93" t="b">
        <v>0</v>
      </c>
      <c r="AF93">
        <v>11</v>
      </c>
      <c r="AG93" t="s">
        <v>198</v>
      </c>
    </row>
    <row r="94" spans="1:33" x14ac:dyDescent="0.2">
      <c r="A94">
        <v>1454</v>
      </c>
      <c r="B94" t="s">
        <v>810</v>
      </c>
      <c r="C94" t="s">
        <v>34</v>
      </c>
      <c r="D94" t="s">
        <v>35</v>
      </c>
      <c r="E94" t="s">
        <v>168</v>
      </c>
      <c r="F94" t="s">
        <v>169</v>
      </c>
      <c r="G94" t="s">
        <v>53</v>
      </c>
      <c r="H94" t="s">
        <v>54</v>
      </c>
      <c r="I94" t="s">
        <v>811</v>
      </c>
      <c r="J94" t="s">
        <v>94</v>
      </c>
      <c r="K94">
        <v>2010</v>
      </c>
      <c r="L94">
        <v>2010</v>
      </c>
      <c r="M94">
        <v>2.66</v>
      </c>
      <c r="N94">
        <v>8.2759999999999998</v>
      </c>
      <c r="O94">
        <v>247</v>
      </c>
      <c r="P94">
        <v>1.3</v>
      </c>
      <c r="Q94">
        <v>0.56799999999999995</v>
      </c>
      <c r="R94" t="s">
        <v>57</v>
      </c>
      <c r="S94" t="s">
        <v>812</v>
      </c>
      <c r="T94" t="b">
        <v>1</v>
      </c>
      <c r="U94" t="s">
        <v>813</v>
      </c>
      <c r="V94" t="s">
        <v>174</v>
      </c>
      <c r="W94" t="s">
        <v>814</v>
      </c>
      <c r="X94" t="s">
        <v>47</v>
      </c>
      <c r="AA94" t="s">
        <v>815</v>
      </c>
      <c r="AB94" t="s">
        <v>49</v>
      </c>
      <c r="AC94" t="s">
        <v>816</v>
      </c>
      <c r="AD94" t="b">
        <v>0</v>
      </c>
      <c r="AF94">
        <v>6</v>
      </c>
      <c r="AG94" t="s">
        <v>64</v>
      </c>
    </row>
    <row r="95" spans="1:33" x14ac:dyDescent="0.2">
      <c r="A95">
        <v>31</v>
      </c>
      <c r="B95" t="s">
        <v>817</v>
      </c>
      <c r="C95" t="s">
        <v>34</v>
      </c>
      <c r="D95" t="s">
        <v>35</v>
      </c>
      <c r="E95" t="s">
        <v>818</v>
      </c>
      <c r="F95" t="s">
        <v>819</v>
      </c>
      <c r="G95" t="s">
        <v>53</v>
      </c>
      <c r="H95" t="s">
        <v>54</v>
      </c>
      <c r="I95" t="s">
        <v>118</v>
      </c>
      <c r="J95" t="s">
        <v>119</v>
      </c>
      <c r="K95">
        <v>1968</v>
      </c>
      <c r="L95">
        <v>1968</v>
      </c>
      <c r="M95">
        <v>100</v>
      </c>
      <c r="N95">
        <v>536.62099999999998</v>
      </c>
      <c r="O95">
        <v>320</v>
      </c>
      <c r="P95">
        <v>38</v>
      </c>
      <c r="Q95">
        <v>0.73099999999999998</v>
      </c>
      <c r="R95" t="s">
        <v>84</v>
      </c>
      <c r="S95" t="s">
        <v>820</v>
      </c>
      <c r="T95" t="b">
        <v>1</v>
      </c>
      <c r="U95" t="s">
        <v>821</v>
      </c>
      <c r="V95" t="s">
        <v>822</v>
      </c>
      <c r="W95" t="s">
        <v>823</v>
      </c>
      <c r="X95" t="s">
        <v>47</v>
      </c>
      <c r="AA95" t="s">
        <v>824</v>
      </c>
      <c r="AB95" t="s">
        <v>227</v>
      </c>
      <c r="AC95" t="s">
        <v>825</v>
      </c>
      <c r="AD95" t="b">
        <v>0</v>
      </c>
      <c r="AF95">
        <v>5</v>
      </c>
      <c r="AG95" t="s">
        <v>89</v>
      </c>
    </row>
    <row r="96" spans="1:33" x14ac:dyDescent="0.2">
      <c r="A96">
        <v>32</v>
      </c>
      <c r="B96" t="s">
        <v>826</v>
      </c>
      <c r="C96" t="s">
        <v>34</v>
      </c>
      <c r="D96" t="s">
        <v>35</v>
      </c>
      <c r="E96" t="s">
        <v>818</v>
      </c>
      <c r="F96" t="s">
        <v>819</v>
      </c>
      <c r="G96" t="s">
        <v>53</v>
      </c>
      <c r="H96" t="s">
        <v>54</v>
      </c>
      <c r="I96" t="s">
        <v>118</v>
      </c>
      <c r="J96" t="s">
        <v>119</v>
      </c>
      <c r="K96">
        <v>1976</v>
      </c>
      <c r="L96">
        <v>1976</v>
      </c>
      <c r="M96">
        <v>5</v>
      </c>
      <c r="N96">
        <v>17.734999999999999</v>
      </c>
      <c r="O96">
        <v>57</v>
      </c>
      <c r="P96">
        <v>9.02</v>
      </c>
      <c r="Q96">
        <v>0.153</v>
      </c>
      <c r="R96" t="s">
        <v>84</v>
      </c>
      <c r="S96" t="s">
        <v>820</v>
      </c>
      <c r="T96" t="b">
        <v>1</v>
      </c>
      <c r="U96" t="s">
        <v>827</v>
      </c>
      <c r="V96" t="s">
        <v>822</v>
      </c>
      <c r="W96" t="s">
        <v>828</v>
      </c>
      <c r="X96" t="s">
        <v>47</v>
      </c>
      <c r="AA96" t="s">
        <v>824</v>
      </c>
      <c r="AB96" t="s">
        <v>401</v>
      </c>
      <c r="AC96" t="s">
        <v>825</v>
      </c>
      <c r="AD96" t="b">
        <v>0</v>
      </c>
      <c r="AF96">
        <v>5</v>
      </c>
      <c r="AG96" t="s">
        <v>89</v>
      </c>
    </row>
    <row r="97" spans="1:33" x14ac:dyDescent="0.2">
      <c r="A97">
        <v>33</v>
      </c>
      <c r="B97" t="s">
        <v>829</v>
      </c>
      <c r="C97" t="s">
        <v>34</v>
      </c>
      <c r="D97" t="s">
        <v>35</v>
      </c>
      <c r="E97" t="s">
        <v>818</v>
      </c>
      <c r="F97" t="s">
        <v>819</v>
      </c>
      <c r="G97" t="s">
        <v>53</v>
      </c>
      <c r="H97" t="s">
        <v>54</v>
      </c>
      <c r="I97" t="s">
        <v>118</v>
      </c>
      <c r="J97" t="s">
        <v>119</v>
      </c>
      <c r="K97">
        <v>1981</v>
      </c>
      <c r="L97">
        <v>1981</v>
      </c>
      <c r="M97">
        <v>13</v>
      </c>
      <c r="N97">
        <v>70.367999999999995</v>
      </c>
      <c r="O97">
        <v>150</v>
      </c>
      <c r="P97">
        <v>10</v>
      </c>
      <c r="Q97">
        <v>0.36099999999999999</v>
      </c>
      <c r="R97" t="s">
        <v>84</v>
      </c>
      <c r="S97" t="s">
        <v>830</v>
      </c>
      <c r="T97" t="b">
        <v>1</v>
      </c>
      <c r="U97" t="s">
        <v>831</v>
      </c>
      <c r="V97" t="s">
        <v>822</v>
      </c>
      <c r="W97" t="s">
        <v>832</v>
      </c>
      <c r="X97" t="s">
        <v>47</v>
      </c>
      <c r="AA97" t="s">
        <v>824</v>
      </c>
      <c r="AB97" t="s">
        <v>192</v>
      </c>
      <c r="AC97" t="s">
        <v>825</v>
      </c>
      <c r="AD97" t="b">
        <v>0</v>
      </c>
      <c r="AF97">
        <v>5</v>
      </c>
      <c r="AG97" t="s">
        <v>89</v>
      </c>
    </row>
    <row r="98" spans="1:33" x14ac:dyDescent="0.2">
      <c r="A98">
        <v>781</v>
      </c>
      <c r="B98" t="s">
        <v>833</v>
      </c>
      <c r="C98" t="s">
        <v>34</v>
      </c>
      <c r="D98" t="s">
        <v>35</v>
      </c>
      <c r="E98" t="s">
        <v>818</v>
      </c>
      <c r="F98" t="s">
        <v>819</v>
      </c>
      <c r="G98" t="s">
        <v>53</v>
      </c>
      <c r="H98" t="s">
        <v>54</v>
      </c>
      <c r="I98" t="s">
        <v>118</v>
      </c>
      <c r="J98" t="s">
        <v>119</v>
      </c>
      <c r="K98">
        <v>2002</v>
      </c>
      <c r="L98">
        <v>2002</v>
      </c>
      <c r="M98">
        <v>8.1</v>
      </c>
      <c r="N98">
        <v>27.529</v>
      </c>
      <c r="O98">
        <v>56</v>
      </c>
      <c r="P98">
        <v>17.3</v>
      </c>
      <c r="Q98">
        <v>0.13</v>
      </c>
      <c r="R98" t="s">
        <v>84</v>
      </c>
      <c r="S98" t="s">
        <v>834</v>
      </c>
      <c r="T98" t="b">
        <v>1</v>
      </c>
      <c r="U98" t="s">
        <v>247</v>
      </c>
      <c r="V98" t="s">
        <v>822</v>
      </c>
      <c r="W98" t="s">
        <v>835</v>
      </c>
      <c r="X98" t="s">
        <v>47</v>
      </c>
      <c r="AA98" t="s">
        <v>824</v>
      </c>
      <c r="AB98" t="s">
        <v>836</v>
      </c>
      <c r="AC98" t="s">
        <v>825</v>
      </c>
      <c r="AD98" t="b">
        <v>0</v>
      </c>
      <c r="AF98">
        <v>5</v>
      </c>
      <c r="AG98" t="s">
        <v>89</v>
      </c>
    </row>
    <row r="99" spans="1:33" x14ac:dyDescent="0.2">
      <c r="A99">
        <v>1334</v>
      </c>
      <c r="B99" t="s">
        <v>837</v>
      </c>
      <c r="C99" t="s">
        <v>34</v>
      </c>
      <c r="D99" t="s">
        <v>35</v>
      </c>
      <c r="E99" t="s">
        <v>818</v>
      </c>
      <c r="F99" t="s">
        <v>819</v>
      </c>
      <c r="G99" t="s">
        <v>53</v>
      </c>
      <c r="H99" t="s">
        <v>54</v>
      </c>
      <c r="I99" t="s">
        <v>118</v>
      </c>
      <c r="J99" t="s">
        <v>119</v>
      </c>
      <c r="K99">
        <v>2007</v>
      </c>
      <c r="L99">
        <v>2007</v>
      </c>
      <c r="M99">
        <v>230</v>
      </c>
      <c r="N99">
        <v>806.75400000000002</v>
      </c>
      <c r="O99">
        <v>374.8</v>
      </c>
      <c r="P99">
        <v>70</v>
      </c>
      <c r="Q99">
        <v>0.93799999999999994</v>
      </c>
      <c r="R99" t="s">
        <v>84</v>
      </c>
      <c r="S99" t="s">
        <v>838</v>
      </c>
      <c r="T99" t="b">
        <v>1</v>
      </c>
      <c r="U99" t="s">
        <v>839</v>
      </c>
      <c r="V99" t="s">
        <v>822</v>
      </c>
      <c r="W99" t="s">
        <v>840</v>
      </c>
      <c r="X99" t="s">
        <v>47</v>
      </c>
      <c r="AA99" t="s">
        <v>841</v>
      </c>
      <c r="AB99" t="s">
        <v>308</v>
      </c>
      <c r="AC99" t="s">
        <v>825</v>
      </c>
      <c r="AD99" t="b">
        <v>0</v>
      </c>
      <c r="AF99">
        <v>5</v>
      </c>
      <c r="AG99" t="s">
        <v>89</v>
      </c>
    </row>
    <row r="100" spans="1:33" x14ac:dyDescent="0.2">
      <c r="A100">
        <v>1281</v>
      </c>
      <c r="B100" t="s">
        <v>842</v>
      </c>
      <c r="C100" t="s">
        <v>34</v>
      </c>
      <c r="D100" t="s">
        <v>35</v>
      </c>
      <c r="E100" t="s">
        <v>843</v>
      </c>
      <c r="F100" t="s">
        <v>844</v>
      </c>
      <c r="G100" t="s">
        <v>53</v>
      </c>
      <c r="H100" t="s">
        <v>54</v>
      </c>
      <c r="I100" t="s">
        <v>730</v>
      </c>
      <c r="J100" t="s">
        <v>731</v>
      </c>
      <c r="K100">
        <v>2007</v>
      </c>
      <c r="L100">
        <v>2007</v>
      </c>
      <c r="M100">
        <v>0.56499999999999995</v>
      </c>
      <c r="N100">
        <v>2.0190000000000001</v>
      </c>
      <c r="O100">
        <v>95</v>
      </c>
      <c r="P100">
        <v>0.75</v>
      </c>
      <c r="Q100">
        <v>0.20899999999999999</v>
      </c>
      <c r="R100" t="s">
        <v>72</v>
      </c>
      <c r="S100" t="s">
        <v>845</v>
      </c>
      <c r="T100" t="b">
        <v>1</v>
      </c>
      <c r="U100" t="s">
        <v>846</v>
      </c>
      <c r="V100" t="s">
        <v>847</v>
      </c>
      <c r="W100" t="s">
        <v>848</v>
      </c>
      <c r="X100" t="s">
        <v>47</v>
      </c>
      <c r="AA100" t="s">
        <v>114</v>
      </c>
      <c r="AC100" t="s">
        <v>63</v>
      </c>
      <c r="AD100" t="b">
        <v>0</v>
      </c>
      <c r="AF100">
        <v>13</v>
      </c>
      <c r="AG100" t="s">
        <v>155</v>
      </c>
    </row>
    <row r="101" spans="1:33" x14ac:dyDescent="0.2">
      <c r="A101">
        <v>1262</v>
      </c>
      <c r="B101" t="s">
        <v>849</v>
      </c>
      <c r="C101" t="s">
        <v>34</v>
      </c>
      <c r="D101" t="s">
        <v>35</v>
      </c>
      <c r="G101" t="s">
        <v>53</v>
      </c>
      <c r="H101" t="s">
        <v>54</v>
      </c>
      <c r="I101" t="s">
        <v>147</v>
      </c>
      <c r="J101" t="s">
        <v>148</v>
      </c>
      <c r="K101">
        <v>2005</v>
      </c>
      <c r="L101">
        <v>2005</v>
      </c>
      <c r="M101">
        <v>1.7000000000000001E-2</v>
      </c>
      <c r="N101">
        <v>1.7000000000000001E-2</v>
      </c>
      <c r="O101">
        <v>120</v>
      </c>
      <c r="R101" t="s">
        <v>72</v>
      </c>
      <c r="S101" t="s">
        <v>850</v>
      </c>
      <c r="T101" t="b">
        <v>1</v>
      </c>
      <c r="U101" t="s">
        <v>237</v>
      </c>
      <c r="V101" t="s">
        <v>274</v>
      </c>
      <c r="W101" t="s">
        <v>851</v>
      </c>
      <c r="X101" t="s">
        <v>47</v>
      </c>
      <c r="AA101" t="s">
        <v>374</v>
      </c>
      <c r="AC101" t="s">
        <v>63</v>
      </c>
      <c r="AD101" t="b">
        <v>0</v>
      </c>
      <c r="AF101">
        <v>13</v>
      </c>
      <c r="AG101" t="s">
        <v>155</v>
      </c>
    </row>
    <row r="102" spans="1:33" x14ac:dyDescent="0.2">
      <c r="A102">
        <v>1697</v>
      </c>
      <c r="B102" t="s">
        <v>852</v>
      </c>
      <c r="C102" t="s">
        <v>34</v>
      </c>
      <c r="D102" t="s">
        <v>35</v>
      </c>
      <c r="E102" t="s">
        <v>853</v>
      </c>
      <c r="F102" t="s">
        <v>854</v>
      </c>
      <c r="G102" t="s">
        <v>312</v>
      </c>
      <c r="H102" t="s">
        <v>313</v>
      </c>
      <c r="I102" t="s">
        <v>855</v>
      </c>
      <c r="J102" t="s">
        <v>401</v>
      </c>
      <c r="K102">
        <v>1920</v>
      </c>
      <c r="L102">
        <v>2021</v>
      </c>
      <c r="M102">
        <v>3.6</v>
      </c>
      <c r="N102">
        <v>23.986000000000001</v>
      </c>
      <c r="O102">
        <v>12.8</v>
      </c>
      <c r="P102">
        <v>30</v>
      </c>
      <c r="Q102">
        <v>3.3000000000000002E-2</v>
      </c>
      <c r="R102" t="s">
        <v>84</v>
      </c>
      <c r="S102" t="s">
        <v>856</v>
      </c>
      <c r="T102" t="b">
        <v>1</v>
      </c>
      <c r="U102" t="s">
        <v>857</v>
      </c>
      <c r="V102" t="s">
        <v>858</v>
      </c>
      <c r="W102" t="s">
        <v>859</v>
      </c>
      <c r="X102" t="s">
        <v>47</v>
      </c>
      <c r="AA102" t="s">
        <v>860</v>
      </c>
      <c r="AB102" t="s">
        <v>49</v>
      </c>
      <c r="AC102" t="s">
        <v>861</v>
      </c>
      <c r="AD102" t="b">
        <v>0</v>
      </c>
      <c r="AF102">
        <v>4</v>
      </c>
      <c r="AG102" t="s">
        <v>321</v>
      </c>
    </row>
    <row r="103" spans="1:33" x14ac:dyDescent="0.2">
      <c r="A103">
        <v>1793</v>
      </c>
      <c r="B103" t="s">
        <v>862</v>
      </c>
      <c r="C103" t="s">
        <v>34</v>
      </c>
      <c r="D103" t="s">
        <v>35</v>
      </c>
      <c r="E103" t="s">
        <v>863</v>
      </c>
      <c r="F103" t="s">
        <v>864</v>
      </c>
      <c r="G103" t="s">
        <v>213</v>
      </c>
      <c r="H103" t="s">
        <v>83</v>
      </c>
      <c r="I103" t="s">
        <v>635</v>
      </c>
      <c r="J103" t="s">
        <v>94</v>
      </c>
      <c r="K103">
        <v>2008</v>
      </c>
      <c r="L103">
        <v>2008</v>
      </c>
      <c r="M103">
        <v>0.09</v>
      </c>
      <c r="N103">
        <v>0.36299999999999999</v>
      </c>
      <c r="R103" t="s">
        <v>84</v>
      </c>
      <c r="S103" t="s">
        <v>865</v>
      </c>
      <c r="T103" t="b">
        <v>1</v>
      </c>
      <c r="U103" t="s">
        <v>866</v>
      </c>
      <c r="V103" t="s">
        <v>867</v>
      </c>
      <c r="W103" t="s">
        <v>868</v>
      </c>
      <c r="X103" t="s">
        <v>47</v>
      </c>
      <c r="AA103" t="s">
        <v>114</v>
      </c>
      <c r="AC103" t="s">
        <v>63</v>
      </c>
      <c r="AD103" t="b">
        <v>0</v>
      </c>
      <c r="AF103">
        <v>3</v>
      </c>
      <c r="AG103" t="s">
        <v>332</v>
      </c>
    </row>
    <row r="104" spans="1:33" x14ac:dyDescent="0.2">
      <c r="A104">
        <v>1333</v>
      </c>
      <c r="B104" t="s">
        <v>869</v>
      </c>
      <c r="C104" t="s">
        <v>34</v>
      </c>
      <c r="D104" t="s">
        <v>35</v>
      </c>
      <c r="E104" t="s">
        <v>870</v>
      </c>
      <c r="F104" t="s">
        <v>871</v>
      </c>
      <c r="G104" t="s">
        <v>53</v>
      </c>
      <c r="H104" t="s">
        <v>54</v>
      </c>
      <c r="I104" t="s">
        <v>170</v>
      </c>
      <c r="J104" t="s">
        <v>171</v>
      </c>
      <c r="K104">
        <v>2007</v>
      </c>
      <c r="L104">
        <v>2007</v>
      </c>
      <c r="M104">
        <v>1.35</v>
      </c>
      <c r="N104">
        <v>4.992</v>
      </c>
      <c r="O104">
        <v>209</v>
      </c>
      <c r="P104">
        <v>0.87</v>
      </c>
      <c r="Q104">
        <v>0.43099999999999999</v>
      </c>
      <c r="R104" t="s">
        <v>57</v>
      </c>
      <c r="S104" t="s">
        <v>872</v>
      </c>
      <c r="T104" t="b">
        <v>1</v>
      </c>
      <c r="U104" t="s">
        <v>59</v>
      </c>
      <c r="V104" t="s">
        <v>873</v>
      </c>
      <c r="W104" t="s">
        <v>874</v>
      </c>
      <c r="X104" t="s">
        <v>47</v>
      </c>
      <c r="AA104" t="s">
        <v>176</v>
      </c>
      <c r="AB104" t="s">
        <v>49</v>
      </c>
      <c r="AC104" t="s">
        <v>875</v>
      </c>
      <c r="AD104" t="b">
        <v>0</v>
      </c>
      <c r="AF104">
        <v>6</v>
      </c>
      <c r="AG104" t="s">
        <v>64</v>
      </c>
    </row>
    <row r="105" spans="1:33" x14ac:dyDescent="0.2">
      <c r="A105">
        <v>1463</v>
      </c>
      <c r="B105" t="s">
        <v>876</v>
      </c>
      <c r="C105" t="s">
        <v>34</v>
      </c>
      <c r="D105" t="s">
        <v>35</v>
      </c>
      <c r="E105" t="s">
        <v>870</v>
      </c>
      <c r="F105" t="s">
        <v>871</v>
      </c>
      <c r="G105" t="s">
        <v>53</v>
      </c>
      <c r="H105" t="s">
        <v>54</v>
      </c>
      <c r="I105" t="s">
        <v>170</v>
      </c>
      <c r="J105" t="s">
        <v>171</v>
      </c>
      <c r="K105">
        <v>2008</v>
      </c>
      <c r="L105">
        <v>2008</v>
      </c>
      <c r="M105">
        <v>1.25</v>
      </c>
      <c r="N105">
        <v>4.2530000000000001</v>
      </c>
      <c r="O105">
        <v>261.66000000000003</v>
      </c>
      <c r="P105">
        <v>0.6</v>
      </c>
      <c r="Q105">
        <v>0.57899999999999996</v>
      </c>
      <c r="R105" t="s">
        <v>57</v>
      </c>
      <c r="S105" t="s">
        <v>872</v>
      </c>
      <c r="T105" t="b">
        <v>1</v>
      </c>
      <c r="U105" t="s">
        <v>877</v>
      </c>
      <c r="V105" t="s">
        <v>873</v>
      </c>
      <c r="W105" t="s">
        <v>878</v>
      </c>
      <c r="X105" t="s">
        <v>47</v>
      </c>
      <c r="AA105" t="s">
        <v>176</v>
      </c>
      <c r="AB105" t="s">
        <v>177</v>
      </c>
      <c r="AC105" t="s">
        <v>875</v>
      </c>
      <c r="AD105" t="b">
        <v>0</v>
      </c>
      <c r="AF105">
        <v>6</v>
      </c>
      <c r="AG105" t="s">
        <v>64</v>
      </c>
    </row>
    <row r="106" spans="1:33" x14ac:dyDescent="0.2">
      <c r="A106">
        <v>34</v>
      </c>
      <c r="B106" t="s">
        <v>879</v>
      </c>
      <c r="C106" t="s">
        <v>34</v>
      </c>
      <c r="D106" t="s">
        <v>35</v>
      </c>
      <c r="E106" t="s">
        <v>253</v>
      </c>
      <c r="F106" t="s">
        <v>254</v>
      </c>
      <c r="G106" t="s">
        <v>242</v>
      </c>
      <c r="H106" t="s">
        <v>243</v>
      </c>
      <c r="I106" t="s">
        <v>880</v>
      </c>
      <c r="J106" t="s">
        <v>280</v>
      </c>
      <c r="K106">
        <v>1971</v>
      </c>
      <c r="L106">
        <v>1971</v>
      </c>
      <c r="M106">
        <v>57</v>
      </c>
      <c r="N106">
        <v>154.77099999999999</v>
      </c>
      <c r="O106">
        <v>290</v>
      </c>
      <c r="P106">
        <v>23.8</v>
      </c>
      <c r="Q106">
        <v>0.66500000000000004</v>
      </c>
      <c r="R106" t="s">
        <v>72</v>
      </c>
      <c r="S106" t="s">
        <v>881</v>
      </c>
      <c r="T106" t="b">
        <v>1</v>
      </c>
      <c r="U106" t="s">
        <v>882</v>
      </c>
      <c r="V106" t="s">
        <v>259</v>
      </c>
      <c r="W106" t="s">
        <v>883</v>
      </c>
      <c r="X106" t="s">
        <v>47</v>
      </c>
      <c r="AA106" t="s">
        <v>884</v>
      </c>
      <c r="AB106" t="s">
        <v>83</v>
      </c>
      <c r="AC106" t="s">
        <v>885</v>
      </c>
      <c r="AD106" t="b">
        <v>0</v>
      </c>
      <c r="AF106">
        <v>9</v>
      </c>
      <c r="AG106" t="s">
        <v>251</v>
      </c>
    </row>
    <row r="107" spans="1:33" x14ac:dyDescent="0.2">
      <c r="A107">
        <v>1705</v>
      </c>
      <c r="B107" t="s">
        <v>886</v>
      </c>
      <c r="C107" t="s">
        <v>34</v>
      </c>
      <c r="D107" t="s">
        <v>35</v>
      </c>
      <c r="E107" t="s">
        <v>818</v>
      </c>
      <c r="F107" t="s">
        <v>819</v>
      </c>
      <c r="G107" t="s">
        <v>213</v>
      </c>
      <c r="H107" t="s">
        <v>83</v>
      </c>
      <c r="I107" t="s">
        <v>627</v>
      </c>
      <c r="J107" t="s">
        <v>54</v>
      </c>
      <c r="K107">
        <v>2012</v>
      </c>
      <c r="L107">
        <v>2012</v>
      </c>
      <c r="M107">
        <v>1.9</v>
      </c>
      <c r="N107">
        <v>5.0460000000000003</v>
      </c>
      <c r="O107">
        <v>205.4</v>
      </c>
      <c r="P107">
        <v>1.04</v>
      </c>
      <c r="Q107">
        <v>0.50700000000000001</v>
      </c>
      <c r="R107" t="s">
        <v>84</v>
      </c>
      <c r="S107" t="s">
        <v>887</v>
      </c>
      <c r="T107" t="b">
        <v>1</v>
      </c>
      <c r="U107" t="s">
        <v>888</v>
      </c>
      <c r="V107" t="s">
        <v>822</v>
      </c>
      <c r="W107" t="s">
        <v>889</v>
      </c>
      <c r="X107" t="s">
        <v>47</v>
      </c>
      <c r="AA107" t="s">
        <v>890</v>
      </c>
      <c r="AC107" t="s">
        <v>63</v>
      </c>
      <c r="AD107" t="b">
        <v>0</v>
      </c>
      <c r="AF107">
        <v>5</v>
      </c>
      <c r="AG107" t="s">
        <v>89</v>
      </c>
    </row>
    <row r="108" spans="1:33" x14ac:dyDescent="0.2">
      <c r="A108">
        <v>2023</v>
      </c>
      <c r="B108" t="s">
        <v>891</v>
      </c>
      <c r="C108" t="s">
        <v>34</v>
      </c>
      <c r="D108" t="s">
        <v>35</v>
      </c>
      <c r="E108" t="s">
        <v>892</v>
      </c>
      <c r="F108" t="s">
        <v>893</v>
      </c>
      <c r="G108" t="s">
        <v>68</v>
      </c>
      <c r="H108" t="s">
        <v>69</v>
      </c>
      <c r="I108" t="s">
        <v>453</v>
      </c>
      <c r="J108" t="s">
        <v>192</v>
      </c>
      <c r="K108">
        <v>2020</v>
      </c>
      <c r="L108">
        <v>2020</v>
      </c>
      <c r="M108">
        <v>2.2000000000000002</v>
      </c>
      <c r="N108">
        <v>6.8339999999999996</v>
      </c>
      <c r="O108">
        <v>296</v>
      </c>
      <c r="P108">
        <v>0.9</v>
      </c>
      <c r="Q108">
        <v>0.67900000000000005</v>
      </c>
      <c r="R108" t="s">
        <v>72</v>
      </c>
      <c r="S108" t="s">
        <v>894</v>
      </c>
      <c r="T108" t="b">
        <v>1</v>
      </c>
      <c r="U108" t="s">
        <v>895</v>
      </c>
      <c r="V108" t="s">
        <v>896</v>
      </c>
      <c r="W108" t="s">
        <v>897</v>
      </c>
      <c r="X108" t="s">
        <v>47</v>
      </c>
      <c r="AA108" t="s">
        <v>114</v>
      </c>
      <c r="AC108" t="s">
        <v>63</v>
      </c>
      <c r="AD108" t="b">
        <v>0</v>
      </c>
      <c r="AF108">
        <v>8</v>
      </c>
      <c r="AG108" t="s">
        <v>78</v>
      </c>
    </row>
    <row r="109" spans="1:33" x14ac:dyDescent="0.2">
      <c r="A109">
        <v>35</v>
      </c>
      <c r="B109" t="s">
        <v>898</v>
      </c>
      <c r="C109" t="s">
        <v>34</v>
      </c>
      <c r="D109" t="s">
        <v>35</v>
      </c>
      <c r="E109" t="s">
        <v>899</v>
      </c>
      <c r="F109" t="s">
        <v>900</v>
      </c>
      <c r="G109" t="s">
        <v>53</v>
      </c>
      <c r="H109" t="s">
        <v>54</v>
      </c>
      <c r="I109" t="s">
        <v>901</v>
      </c>
      <c r="J109" t="s">
        <v>313</v>
      </c>
      <c r="K109">
        <v>1974</v>
      </c>
      <c r="L109">
        <v>1974</v>
      </c>
      <c r="M109">
        <v>212</v>
      </c>
      <c r="N109">
        <v>1068.73</v>
      </c>
      <c r="O109">
        <v>874</v>
      </c>
      <c r="P109">
        <v>28</v>
      </c>
      <c r="Q109">
        <v>2.1030000000000002</v>
      </c>
      <c r="R109" t="s">
        <v>57</v>
      </c>
      <c r="S109" t="s">
        <v>902</v>
      </c>
      <c r="T109" t="b">
        <v>1</v>
      </c>
      <c r="U109" t="s">
        <v>903</v>
      </c>
      <c r="V109" t="s">
        <v>904</v>
      </c>
      <c r="W109" t="s">
        <v>905</v>
      </c>
      <c r="X109" t="s">
        <v>47</v>
      </c>
      <c r="AA109" t="s">
        <v>906</v>
      </c>
      <c r="AB109" t="s">
        <v>177</v>
      </c>
      <c r="AC109" t="s">
        <v>907</v>
      </c>
      <c r="AD109" t="b">
        <v>0</v>
      </c>
      <c r="AF109">
        <v>2</v>
      </c>
      <c r="AG109" t="s">
        <v>287</v>
      </c>
    </row>
    <row r="110" spans="1:33" x14ac:dyDescent="0.2">
      <c r="A110">
        <v>1829</v>
      </c>
      <c r="B110" t="s">
        <v>908</v>
      </c>
      <c r="C110" t="s">
        <v>34</v>
      </c>
      <c r="D110" t="s">
        <v>35</v>
      </c>
      <c r="E110" t="s">
        <v>180</v>
      </c>
      <c r="F110" t="s">
        <v>181</v>
      </c>
      <c r="G110" t="s">
        <v>213</v>
      </c>
      <c r="H110" t="s">
        <v>83</v>
      </c>
      <c r="I110" t="s">
        <v>635</v>
      </c>
      <c r="J110" t="s">
        <v>94</v>
      </c>
      <c r="K110">
        <v>2017</v>
      </c>
      <c r="L110">
        <v>2017</v>
      </c>
      <c r="M110">
        <v>1.95</v>
      </c>
      <c r="N110">
        <v>4.8</v>
      </c>
      <c r="O110">
        <v>346.5</v>
      </c>
      <c r="P110">
        <v>0.7</v>
      </c>
      <c r="Q110">
        <v>0.77400000000000002</v>
      </c>
      <c r="R110" t="s">
        <v>84</v>
      </c>
      <c r="S110" t="s">
        <v>909</v>
      </c>
      <c r="T110" t="b">
        <v>1</v>
      </c>
      <c r="U110" t="s">
        <v>910</v>
      </c>
      <c r="V110" t="s">
        <v>429</v>
      </c>
      <c r="W110" t="s">
        <v>911</v>
      </c>
      <c r="X110" t="s">
        <v>47</v>
      </c>
      <c r="AA110" t="s">
        <v>912</v>
      </c>
      <c r="AC110" t="s">
        <v>63</v>
      </c>
      <c r="AD110" t="b">
        <v>0</v>
      </c>
      <c r="AF110">
        <v>5</v>
      </c>
      <c r="AG110" t="s">
        <v>89</v>
      </c>
    </row>
    <row r="111" spans="1:33" x14ac:dyDescent="0.2">
      <c r="A111">
        <v>36</v>
      </c>
      <c r="B111" t="s">
        <v>913</v>
      </c>
      <c r="C111" t="s">
        <v>34</v>
      </c>
      <c r="D111" t="s">
        <v>35</v>
      </c>
      <c r="E111" t="s">
        <v>914</v>
      </c>
      <c r="F111" t="s">
        <v>915</v>
      </c>
      <c r="G111" t="s">
        <v>916</v>
      </c>
      <c r="H111" t="s">
        <v>567</v>
      </c>
      <c r="I111" t="s">
        <v>917</v>
      </c>
      <c r="J111" t="s">
        <v>227</v>
      </c>
      <c r="K111">
        <v>1910</v>
      </c>
      <c r="L111">
        <v>1910</v>
      </c>
      <c r="M111">
        <v>54</v>
      </c>
      <c r="N111">
        <v>271.286</v>
      </c>
      <c r="O111">
        <v>20.5</v>
      </c>
      <c r="P111">
        <v>337.5</v>
      </c>
      <c r="Q111">
        <v>4.3999999999999997E-2</v>
      </c>
      <c r="R111" t="s">
        <v>97</v>
      </c>
      <c r="S111" t="s">
        <v>918</v>
      </c>
      <c r="T111" t="b">
        <v>1</v>
      </c>
      <c r="U111" t="s">
        <v>919</v>
      </c>
      <c r="V111" t="s">
        <v>920</v>
      </c>
      <c r="W111" t="s">
        <v>921</v>
      </c>
      <c r="X111" t="s">
        <v>47</v>
      </c>
      <c r="AA111" t="s">
        <v>340</v>
      </c>
      <c r="AB111" t="s">
        <v>177</v>
      </c>
      <c r="AC111" t="s">
        <v>341</v>
      </c>
      <c r="AD111" t="b">
        <v>0</v>
      </c>
      <c r="AF111">
        <v>1</v>
      </c>
      <c r="AG111" t="s">
        <v>104</v>
      </c>
    </row>
    <row r="112" spans="1:33" x14ac:dyDescent="0.2">
      <c r="A112">
        <v>1987</v>
      </c>
      <c r="B112" t="s">
        <v>922</v>
      </c>
      <c r="C112" t="s">
        <v>34</v>
      </c>
      <c r="D112" t="s">
        <v>35</v>
      </c>
      <c r="E112" t="s">
        <v>923</v>
      </c>
      <c r="F112" t="s">
        <v>924</v>
      </c>
      <c r="G112" t="s">
        <v>53</v>
      </c>
      <c r="H112" t="s">
        <v>54</v>
      </c>
      <c r="I112" t="s">
        <v>461</v>
      </c>
      <c r="J112" t="s">
        <v>462</v>
      </c>
      <c r="K112">
        <v>2020</v>
      </c>
      <c r="L112">
        <v>2020</v>
      </c>
      <c r="M112">
        <v>1.9</v>
      </c>
      <c r="N112">
        <v>6.4950000000000001</v>
      </c>
      <c r="O112">
        <v>332.5</v>
      </c>
      <c r="P112">
        <v>0.7</v>
      </c>
      <c r="Q112">
        <v>0.754</v>
      </c>
      <c r="R112" t="s">
        <v>57</v>
      </c>
      <c r="S112" t="s">
        <v>925</v>
      </c>
      <c r="T112" t="b">
        <v>1</v>
      </c>
      <c r="U112" t="s">
        <v>926</v>
      </c>
      <c r="V112" t="s">
        <v>927</v>
      </c>
      <c r="W112" t="s">
        <v>928</v>
      </c>
      <c r="X112" t="s">
        <v>47</v>
      </c>
      <c r="AA112" t="s">
        <v>114</v>
      </c>
      <c r="AC112" t="s">
        <v>63</v>
      </c>
      <c r="AD112" t="b">
        <v>0</v>
      </c>
      <c r="AF112">
        <v>7</v>
      </c>
      <c r="AG112" t="s">
        <v>469</v>
      </c>
    </row>
    <row r="113" spans="1:33" x14ac:dyDescent="0.2">
      <c r="A113">
        <v>1649</v>
      </c>
      <c r="B113" t="s">
        <v>929</v>
      </c>
      <c r="C113" t="s">
        <v>34</v>
      </c>
      <c r="D113" t="s">
        <v>35</v>
      </c>
      <c r="E113" t="s">
        <v>930</v>
      </c>
      <c r="F113" t="s">
        <v>931</v>
      </c>
      <c r="G113" t="s">
        <v>53</v>
      </c>
      <c r="H113" t="s">
        <v>54</v>
      </c>
      <c r="I113" t="s">
        <v>147</v>
      </c>
      <c r="J113" t="s">
        <v>148</v>
      </c>
      <c r="K113">
        <v>2009</v>
      </c>
      <c r="L113">
        <v>2009</v>
      </c>
      <c r="M113">
        <v>0.16</v>
      </c>
      <c r="N113">
        <v>0.54600000000000004</v>
      </c>
      <c r="O113">
        <v>125</v>
      </c>
      <c r="R113" t="s">
        <v>72</v>
      </c>
      <c r="S113" t="s">
        <v>932</v>
      </c>
      <c r="T113" t="b">
        <v>1</v>
      </c>
      <c r="U113" t="s">
        <v>933</v>
      </c>
      <c r="V113" t="s">
        <v>934</v>
      </c>
      <c r="W113" t="s">
        <v>935</v>
      </c>
      <c r="X113" t="s">
        <v>47</v>
      </c>
      <c r="AA113" t="s">
        <v>153</v>
      </c>
      <c r="AC113" t="s">
        <v>154</v>
      </c>
      <c r="AD113" t="b">
        <v>0</v>
      </c>
      <c r="AF113">
        <v>13</v>
      </c>
      <c r="AG113" t="s">
        <v>155</v>
      </c>
    </row>
    <row r="114" spans="1:33" x14ac:dyDescent="0.2">
      <c r="A114">
        <v>1005</v>
      </c>
      <c r="B114" t="s">
        <v>936</v>
      </c>
      <c r="C114" t="s">
        <v>34</v>
      </c>
      <c r="D114" t="s">
        <v>35</v>
      </c>
      <c r="E114" t="s">
        <v>937</v>
      </c>
      <c r="F114" t="s">
        <v>938</v>
      </c>
      <c r="G114" t="s">
        <v>53</v>
      </c>
      <c r="H114" t="s">
        <v>54</v>
      </c>
      <c r="I114" t="s">
        <v>118</v>
      </c>
      <c r="J114" t="s">
        <v>119</v>
      </c>
      <c r="K114">
        <v>2005</v>
      </c>
      <c r="L114">
        <v>2005</v>
      </c>
      <c r="M114">
        <v>0.4</v>
      </c>
      <c r="N114">
        <v>1.119</v>
      </c>
      <c r="R114" t="s">
        <v>84</v>
      </c>
      <c r="S114" t="s">
        <v>939</v>
      </c>
      <c r="T114" t="b">
        <v>1</v>
      </c>
      <c r="U114" t="s">
        <v>940</v>
      </c>
      <c r="V114" t="s">
        <v>941</v>
      </c>
      <c r="W114" t="s">
        <v>942</v>
      </c>
      <c r="X114" t="s">
        <v>47</v>
      </c>
      <c r="AA114" t="s">
        <v>479</v>
      </c>
      <c r="AC114" t="s">
        <v>63</v>
      </c>
      <c r="AD114" t="b">
        <v>0</v>
      </c>
      <c r="AF114">
        <v>5</v>
      </c>
      <c r="AG114" t="s">
        <v>89</v>
      </c>
    </row>
    <row r="115" spans="1:33" x14ac:dyDescent="0.2">
      <c r="A115">
        <v>1603</v>
      </c>
      <c r="B115" t="s">
        <v>936</v>
      </c>
      <c r="C115" t="s">
        <v>34</v>
      </c>
      <c r="D115" t="s">
        <v>35</v>
      </c>
      <c r="E115" t="s">
        <v>943</v>
      </c>
      <c r="F115" t="s">
        <v>944</v>
      </c>
      <c r="G115" t="s">
        <v>53</v>
      </c>
      <c r="H115" t="s">
        <v>54</v>
      </c>
      <c r="I115" t="s">
        <v>170</v>
      </c>
      <c r="J115" t="s">
        <v>171</v>
      </c>
      <c r="K115">
        <v>2007</v>
      </c>
      <c r="L115">
        <v>2007</v>
      </c>
      <c r="M115">
        <v>0.86199999999999999</v>
      </c>
      <c r="N115">
        <v>2.7170000000000001</v>
      </c>
      <c r="O115">
        <v>159</v>
      </c>
      <c r="P115">
        <v>0.65</v>
      </c>
      <c r="Q115">
        <v>0.36799999999999999</v>
      </c>
      <c r="R115" t="s">
        <v>57</v>
      </c>
      <c r="S115" t="s">
        <v>945</v>
      </c>
      <c r="T115" t="b">
        <v>1</v>
      </c>
      <c r="U115" t="s">
        <v>946</v>
      </c>
      <c r="V115" t="s">
        <v>947</v>
      </c>
      <c r="W115" t="s">
        <v>948</v>
      </c>
      <c r="X115" t="s">
        <v>47</v>
      </c>
      <c r="AA115" t="s">
        <v>949</v>
      </c>
      <c r="AC115" t="s">
        <v>950</v>
      </c>
      <c r="AD115" t="b">
        <v>0</v>
      </c>
      <c r="AF115">
        <v>6</v>
      </c>
      <c r="AG115" t="s">
        <v>64</v>
      </c>
    </row>
    <row r="116" spans="1:33" x14ac:dyDescent="0.2">
      <c r="A116">
        <v>2173</v>
      </c>
      <c r="B116" t="s">
        <v>951</v>
      </c>
      <c r="C116" t="s">
        <v>34</v>
      </c>
      <c r="D116" t="s">
        <v>35</v>
      </c>
      <c r="E116" t="s">
        <v>952</v>
      </c>
      <c r="F116" t="s">
        <v>953</v>
      </c>
      <c r="G116" t="s">
        <v>53</v>
      </c>
      <c r="H116" t="s">
        <v>54</v>
      </c>
      <c r="I116" t="s">
        <v>325</v>
      </c>
      <c r="J116" t="s">
        <v>135</v>
      </c>
      <c r="K116">
        <v>2025</v>
      </c>
      <c r="L116">
        <v>2025</v>
      </c>
      <c r="M116">
        <v>3</v>
      </c>
      <c r="N116">
        <v>8.32</v>
      </c>
      <c r="O116">
        <v>399</v>
      </c>
      <c r="P116">
        <v>0.86799999999999999</v>
      </c>
      <c r="Q116">
        <v>0.96</v>
      </c>
      <c r="R116" t="s">
        <v>84</v>
      </c>
      <c r="S116" t="s">
        <v>954</v>
      </c>
      <c r="T116" t="b">
        <v>1</v>
      </c>
      <c r="U116" t="s">
        <v>955</v>
      </c>
      <c r="V116" t="s">
        <v>956</v>
      </c>
      <c r="W116" t="s">
        <v>957</v>
      </c>
      <c r="X116" t="s">
        <v>47</v>
      </c>
      <c r="AA116" t="s">
        <v>958</v>
      </c>
      <c r="AC116" t="s">
        <v>959</v>
      </c>
      <c r="AD116" t="b">
        <v>0</v>
      </c>
      <c r="AF116">
        <v>3</v>
      </c>
      <c r="AG116" t="s">
        <v>332</v>
      </c>
    </row>
    <row r="117" spans="1:33" x14ac:dyDescent="0.2">
      <c r="A117">
        <v>1544</v>
      </c>
      <c r="B117" t="s">
        <v>960</v>
      </c>
      <c r="C117" t="s">
        <v>34</v>
      </c>
      <c r="D117" t="s">
        <v>35</v>
      </c>
      <c r="E117" t="s">
        <v>961</v>
      </c>
      <c r="F117" t="s">
        <v>962</v>
      </c>
      <c r="G117" t="s">
        <v>242</v>
      </c>
      <c r="H117" t="s">
        <v>243</v>
      </c>
      <c r="I117" t="s">
        <v>963</v>
      </c>
      <c r="J117" t="s">
        <v>964</v>
      </c>
      <c r="K117">
        <v>2009</v>
      </c>
      <c r="L117">
        <v>2009</v>
      </c>
      <c r="M117">
        <v>4.05</v>
      </c>
      <c r="N117">
        <v>12.303000000000001</v>
      </c>
      <c r="O117">
        <v>370</v>
      </c>
      <c r="P117">
        <v>1.3</v>
      </c>
      <c r="Q117">
        <v>0.86499999999999999</v>
      </c>
      <c r="R117" t="s">
        <v>72</v>
      </c>
      <c r="S117" t="s">
        <v>965</v>
      </c>
      <c r="T117" t="b">
        <v>1</v>
      </c>
      <c r="U117" t="s">
        <v>966</v>
      </c>
      <c r="V117" t="s">
        <v>967</v>
      </c>
      <c r="W117" t="s">
        <v>968</v>
      </c>
      <c r="X117" t="s">
        <v>47</v>
      </c>
      <c r="AA117" t="s">
        <v>969</v>
      </c>
      <c r="AB117" t="s">
        <v>71</v>
      </c>
      <c r="AC117" t="s">
        <v>970</v>
      </c>
      <c r="AD117" t="b">
        <v>0</v>
      </c>
      <c r="AF117">
        <v>8</v>
      </c>
      <c r="AG117" t="s">
        <v>78</v>
      </c>
    </row>
    <row r="118" spans="1:33" x14ac:dyDescent="0.2">
      <c r="A118">
        <v>37</v>
      </c>
      <c r="B118" t="s">
        <v>971</v>
      </c>
      <c r="C118" t="s">
        <v>34</v>
      </c>
      <c r="D118" t="s">
        <v>35</v>
      </c>
      <c r="E118" t="s">
        <v>277</v>
      </c>
      <c r="F118" t="s">
        <v>278</v>
      </c>
      <c r="G118" t="s">
        <v>93</v>
      </c>
      <c r="H118" t="s">
        <v>94</v>
      </c>
      <c r="I118" t="s">
        <v>972</v>
      </c>
      <c r="J118" t="s">
        <v>973</v>
      </c>
      <c r="K118">
        <v>1978</v>
      </c>
      <c r="L118">
        <v>1978</v>
      </c>
      <c r="M118">
        <v>35.950000000000003</v>
      </c>
      <c r="N118">
        <v>129.47239999999999</v>
      </c>
      <c r="O118">
        <v>9.5</v>
      </c>
      <c r="P118">
        <v>450</v>
      </c>
      <c r="Q118">
        <v>2.1999999999999999E-2</v>
      </c>
      <c r="R118" t="s">
        <v>97</v>
      </c>
      <c r="S118" t="s">
        <v>974</v>
      </c>
      <c r="T118" t="b">
        <v>1</v>
      </c>
      <c r="U118" t="s">
        <v>975</v>
      </c>
      <c r="V118" t="s">
        <v>389</v>
      </c>
      <c r="W118" t="s">
        <v>976</v>
      </c>
      <c r="X118" t="s">
        <v>47</v>
      </c>
      <c r="AA118" t="s">
        <v>340</v>
      </c>
      <c r="AB118" t="s">
        <v>462</v>
      </c>
      <c r="AC118" t="s">
        <v>341</v>
      </c>
      <c r="AD118" t="b">
        <v>0</v>
      </c>
      <c r="AF118">
        <v>1</v>
      </c>
      <c r="AG118" t="s">
        <v>104</v>
      </c>
    </row>
    <row r="119" spans="1:33" x14ac:dyDescent="0.2">
      <c r="A119">
        <v>38</v>
      </c>
      <c r="B119" t="s">
        <v>977</v>
      </c>
      <c r="C119" t="s">
        <v>34</v>
      </c>
      <c r="D119" t="s">
        <v>35</v>
      </c>
      <c r="E119" t="s">
        <v>36</v>
      </c>
      <c r="F119" t="s">
        <v>37</v>
      </c>
      <c r="G119" t="s">
        <v>242</v>
      </c>
      <c r="H119" t="s">
        <v>243</v>
      </c>
      <c r="I119" t="s">
        <v>978</v>
      </c>
      <c r="J119" t="s">
        <v>49</v>
      </c>
      <c r="K119">
        <v>1977</v>
      </c>
      <c r="L119">
        <v>1977</v>
      </c>
      <c r="M119">
        <v>124</v>
      </c>
      <c r="N119">
        <v>537.04300000000001</v>
      </c>
      <c r="O119">
        <v>145</v>
      </c>
      <c r="P119">
        <v>105</v>
      </c>
      <c r="Q119">
        <v>0.32800000000000001</v>
      </c>
      <c r="R119" t="s">
        <v>72</v>
      </c>
      <c r="S119" t="s">
        <v>979</v>
      </c>
      <c r="T119" t="b">
        <v>1</v>
      </c>
      <c r="U119" t="s">
        <v>980</v>
      </c>
      <c r="V119" t="s">
        <v>45</v>
      </c>
      <c r="W119" t="s">
        <v>981</v>
      </c>
      <c r="X119" t="s">
        <v>47</v>
      </c>
      <c r="AA119" t="s">
        <v>982</v>
      </c>
      <c r="AB119" t="s">
        <v>192</v>
      </c>
      <c r="AC119" t="s">
        <v>983</v>
      </c>
      <c r="AD119" t="b">
        <v>0</v>
      </c>
      <c r="AF119">
        <v>9</v>
      </c>
      <c r="AG119" t="s">
        <v>251</v>
      </c>
    </row>
    <row r="120" spans="1:33" x14ac:dyDescent="0.2">
      <c r="A120">
        <v>2047</v>
      </c>
      <c r="B120" t="s">
        <v>984</v>
      </c>
      <c r="C120" t="s">
        <v>34</v>
      </c>
      <c r="D120" t="s">
        <v>35</v>
      </c>
      <c r="E120" t="s">
        <v>985</v>
      </c>
      <c r="F120" t="s">
        <v>986</v>
      </c>
      <c r="G120" t="s">
        <v>53</v>
      </c>
      <c r="H120" t="s">
        <v>54</v>
      </c>
      <c r="I120" t="s">
        <v>325</v>
      </c>
      <c r="J120" t="s">
        <v>135</v>
      </c>
      <c r="K120">
        <v>2022</v>
      </c>
      <c r="L120">
        <v>2022</v>
      </c>
      <c r="M120">
        <v>4.4000000000000004</v>
      </c>
      <c r="N120">
        <v>9.1059999999999999</v>
      </c>
      <c r="O120">
        <v>245.1</v>
      </c>
      <c r="P120">
        <v>2.1</v>
      </c>
      <c r="Q120">
        <v>0.58199999999999996</v>
      </c>
      <c r="R120" t="s">
        <v>57</v>
      </c>
      <c r="S120" t="s">
        <v>987</v>
      </c>
      <c r="T120" t="b">
        <v>1</v>
      </c>
      <c r="U120" t="s">
        <v>988</v>
      </c>
      <c r="V120" t="s">
        <v>989</v>
      </c>
      <c r="W120" t="s">
        <v>990</v>
      </c>
      <c r="X120" t="s">
        <v>47</v>
      </c>
      <c r="AA120" t="s">
        <v>991</v>
      </c>
      <c r="AB120" t="s">
        <v>192</v>
      </c>
      <c r="AC120" t="s">
        <v>992</v>
      </c>
      <c r="AD120" t="b">
        <v>0</v>
      </c>
      <c r="AF120">
        <v>6</v>
      </c>
      <c r="AG120" t="s">
        <v>64</v>
      </c>
    </row>
    <row r="121" spans="1:33" x14ac:dyDescent="0.2">
      <c r="A121">
        <v>1687</v>
      </c>
      <c r="B121" t="s">
        <v>993</v>
      </c>
      <c r="C121" t="s">
        <v>34</v>
      </c>
      <c r="D121" t="s">
        <v>35</v>
      </c>
      <c r="E121" t="s">
        <v>994</v>
      </c>
      <c r="F121" t="s">
        <v>995</v>
      </c>
      <c r="G121" t="s">
        <v>53</v>
      </c>
      <c r="H121" t="s">
        <v>54</v>
      </c>
      <c r="I121" t="s">
        <v>235</v>
      </c>
      <c r="J121" t="s">
        <v>41</v>
      </c>
      <c r="K121">
        <v>2012</v>
      </c>
      <c r="L121">
        <v>2012</v>
      </c>
      <c r="M121">
        <v>0.68</v>
      </c>
      <c r="N121">
        <v>1.417</v>
      </c>
      <c r="O121">
        <v>189.6</v>
      </c>
      <c r="P121">
        <v>0.41</v>
      </c>
      <c r="Q121">
        <v>0.46100000000000002</v>
      </c>
      <c r="R121" t="s">
        <v>84</v>
      </c>
      <c r="S121" t="s">
        <v>996</v>
      </c>
      <c r="T121" t="b">
        <v>1</v>
      </c>
      <c r="U121" t="s">
        <v>997</v>
      </c>
      <c r="V121" t="s">
        <v>998</v>
      </c>
      <c r="W121" t="s">
        <v>999</v>
      </c>
      <c r="X121" t="s">
        <v>47</v>
      </c>
      <c r="AA121" t="s">
        <v>1000</v>
      </c>
      <c r="AC121" t="s">
        <v>1001</v>
      </c>
      <c r="AD121" t="b">
        <v>0</v>
      </c>
      <c r="AF121">
        <v>5</v>
      </c>
      <c r="AG121" t="s">
        <v>89</v>
      </c>
    </row>
    <row r="122" spans="1:33" x14ac:dyDescent="0.2">
      <c r="A122">
        <v>39</v>
      </c>
      <c r="B122" t="s">
        <v>1002</v>
      </c>
      <c r="C122" t="s">
        <v>296</v>
      </c>
      <c r="D122" t="s">
        <v>297</v>
      </c>
      <c r="E122" t="s">
        <v>253</v>
      </c>
      <c r="F122" t="s">
        <v>254</v>
      </c>
      <c r="G122" t="s">
        <v>242</v>
      </c>
      <c r="H122" t="s">
        <v>243</v>
      </c>
      <c r="I122" t="s">
        <v>1003</v>
      </c>
      <c r="J122" t="s">
        <v>192</v>
      </c>
      <c r="K122">
        <v>1955</v>
      </c>
      <c r="L122">
        <v>1955</v>
      </c>
      <c r="M122">
        <v>10.7</v>
      </c>
      <c r="N122">
        <v>32.241</v>
      </c>
      <c r="O122">
        <v>118.3</v>
      </c>
      <c r="P122">
        <v>12</v>
      </c>
      <c r="Q122">
        <v>0.248</v>
      </c>
      <c r="R122" t="s">
        <v>72</v>
      </c>
      <c r="S122" t="s">
        <v>1004</v>
      </c>
      <c r="T122" t="b">
        <v>1</v>
      </c>
      <c r="U122" t="s">
        <v>1005</v>
      </c>
      <c r="V122" t="s">
        <v>259</v>
      </c>
      <c r="W122" t="s">
        <v>1006</v>
      </c>
      <c r="X122" t="s">
        <v>47</v>
      </c>
      <c r="AA122" t="s">
        <v>1007</v>
      </c>
      <c r="AB122" t="s">
        <v>177</v>
      </c>
      <c r="AC122" t="s">
        <v>1008</v>
      </c>
      <c r="AD122" t="b">
        <v>0</v>
      </c>
      <c r="AF122">
        <v>9</v>
      </c>
      <c r="AG122" t="s">
        <v>251</v>
      </c>
    </row>
    <row r="123" spans="1:33" x14ac:dyDescent="0.2">
      <c r="A123">
        <v>40</v>
      </c>
      <c r="B123" t="s">
        <v>1009</v>
      </c>
      <c r="C123" t="s">
        <v>34</v>
      </c>
      <c r="D123" t="s">
        <v>35</v>
      </c>
      <c r="E123" t="s">
        <v>1010</v>
      </c>
      <c r="F123" t="s">
        <v>1011</v>
      </c>
      <c r="G123" t="s">
        <v>242</v>
      </c>
      <c r="H123" t="s">
        <v>243</v>
      </c>
      <c r="I123" t="s">
        <v>1012</v>
      </c>
      <c r="J123" t="s">
        <v>676</v>
      </c>
      <c r="K123">
        <v>1982</v>
      </c>
      <c r="L123">
        <v>1982</v>
      </c>
      <c r="M123">
        <v>80</v>
      </c>
      <c r="N123">
        <v>352.69299999999998</v>
      </c>
      <c r="O123">
        <v>268.89999999999998</v>
      </c>
      <c r="P123">
        <v>36.020000000000003</v>
      </c>
      <c r="Q123">
        <v>0.61599999999999999</v>
      </c>
      <c r="R123" t="s">
        <v>72</v>
      </c>
      <c r="S123" t="s">
        <v>1013</v>
      </c>
      <c r="T123" t="b">
        <v>1</v>
      </c>
      <c r="U123" t="s">
        <v>1014</v>
      </c>
      <c r="V123" t="s">
        <v>1015</v>
      </c>
      <c r="W123" t="s">
        <v>1016</v>
      </c>
      <c r="X123" t="s">
        <v>47</v>
      </c>
      <c r="AA123" t="s">
        <v>1017</v>
      </c>
      <c r="AB123" t="s">
        <v>83</v>
      </c>
      <c r="AC123" t="s">
        <v>1018</v>
      </c>
      <c r="AD123" t="b">
        <v>0</v>
      </c>
      <c r="AF123">
        <v>8</v>
      </c>
      <c r="AG123" t="s">
        <v>78</v>
      </c>
    </row>
    <row r="124" spans="1:33" x14ac:dyDescent="0.2">
      <c r="A124">
        <v>869</v>
      </c>
      <c r="B124" t="s">
        <v>1019</v>
      </c>
      <c r="C124" t="s">
        <v>34</v>
      </c>
      <c r="D124" t="s">
        <v>35</v>
      </c>
      <c r="E124" t="s">
        <v>1020</v>
      </c>
      <c r="F124" t="s">
        <v>1021</v>
      </c>
      <c r="G124" t="s">
        <v>68</v>
      </c>
      <c r="H124" t="s">
        <v>69</v>
      </c>
      <c r="I124" t="s">
        <v>473</v>
      </c>
      <c r="J124" t="s">
        <v>474</v>
      </c>
      <c r="K124">
        <v>1912</v>
      </c>
      <c r="L124">
        <v>1912</v>
      </c>
      <c r="M124">
        <v>0.81</v>
      </c>
      <c r="N124">
        <v>1.9430000000000001</v>
      </c>
      <c r="R124" t="s">
        <v>72</v>
      </c>
      <c r="S124" t="s">
        <v>1022</v>
      </c>
      <c r="T124" t="b">
        <v>1</v>
      </c>
      <c r="U124" t="s">
        <v>1023</v>
      </c>
      <c r="V124" t="s">
        <v>1024</v>
      </c>
      <c r="W124" t="s">
        <v>113</v>
      </c>
      <c r="X124" t="s">
        <v>47</v>
      </c>
      <c r="AA124" t="s">
        <v>1025</v>
      </c>
      <c r="AC124" t="s">
        <v>63</v>
      </c>
      <c r="AD124" t="b">
        <v>0</v>
      </c>
      <c r="AF124">
        <v>8</v>
      </c>
      <c r="AG124" t="s">
        <v>78</v>
      </c>
    </row>
    <row r="125" spans="1:33" x14ac:dyDescent="0.2">
      <c r="A125">
        <v>1232</v>
      </c>
      <c r="B125" t="s">
        <v>1026</v>
      </c>
      <c r="C125" t="s">
        <v>34</v>
      </c>
      <c r="D125" t="s">
        <v>35</v>
      </c>
      <c r="E125" t="s">
        <v>1027</v>
      </c>
      <c r="F125" t="s">
        <v>1028</v>
      </c>
      <c r="G125" t="s">
        <v>213</v>
      </c>
      <c r="H125" t="s">
        <v>83</v>
      </c>
      <c r="I125" t="s">
        <v>1029</v>
      </c>
      <c r="J125" t="s">
        <v>225</v>
      </c>
      <c r="K125">
        <v>2006</v>
      </c>
      <c r="L125">
        <v>2006</v>
      </c>
      <c r="M125">
        <v>14.8</v>
      </c>
      <c r="N125">
        <v>54.548000000000002</v>
      </c>
      <c r="O125">
        <v>60</v>
      </c>
      <c r="P125">
        <v>27</v>
      </c>
      <c r="Q125">
        <v>0.14199999999999999</v>
      </c>
      <c r="R125" t="s">
        <v>84</v>
      </c>
      <c r="S125" t="s">
        <v>1030</v>
      </c>
      <c r="T125" t="b">
        <v>1</v>
      </c>
      <c r="U125" t="s">
        <v>1031</v>
      </c>
      <c r="V125" t="s">
        <v>1032</v>
      </c>
      <c r="W125" t="s">
        <v>1033</v>
      </c>
      <c r="X125" t="s">
        <v>47</v>
      </c>
      <c r="AA125" t="s">
        <v>1034</v>
      </c>
      <c r="AB125" t="s">
        <v>280</v>
      </c>
      <c r="AC125" t="s">
        <v>1035</v>
      </c>
      <c r="AD125" t="b">
        <v>0</v>
      </c>
      <c r="AF125">
        <v>4</v>
      </c>
      <c r="AG125" t="s">
        <v>321</v>
      </c>
    </row>
    <row r="126" spans="1:33" x14ac:dyDescent="0.2">
      <c r="A126">
        <v>1882</v>
      </c>
      <c r="B126" t="s">
        <v>1036</v>
      </c>
      <c r="C126" t="s">
        <v>34</v>
      </c>
      <c r="D126" t="s">
        <v>35</v>
      </c>
      <c r="E126" t="s">
        <v>1037</v>
      </c>
      <c r="F126" t="s">
        <v>1038</v>
      </c>
      <c r="G126" t="s">
        <v>53</v>
      </c>
      <c r="H126" t="s">
        <v>54</v>
      </c>
      <c r="I126" t="s">
        <v>1039</v>
      </c>
      <c r="J126" t="s">
        <v>243</v>
      </c>
      <c r="K126">
        <v>2016</v>
      </c>
      <c r="L126">
        <v>2016</v>
      </c>
      <c r="M126">
        <v>0.9</v>
      </c>
      <c r="N126">
        <v>5.3849999999999998</v>
      </c>
      <c r="O126">
        <v>350.2</v>
      </c>
      <c r="P126">
        <v>0.3</v>
      </c>
      <c r="Q126">
        <v>0.83299999999999996</v>
      </c>
      <c r="R126" t="s">
        <v>72</v>
      </c>
      <c r="S126" t="s">
        <v>1040</v>
      </c>
      <c r="T126" t="b">
        <v>1</v>
      </c>
      <c r="U126" t="s">
        <v>1041</v>
      </c>
      <c r="V126" t="s">
        <v>1042</v>
      </c>
      <c r="W126" t="s">
        <v>1043</v>
      </c>
      <c r="X126" t="s">
        <v>47</v>
      </c>
      <c r="AA126" t="s">
        <v>1044</v>
      </c>
      <c r="AC126" t="s">
        <v>1045</v>
      </c>
      <c r="AD126" t="b">
        <v>0</v>
      </c>
      <c r="AF126">
        <v>13</v>
      </c>
      <c r="AG126" t="s">
        <v>155</v>
      </c>
    </row>
    <row r="127" spans="1:33" x14ac:dyDescent="0.2">
      <c r="A127">
        <v>2024</v>
      </c>
      <c r="B127" t="s">
        <v>1046</v>
      </c>
      <c r="C127" t="s">
        <v>34</v>
      </c>
      <c r="D127" t="s">
        <v>35</v>
      </c>
      <c r="E127" t="s">
        <v>1047</v>
      </c>
      <c r="F127" t="s">
        <v>1048</v>
      </c>
      <c r="G127" t="s">
        <v>312</v>
      </c>
      <c r="H127" t="s">
        <v>313</v>
      </c>
      <c r="I127" t="s">
        <v>1049</v>
      </c>
      <c r="J127" t="s">
        <v>171</v>
      </c>
      <c r="K127">
        <v>2021</v>
      </c>
      <c r="L127">
        <v>2021</v>
      </c>
      <c r="M127">
        <v>1.77</v>
      </c>
      <c r="N127">
        <v>4.42</v>
      </c>
      <c r="O127">
        <v>233.4</v>
      </c>
      <c r="P127">
        <v>0.88</v>
      </c>
      <c r="Q127">
        <v>0.55900000000000005</v>
      </c>
      <c r="R127" t="s">
        <v>84</v>
      </c>
      <c r="S127" t="s">
        <v>1050</v>
      </c>
      <c r="T127" t="b">
        <v>1</v>
      </c>
      <c r="U127" t="s">
        <v>1051</v>
      </c>
      <c r="V127" t="s">
        <v>1052</v>
      </c>
      <c r="W127" t="s">
        <v>1053</v>
      </c>
      <c r="X127" t="s">
        <v>47</v>
      </c>
      <c r="AA127" t="s">
        <v>615</v>
      </c>
      <c r="AC127" t="s">
        <v>616</v>
      </c>
      <c r="AD127" t="b">
        <v>0</v>
      </c>
      <c r="AF127">
        <v>4</v>
      </c>
      <c r="AG127" t="s">
        <v>321</v>
      </c>
    </row>
    <row r="128" spans="1:33" x14ac:dyDescent="0.2">
      <c r="A128">
        <v>534</v>
      </c>
      <c r="B128" t="s">
        <v>1054</v>
      </c>
      <c r="C128" t="s">
        <v>34</v>
      </c>
      <c r="D128" t="s">
        <v>35</v>
      </c>
      <c r="E128" t="s">
        <v>1055</v>
      </c>
      <c r="F128" t="s">
        <v>1056</v>
      </c>
      <c r="G128" t="s">
        <v>93</v>
      </c>
      <c r="H128" t="s">
        <v>94</v>
      </c>
      <c r="I128" t="s">
        <v>1057</v>
      </c>
      <c r="J128" t="s">
        <v>836</v>
      </c>
      <c r="K128">
        <v>1988</v>
      </c>
      <c r="L128">
        <v>1988</v>
      </c>
      <c r="M128">
        <v>1</v>
      </c>
      <c r="N128">
        <v>5.069</v>
      </c>
      <c r="O128">
        <v>29</v>
      </c>
      <c r="P128">
        <v>4.21</v>
      </c>
      <c r="Q128">
        <v>6.5000000000000002E-2</v>
      </c>
      <c r="R128" t="s">
        <v>97</v>
      </c>
      <c r="S128" t="s">
        <v>1058</v>
      </c>
      <c r="T128" t="b">
        <v>1</v>
      </c>
      <c r="U128" t="s">
        <v>1059</v>
      </c>
      <c r="V128" t="s">
        <v>1060</v>
      </c>
      <c r="W128" t="s">
        <v>1061</v>
      </c>
      <c r="X128" t="s">
        <v>47</v>
      </c>
      <c r="AA128" t="s">
        <v>340</v>
      </c>
      <c r="AB128" t="s">
        <v>1062</v>
      </c>
      <c r="AC128" t="s">
        <v>1063</v>
      </c>
      <c r="AD128" t="b">
        <v>0</v>
      </c>
      <c r="AF128">
        <v>1</v>
      </c>
      <c r="AG128" t="s">
        <v>104</v>
      </c>
    </row>
    <row r="129" spans="1:33" x14ac:dyDescent="0.2">
      <c r="A129">
        <v>41</v>
      </c>
      <c r="B129" t="s">
        <v>1064</v>
      </c>
      <c r="C129" t="s">
        <v>574</v>
      </c>
      <c r="D129" t="s">
        <v>575</v>
      </c>
      <c r="E129" t="s">
        <v>1065</v>
      </c>
      <c r="F129" t="s">
        <v>1066</v>
      </c>
      <c r="G129" t="s">
        <v>312</v>
      </c>
      <c r="H129" t="s">
        <v>313</v>
      </c>
      <c r="I129" t="s">
        <v>1067</v>
      </c>
      <c r="J129" t="s">
        <v>676</v>
      </c>
      <c r="K129">
        <v>1981</v>
      </c>
      <c r="L129">
        <v>1981</v>
      </c>
      <c r="M129">
        <v>-20</v>
      </c>
      <c r="N129">
        <v>-76.427999999999997</v>
      </c>
      <c r="O129">
        <v>0</v>
      </c>
      <c r="P129">
        <v>19.97</v>
      </c>
      <c r="Q129">
        <v>-0.27700000000000002</v>
      </c>
      <c r="R129" t="s">
        <v>84</v>
      </c>
      <c r="S129" t="s">
        <v>1068</v>
      </c>
      <c r="T129" t="b">
        <v>1</v>
      </c>
      <c r="U129" t="s">
        <v>1069</v>
      </c>
      <c r="V129" t="s">
        <v>1070</v>
      </c>
      <c r="W129" t="s">
        <v>1071</v>
      </c>
      <c r="X129" t="s">
        <v>47</v>
      </c>
      <c r="AA129" t="s">
        <v>319</v>
      </c>
      <c r="AB129" t="s">
        <v>1072</v>
      </c>
      <c r="AC129" t="s">
        <v>320</v>
      </c>
      <c r="AD129" t="b">
        <v>0</v>
      </c>
      <c r="AF129">
        <v>3</v>
      </c>
      <c r="AG129" t="s">
        <v>332</v>
      </c>
    </row>
    <row r="130" spans="1:33" x14ac:dyDescent="0.2">
      <c r="A130">
        <v>1099</v>
      </c>
      <c r="B130" t="s">
        <v>1073</v>
      </c>
      <c r="C130" t="s">
        <v>34</v>
      </c>
      <c r="D130" t="s">
        <v>35</v>
      </c>
      <c r="E130" t="s">
        <v>1074</v>
      </c>
      <c r="F130" t="s">
        <v>1075</v>
      </c>
      <c r="G130" t="s">
        <v>38</v>
      </c>
      <c r="H130" t="s">
        <v>39</v>
      </c>
      <c r="I130" t="s">
        <v>1076</v>
      </c>
      <c r="J130" t="s">
        <v>1077</v>
      </c>
      <c r="K130">
        <v>1950</v>
      </c>
      <c r="L130">
        <v>1950</v>
      </c>
      <c r="M130">
        <v>0.63500000000000001</v>
      </c>
      <c r="N130">
        <v>3.9929999999999999</v>
      </c>
      <c r="O130">
        <v>69.900000000000006</v>
      </c>
      <c r="P130">
        <v>1.4</v>
      </c>
      <c r="Q130">
        <v>0.126</v>
      </c>
      <c r="R130" t="s">
        <v>42</v>
      </c>
      <c r="S130" t="s">
        <v>1078</v>
      </c>
      <c r="T130" t="b">
        <v>1</v>
      </c>
      <c r="U130" t="s">
        <v>1079</v>
      </c>
      <c r="V130" t="s">
        <v>1080</v>
      </c>
      <c r="W130" t="s">
        <v>1081</v>
      </c>
      <c r="X130" t="s">
        <v>47</v>
      </c>
      <c r="AA130" t="s">
        <v>1082</v>
      </c>
      <c r="AC130" t="s">
        <v>1083</v>
      </c>
      <c r="AD130" t="b">
        <v>0</v>
      </c>
      <c r="AF130">
        <v>12</v>
      </c>
      <c r="AG130" t="s">
        <v>51</v>
      </c>
    </row>
    <row r="131" spans="1:33" x14ac:dyDescent="0.2">
      <c r="A131">
        <v>1981</v>
      </c>
      <c r="B131" t="s">
        <v>1084</v>
      </c>
      <c r="C131" t="s">
        <v>34</v>
      </c>
      <c r="D131" t="s">
        <v>35</v>
      </c>
      <c r="E131" t="s">
        <v>1085</v>
      </c>
      <c r="F131" t="s">
        <v>1086</v>
      </c>
      <c r="G131" t="s">
        <v>134</v>
      </c>
      <c r="H131" t="s">
        <v>135</v>
      </c>
      <c r="I131" t="s">
        <v>202</v>
      </c>
      <c r="J131" t="s">
        <v>203</v>
      </c>
      <c r="K131">
        <v>2021</v>
      </c>
      <c r="L131">
        <v>2021</v>
      </c>
      <c r="M131">
        <v>8.59</v>
      </c>
      <c r="N131">
        <v>27.355</v>
      </c>
      <c r="O131">
        <v>305.5</v>
      </c>
      <c r="P131">
        <v>4.25</v>
      </c>
      <c r="Q131">
        <v>0.56100000000000005</v>
      </c>
      <c r="R131" t="s">
        <v>42</v>
      </c>
      <c r="S131" t="s">
        <v>1087</v>
      </c>
      <c r="T131" t="b">
        <v>1</v>
      </c>
      <c r="U131" t="s">
        <v>1088</v>
      </c>
      <c r="V131" t="s">
        <v>1089</v>
      </c>
      <c r="W131" t="s">
        <v>1090</v>
      </c>
      <c r="X131" t="s">
        <v>47</v>
      </c>
      <c r="AA131" t="s">
        <v>1084</v>
      </c>
      <c r="AB131" t="s">
        <v>49</v>
      </c>
      <c r="AC131" t="s">
        <v>1091</v>
      </c>
      <c r="AD131" t="b">
        <v>0</v>
      </c>
      <c r="AF131">
        <v>10</v>
      </c>
      <c r="AG131" t="s">
        <v>143</v>
      </c>
    </row>
    <row r="132" spans="1:33" x14ac:dyDescent="0.2">
      <c r="A132">
        <v>2095</v>
      </c>
      <c r="B132" t="s">
        <v>1084</v>
      </c>
      <c r="C132" t="s">
        <v>34</v>
      </c>
      <c r="D132" t="s">
        <v>35</v>
      </c>
      <c r="E132" t="s">
        <v>1092</v>
      </c>
      <c r="F132" t="s">
        <v>1093</v>
      </c>
      <c r="G132" t="s">
        <v>134</v>
      </c>
      <c r="H132" t="s">
        <v>135</v>
      </c>
      <c r="I132" t="s">
        <v>1094</v>
      </c>
      <c r="J132" t="s">
        <v>426</v>
      </c>
      <c r="K132">
        <v>2024</v>
      </c>
      <c r="L132">
        <v>2024</v>
      </c>
      <c r="M132">
        <v>3.5</v>
      </c>
      <c r="N132">
        <v>10</v>
      </c>
      <c r="O132">
        <v>232.8</v>
      </c>
      <c r="P132">
        <v>1.85</v>
      </c>
      <c r="Q132">
        <v>0.52600000000000002</v>
      </c>
      <c r="R132" t="s">
        <v>42</v>
      </c>
      <c r="S132" t="s">
        <v>1095</v>
      </c>
      <c r="T132" t="b">
        <v>1</v>
      </c>
      <c r="U132" t="s">
        <v>1096</v>
      </c>
      <c r="V132" t="s">
        <v>1097</v>
      </c>
      <c r="W132" t="s">
        <v>1098</v>
      </c>
      <c r="X132" t="s">
        <v>47</v>
      </c>
      <c r="AA132" t="s">
        <v>114</v>
      </c>
      <c r="AC132" t="s">
        <v>63</v>
      </c>
      <c r="AD132" t="b">
        <v>0</v>
      </c>
      <c r="AF132">
        <v>10</v>
      </c>
      <c r="AG132" t="s">
        <v>143</v>
      </c>
    </row>
    <row r="133" spans="1:33" x14ac:dyDescent="0.2">
      <c r="A133">
        <v>1328</v>
      </c>
      <c r="B133" t="s">
        <v>1099</v>
      </c>
      <c r="C133" t="s">
        <v>34</v>
      </c>
      <c r="D133" t="s">
        <v>35</v>
      </c>
      <c r="E133" t="s">
        <v>1100</v>
      </c>
      <c r="F133" t="s">
        <v>1101</v>
      </c>
      <c r="G133" t="s">
        <v>242</v>
      </c>
      <c r="H133" t="s">
        <v>243</v>
      </c>
      <c r="I133" t="s">
        <v>436</v>
      </c>
      <c r="J133" t="s">
        <v>437</v>
      </c>
      <c r="K133">
        <v>2001</v>
      </c>
      <c r="L133">
        <v>2001</v>
      </c>
      <c r="M133">
        <v>1</v>
      </c>
      <c r="N133">
        <v>4.6680000000000001</v>
      </c>
      <c r="O133">
        <v>102</v>
      </c>
      <c r="P133">
        <v>1.1000000000000001</v>
      </c>
      <c r="Q133">
        <v>0.253</v>
      </c>
      <c r="R133" t="s">
        <v>72</v>
      </c>
      <c r="S133" t="s">
        <v>1102</v>
      </c>
      <c r="T133" t="b">
        <v>1</v>
      </c>
      <c r="U133" t="s">
        <v>1103</v>
      </c>
      <c r="V133" t="s">
        <v>1104</v>
      </c>
      <c r="W133" t="s">
        <v>1105</v>
      </c>
      <c r="X133" t="s">
        <v>47</v>
      </c>
      <c r="AA133" t="s">
        <v>1106</v>
      </c>
      <c r="AB133" t="s">
        <v>177</v>
      </c>
      <c r="AC133" t="s">
        <v>1107</v>
      </c>
      <c r="AD133" t="b">
        <v>0</v>
      </c>
      <c r="AF133">
        <v>9</v>
      </c>
      <c r="AG133" t="s">
        <v>251</v>
      </c>
    </row>
    <row r="134" spans="1:33" x14ac:dyDescent="0.2">
      <c r="A134">
        <v>42</v>
      </c>
      <c r="B134" t="s">
        <v>1108</v>
      </c>
      <c r="C134" t="s">
        <v>34</v>
      </c>
      <c r="D134" t="s">
        <v>35</v>
      </c>
      <c r="E134" t="s">
        <v>168</v>
      </c>
      <c r="F134" t="s">
        <v>169</v>
      </c>
      <c r="G134" t="s">
        <v>916</v>
      </c>
      <c r="H134" t="s">
        <v>567</v>
      </c>
      <c r="I134" t="s">
        <v>1109</v>
      </c>
      <c r="J134" t="s">
        <v>71</v>
      </c>
      <c r="K134">
        <v>1987</v>
      </c>
      <c r="L134">
        <v>1987</v>
      </c>
      <c r="M134">
        <v>1.5</v>
      </c>
      <c r="N134">
        <v>2.4020000000000001</v>
      </c>
      <c r="O134">
        <v>15</v>
      </c>
      <c r="P134">
        <v>9.92</v>
      </c>
      <c r="Q134">
        <v>4.1000000000000002E-2</v>
      </c>
      <c r="R134" t="s">
        <v>97</v>
      </c>
      <c r="S134" t="s">
        <v>1110</v>
      </c>
      <c r="T134" t="b">
        <v>1</v>
      </c>
      <c r="U134" t="s">
        <v>1111</v>
      </c>
      <c r="V134" t="s">
        <v>174</v>
      </c>
      <c r="W134" t="s">
        <v>1112</v>
      </c>
      <c r="X134" t="s">
        <v>47</v>
      </c>
      <c r="AA134" t="s">
        <v>340</v>
      </c>
      <c r="AB134" t="s">
        <v>192</v>
      </c>
      <c r="AC134" t="s">
        <v>341</v>
      </c>
      <c r="AD134" t="b">
        <v>0</v>
      </c>
      <c r="AF134">
        <v>1</v>
      </c>
      <c r="AG134" t="s">
        <v>104</v>
      </c>
    </row>
    <row r="135" spans="1:33" x14ac:dyDescent="0.2">
      <c r="A135">
        <v>43</v>
      </c>
      <c r="B135" t="s">
        <v>1108</v>
      </c>
      <c r="C135" t="s">
        <v>34</v>
      </c>
      <c r="D135" t="s">
        <v>35</v>
      </c>
      <c r="E135" t="s">
        <v>899</v>
      </c>
      <c r="F135" t="s">
        <v>900</v>
      </c>
      <c r="G135" t="s">
        <v>916</v>
      </c>
      <c r="H135" t="s">
        <v>567</v>
      </c>
      <c r="I135" t="s">
        <v>1113</v>
      </c>
      <c r="J135" t="s">
        <v>49</v>
      </c>
      <c r="K135">
        <v>1924</v>
      </c>
      <c r="L135">
        <v>1924</v>
      </c>
      <c r="M135">
        <v>8</v>
      </c>
      <c r="N135">
        <v>31.370999999999999</v>
      </c>
      <c r="O135">
        <v>26.6</v>
      </c>
      <c r="P135">
        <v>37.04</v>
      </c>
      <c r="Q135">
        <v>5.8999999999999997E-2</v>
      </c>
      <c r="R135" t="s">
        <v>97</v>
      </c>
      <c r="S135" t="s">
        <v>1114</v>
      </c>
      <c r="T135" t="b">
        <v>1</v>
      </c>
      <c r="U135" t="s">
        <v>1115</v>
      </c>
      <c r="V135" t="s">
        <v>904</v>
      </c>
      <c r="W135" t="s">
        <v>113</v>
      </c>
      <c r="X135" t="s">
        <v>47</v>
      </c>
      <c r="AA135" t="s">
        <v>1116</v>
      </c>
      <c r="AB135" t="s">
        <v>83</v>
      </c>
      <c r="AC135" t="s">
        <v>1117</v>
      </c>
      <c r="AD135" t="b">
        <v>0</v>
      </c>
      <c r="AF135">
        <v>1</v>
      </c>
      <c r="AG135" t="s">
        <v>104</v>
      </c>
    </row>
    <row r="136" spans="1:33" x14ac:dyDescent="0.2">
      <c r="A136">
        <v>1141</v>
      </c>
      <c r="B136" t="s">
        <v>1118</v>
      </c>
      <c r="C136" t="s">
        <v>34</v>
      </c>
      <c r="D136" t="s">
        <v>35</v>
      </c>
      <c r="E136" t="s">
        <v>1119</v>
      </c>
      <c r="F136" t="s">
        <v>1120</v>
      </c>
      <c r="G136" t="s">
        <v>312</v>
      </c>
      <c r="H136" t="s">
        <v>313</v>
      </c>
      <c r="I136" t="s">
        <v>1049</v>
      </c>
      <c r="J136" t="s">
        <v>171</v>
      </c>
      <c r="K136">
        <v>2004</v>
      </c>
      <c r="L136">
        <v>2004</v>
      </c>
      <c r="M136">
        <v>0.47199999999999998</v>
      </c>
      <c r="N136">
        <v>1.2270000000000001</v>
      </c>
      <c r="R136" t="s">
        <v>84</v>
      </c>
      <c r="S136" t="s">
        <v>1121</v>
      </c>
      <c r="T136" t="b">
        <v>1</v>
      </c>
      <c r="U136" t="s">
        <v>1122</v>
      </c>
      <c r="V136" t="s">
        <v>1123</v>
      </c>
      <c r="W136" t="s">
        <v>1124</v>
      </c>
      <c r="X136" t="s">
        <v>47</v>
      </c>
      <c r="AA136" t="s">
        <v>615</v>
      </c>
      <c r="AC136" t="s">
        <v>616</v>
      </c>
      <c r="AD136" t="b">
        <v>0</v>
      </c>
      <c r="AF136">
        <v>4</v>
      </c>
      <c r="AG136" t="s">
        <v>321</v>
      </c>
    </row>
    <row r="137" spans="1:33" x14ac:dyDescent="0.2">
      <c r="A137">
        <v>44</v>
      </c>
      <c r="B137" t="s">
        <v>1125</v>
      </c>
      <c r="C137" t="s">
        <v>34</v>
      </c>
      <c r="D137" t="s">
        <v>35</v>
      </c>
      <c r="E137" t="s">
        <v>277</v>
      </c>
      <c r="F137" t="s">
        <v>278</v>
      </c>
      <c r="G137" t="s">
        <v>224</v>
      </c>
      <c r="H137" t="s">
        <v>225</v>
      </c>
      <c r="I137" t="s">
        <v>1126</v>
      </c>
      <c r="J137" t="s">
        <v>262</v>
      </c>
      <c r="K137">
        <v>1957</v>
      </c>
      <c r="L137">
        <v>1957</v>
      </c>
      <c r="M137">
        <v>1.6</v>
      </c>
      <c r="N137">
        <v>8.6649999999999991</v>
      </c>
      <c r="O137">
        <v>38</v>
      </c>
      <c r="P137">
        <v>4.4800000000000004</v>
      </c>
      <c r="Q137">
        <v>9.8000000000000004E-2</v>
      </c>
      <c r="R137" t="s">
        <v>57</v>
      </c>
      <c r="S137" t="s">
        <v>1127</v>
      </c>
      <c r="T137" t="b">
        <v>1</v>
      </c>
      <c r="U137" t="s">
        <v>1128</v>
      </c>
      <c r="V137" t="s">
        <v>1129</v>
      </c>
      <c r="W137" t="s">
        <v>1130</v>
      </c>
      <c r="X137" t="s">
        <v>47</v>
      </c>
      <c r="AA137" t="s">
        <v>102</v>
      </c>
      <c r="AB137" t="s">
        <v>1131</v>
      </c>
      <c r="AC137" t="s">
        <v>103</v>
      </c>
      <c r="AD137" t="b">
        <v>0</v>
      </c>
      <c r="AF137">
        <v>2</v>
      </c>
      <c r="AG137" t="s">
        <v>287</v>
      </c>
    </row>
    <row r="138" spans="1:33" x14ac:dyDescent="0.2">
      <c r="A138">
        <v>1247</v>
      </c>
      <c r="B138" t="s">
        <v>1132</v>
      </c>
      <c r="C138" t="s">
        <v>34</v>
      </c>
      <c r="D138" t="s">
        <v>35</v>
      </c>
      <c r="E138" t="s">
        <v>1133</v>
      </c>
      <c r="F138" t="s">
        <v>1134</v>
      </c>
      <c r="G138" t="s">
        <v>53</v>
      </c>
      <c r="H138" t="s">
        <v>54</v>
      </c>
      <c r="I138" t="s">
        <v>1039</v>
      </c>
      <c r="J138" t="s">
        <v>243</v>
      </c>
      <c r="K138">
        <v>2005</v>
      </c>
      <c r="L138">
        <v>2005</v>
      </c>
      <c r="M138">
        <v>3.9</v>
      </c>
      <c r="N138">
        <v>18.47</v>
      </c>
      <c r="O138">
        <v>68</v>
      </c>
      <c r="P138">
        <v>7</v>
      </c>
      <c r="Q138">
        <v>0.16300000000000001</v>
      </c>
      <c r="R138" t="s">
        <v>72</v>
      </c>
      <c r="S138" t="s">
        <v>1135</v>
      </c>
      <c r="T138" t="b">
        <v>1</v>
      </c>
      <c r="U138" t="s">
        <v>1136</v>
      </c>
      <c r="V138" t="s">
        <v>1137</v>
      </c>
      <c r="W138" t="s">
        <v>1138</v>
      </c>
      <c r="X138" t="s">
        <v>47</v>
      </c>
      <c r="AA138" t="s">
        <v>1139</v>
      </c>
      <c r="AB138" t="s">
        <v>49</v>
      </c>
      <c r="AC138" t="s">
        <v>1140</v>
      </c>
      <c r="AD138" t="b">
        <v>0</v>
      </c>
      <c r="AF138">
        <v>13</v>
      </c>
      <c r="AG138" t="s">
        <v>155</v>
      </c>
    </row>
    <row r="139" spans="1:33" x14ac:dyDescent="0.2">
      <c r="A139">
        <v>1892</v>
      </c>
      <c r="B139" t="s">
        <v>1132</v>
      </c>
      <c r="C139" t="s">
        <v>34</v>
      </c>
      <c r="D139" t="s">
        <v>35</v>
      </c>
      <c r="E139" t="s">
        <v>1141</v>
      </c>
      <c r="F139" t="s">
        <v>1142</v>
      </c>
      <c r="G139" t="s">
        <v>53</v>
      </c>
      <c r="H139" t="s">
        <v>54</v>
      </c>
      <c r="I139" t="s">
        <v>1143</v>
      </c>
      <c r="J139" t="s">
        <v>54</v>
      </c>
      <c r="K139">
        <v>2018</v>
      </c>
      <c r="L139">
        <v>2018</v>
      </c>
      <c r="M139">
        <v>3.8</v>
      </c>
      <c r="N139">
        <v>9.6289999999999996</v>
      </c>
      <c r="O139">
        <v>86</v>
      </c>
      <c r="P139">
        <v>5</v>
      </c>
      <c r="Q139">
        <v>0.21099999999999999</v>
      </c>
      <c r="R139" t="s">
        <v>72</v>
      </c>
      <c r="S139" t="s">
        <v>1144</v>
      </c>
      <c r="T139" t="b">
        <v>1</v>
      </c>
      <c r="U139" t="s">
        <v>1145</v>
      </c>
      <c r="V139" t="s">
        <v>1146</v>
      </c>
      <c r="W139" t="s">
        <v>1147</v>
      </c>
      <c r="X139" t="s">
        <v>47</v>
      </c>
      <c r="AA139" t="s">
        <v>479</v>
      </c>
      <c r="AB139" t="s">
        <v>308</v>
      </c>
      <c r="AC139" t="s">
        <v>1148</v>
      </c>
      <c r="AD139" t="b">
        <v>0</v>
      </c>
      <c r="AF139">
        <v>13</v>
      </c>
      <c r="AG139" t="s">
        <v>155</v>
      </c>
    </row>
    <row r="140" spans="1:33" x14ac:dyDescent="0.2">
      <c r="A140">
        <v>819</v>
      </c>
      <c r="B140" t="s">
        <v>1149</v>
      </c>
      <c r="C140" t="s">
        <v>34</v>
      </c>
      <c r="D140" t="s">
        <v>35</v>
      </c>
      <c r="E140" t="s">
        <v>1150</v>
      </c>
      <c r="F140" t="s">
        <v>1151</v>
      </c>
      <c r="G140" t="s">
        <v>213</v>
      </c>
      <c r="H140" t="s">
        <v>83</v>
      </c>
      <c r="I140" t="s">
        <v>1152</v>
      </c>
      <c r="J140" t="s">
        <v>676</v>
      </c>
      <c r="K140">
        <v>2000</v>
      </c>
      <c r="L140">
        <v>2000</v>
      </c>
      <c r="M140">
        <v>1.44</v>
      </c>
      <c r="N140">
        <v>8.7309999999999999</v>
      </c>
      <c r="O140">
        <v>309</v>
      </c>
      <c r="P140">
        <v>0.58599999999999997</v>
      </c>
      <c r="Q140">
        <v>0.70599999999999996</v>
      </c>
      <c r="R140" t="s">
        <v>84</v>
      </c>
      <c r="S140" t="s">
        <v>1153</v>
      </c>
      <c r="T140" t="b">
        <v>1</v>
      </c>
      <c r="U140" t="s">
        <v>754</v>
      </c>
      <c r="V140" t="s">
        <v>1154</v>
      </c>
      <c r="W140" t="s">
        <v>1155</v>
      </c>
      <c r="X140" t="s">
        <v>47</v>
      </c>
      <c r="AA140" t="s">
        <v>1156</v>
      </c>
      <c r="AB140" t="s">
        <v>401</v>
      </c>
      <c r="AC140" t="s">
        <v>1157</v>
      </c>
      <c r="AD140" t="b">
        <v>0</v>
      </c>
      <c r="AF140">
        <v>4</v>
      </c>
      <c r="AG140" t="s">
        <v>321</v>
      </c>
    </row>
    <row r="141" spans="1:33" x14ac:dyDescent="0.2">
      <c r="A141">
        <v>1117</v>
      </c>
      <c r="B141" t="s">
        <v>1158</v>
      </c>
      <c r="C141" t="s">
        <v>34</v>
      </c>
      <c r="D141" t="s">
        <v>35</v>
      </c>
      <c r="G141" t="s">
        <v>242</v>
      </c>
      <c r="H141" t="s">
        <v>243</v>
      </c>
      <c r="I141" t="s">
        <v>1159</v>
      </c>
      <c r="J141" t="s">
        <v>836</v>
      </c>
      <c r="K141">
        <v>1997</v>
      </c>
      <c r="L141">
        <v>1997</v>
      </c>
      <c r="M141">
        <v>3.3000000000000002E-2</v>
      </c>
      <c r="N141">
        <v>0.18099999999999999</v>
      </c>
      <c r="R141" t="s">
        <v>72</v>
      </c>
      <c r="S141" t="s">
        <v>1160</v>
      </c>
      <c r="T141" t="b">
        <v>1</v>
      </c>
      <c r="U141" t="s">
        <v>111</v>
      </c>
      <c r="V141" t="s">
        <v>60</v>
      </c>
      <c r="W141" t="s">
        <v>1161</v>
      </c>
      <c r="X141" t="s">
        <v>47</v>
      </c>
      <c r="AA141" t="s">
        <v>114</v>
      </c>
      <c r="AC141" t="s">
        <v>63</v>
      </c>
      <c r="AD141" t="b">
        <v>0</v>
      </c>
      <c r="AF141">
        <v>9</v>
      </c>
      <c r="AG141" t="s">
        <v>251</v>
      </c>
    </row>
    <row r="142" spans="1:33" x14ac:dyDescent="0.2">
      <c r="A142">
        <v>1323</v>
      </c>
      <c r="B142" t="s">
        <v>1162</v>
      </c>
      <c r="C142" t="s">
        <v>34</v>
      </c>
      <c r="D142" t="s">
        <v>35</v>
      </c>
      <c r="E142" t="s">
        <v>1163</v>
      </c>
      <c r="F142" t="s">
        <v>1164</v>
      </c>
      <c r="G142" t="s">
        <v>53</v>
      </c>
      <c r="H142" t="s">
        <v>54</v>
      </c>
      <c r="I142" t="s">
        <v>1165</v>
      </c>
      <c r="J142" t="s">
        <v>1166</v>
      </c>
      <c r="K142">
        <v>2007</v>
      </c>
      <c r="L142">
        <v>2007</v>
      </c>
      <c r="M142">
        <v>0.56000000000000005</v>
      </c>
      <c r="N142">
        <v>2.468</v>
      </c>
      <c r="O142">
        <v>65.7</v>
      </c>
      <c r="P142">
        <v>1.06</v>
      </c>
      <c r="Q142">
        <v>0.14699999999999999</v>
      </c>
      <c r="R142" t="s">
        <v>72</v>
      </c>
      <c r="S142" t="s">
        <v>1167</v>
      </c>
      <c r="T142" t="b">
        <v>1</v>
      </c>
      <c r="U142" t="s">
        <v>1168</v>
      </c>
      <c r="V142" t="s">
        <v>1169</v>
      </c>
      <c r="W142" t="s">
        <v>1170</v>
      </c>
      <c r="X142" t="s">
        <v>47</v>
      </c>
      <c r="AA142" t="s">
        <v>1171</v>
      </c>
      <c r="AC142" t="s">
        <v>63</v>
      </c>
      <c r="AD142" t="b">
        <v>0</v>
      </c>
      <c r="AF142">
        <v>13</v>
      </c>
      <c r="AG142" t="s">
        <v>155</v>
      </c>
    </row>
    <row r="143" spans="1:33" x14ac:dyDescent="0.2">
      <c r="A143">
        <v>45</v>
      </c>
      <c r="B143" t="s">
        <v>1172</v>
      </c>
      <c r="C143" t="s">
        <v>34</v>
      </c>
      <c r="D143" t="s">
        <v>35</v>
      </c>
      <c r="E143" t="s">
        <v>1065</v>
      </c>
      <c r="F143" t="s">
        <v>1066</v>
      </c>
      <c r="G143" t="s">
        <v>312</v>
      </c>
      <c r="H143" t="s">
        <v>313</v>
      </c>
      <c r="I143" t="s">
        <v>704</v>
      </c>
      <c r="J143" t="s">
        <v>56</v>
      </c>
      <c r="K143">
        <v>1964</v>
      </c>
      <c r="L143">
        <v>1964</v>
      </c>
      <c r="M143">
        <v>330</v>
      </c>
      <c r="N143">
        <v>1600.7449999999999</v>
      </c>
      <c r="O143">
        <v>300</v>
      </c>
      <c r="P143">
        <v>136</v>
      </c>
      <c r="Q143">
        <v>0.67400000000000004</v>
      </c>
      <c r="R143" t="s">
        <v>84</v>
      </c>
      <c r="S143" t="s">
        <v>1173</v>
      </c>
      <c r="T143" t="b">
        <v>1</v>
      </c>
      <c r="U143" t="s">
        <v>1174</v>
      </c>
      <c r="V143" t="s">
        <v>1175</v>
      </c>
      <c r="W143" t="s">
        <v>1176</v>
      </c>
      <c r="X143" t="s">
        <v>47</v>
      </c>
      <c r="AA143" t="s">
        <v>319</v>
      </c>
      <c r="AB143" t="s">
        <v>567</v>
      </c>
      <c r="AC143" t="s">
        <v>320</v>
      </c>
      <c r="AD143" t="b">
        <v>0</v>
      </c>
      <c r="AF143">
        <v>4</v>
      </c>
      <c r="AG143" t="s">
        <v>321</v>
      </c>
    </row>
    <row r="144" spans="1:33" x14ac:dyDescent="0.2">
      <c r="A144">
        <v>1079</v>
      </c>
      <c r="B144" t="s">
        <v>1177</v>
      </c>
      <c r="C144" t="s">
        <v>34</v>
      </c>
      <c r="D144" t="s">
        <v>35</v>
      </c>
      <c r="G144" t="s">
        <v>242</v>
      </c>
      <c r="H144" t="s">
        <v>243</v>
      </c>
      <c r="I144" t="s">
        <v>799</v>
      </c>
      <c r="J144" t="s">
        <v>96</v>
      </c>
      <c r="K144">
        <v>1998</v>
      </c>
      <c r="L144">
        <v>1998</v>
      </c>
      <c r="M144">
        <v>2.1999999999999999E-2</v>
      </c>
      <c r="N144">
        <v>0.02</v>
      </c>
      <c r="R144" t="s">
        <v>72</v>
      </c>
      <c r="S144" t="s">
        <v>1178</v>
      </c>
      <c r="T144" t="b">
        <v>1</v>
      </c>
      <c r="U144" t="s">
        <v>455</v>
      </c>
      <c r="V144" t="s">
        <v>274</v>
      </c>
      <c r="W144" t="s">
        <v>1179</v>
      </c>
      <c r="X144" t="s">
        <v>47</v>
      </c>
      <c r="AA144" t="s">
        <v>1180</v>
      </c>
      <c r="AC144" t="s">
        <v>63</v>
      </c>
      <c r="AD144" t="b">
        <v>0</v>
      </c>
      <c r="AF144">
        <v>9</v>
      </c>
      <c r="AG144" t="s">
        <v>251</v>
      </c>
    </row>
    <row r="145" spans="1:33" x14ac:dyDescent="0.2">
      <c r="A145">
        <v>1760</v>
      </c>
      <c r="B145" t="s">
        <v>1181</v>
      </c>
      <c r="C145" t="s">
        <v>34</v>
      </c>
      <c r="D145" t="s">
        <v>35</v>
      </c>
      <c r="E145" t="s">
        <v>682</v>
      </c>
      <c r="F145" t="s">
        <v>683</v>
      </c>
      <c r="G145" t="s">
        <v>68</v>
      </c>
      <c r="H145" t="s">
        <v>69</v>
      </c>
      <c r="I145" t="s">
        <v>597</v>
      </c>
      <c r="J145" t="s">
        <v>83</v>
      </c>
      <c r="K145">
        <v>2014</v>
      </c>
      <c r="L145">
        <v>2014</v>
      </c>
      <c r="M145">
        <v>1</v>
      </c>
      <c r="N145">
        <v>2.4529999999999998</v>
      </c>
      <c r="O145">
        <v>237.75</v>
      </c>
      <c r="P145">
        <v>0.5</v>
      </c>
      <c r="Q145">
        <v>0.55600000000000005</v>
      </c>
      <c r="R145" t="s">
        <v>72</v>
      </c>
      <c r="S145" t="s">
        <v>1182</v>
      </c>
      <c r="T145" t="b">
        <v>1</v>
      </c>
      <c r="U145" t="s">
        <v>1183</v>
      </c>
      <c r="V145" t="s">
        <v>686</v>
      </c>
      <c r="W145" t="s">
        <v>1184</v>
      </c>
      <c r="X145" t="s">
        <v>47</v>
      </c>
      <c r="AA145" t="s">
        <v>1185</v>
      </c>
      <c r="AB145" t="s">
        <v>308</v>
      </c>
      <c r="AC145" t="s">
        <v>1186</v>
      </c>
      <c r="AD145" t="b">
        <v>0</v>
      </c>
      <c r="AF145">
        <v>13</v>
      </c>
      <c r="AG145" t="s">
        <v>155</v>
      </c>
    </row>
    <row r="146" spans="1:33" x14ac:dyDescent="0.2">
      <c r="A146">
        <v>1142</v>
      </c>
      <c r="B146" t="s">
        <v>1187</v>
      </c>
      <c r="C146" t="s">
        <v>34</v>
      </c>
      <c r="D146" t="s">
        <v>35</v>
      </c>
      <c r="E146" t="s">
        <v>1188</v>
      </c>
      <c r="F146" t="s">
        <v>1189</v>
      </c>
      <c r="G146" t="s">
        <v>312</v>
      </c>
      <c r="H146" t="s">
        <v>313</v>
      </c>
      <c r="I146" t="s">
        <v>1190</v>
      </c>
      <c r="J146" t="s">
        <v>135</v>
      </c>
      <c r="K146">
        <v>2004</v>
      </c>
      <c r="L146">
        <v>2004</v>
      </c>
      <c r="M146">
        <v>7.4999999999999997E-2</v>
      </c>
      <c r="N146">
        <v>0.106</v>
      </c>
      <c r="R146" t="s">
        <v>84</v>
      </c>
      <c r="S146" t="s">
        <v>1191</v>
      </c>
      <c r="T146" t="b">
        <v>1</v>
      </c>
      <c r="U146" t="s">
        <v>637</v>
      </c>
      <c r="V146" t="s">
        <v>1192</v>
      </c>
      <c r="W146" t="s">
        <v>1193</v>
      </c>
      <c r="X146" t="s">
        <v>47</v>
      </c>
      <c r="AA146" t="s">
        <v>860</v>
      </c>
      <c r="AC146" t="s">
        <v>861</v>
      </c>
      <c r="AD146" t="b">
        <v>0</v>
      </c>
      <c r="AF146">
        <v>4</v>
      </c>
      <c r="AG146" t="s">
        <v>321</v>
      </c>
    </row>
    <row r="147" spans="1:33" x14ac:dyDescent="0.2">
      <c r="A147">
        <v>46</v>
      </c>
      <c r="B147" t="s">
        <v>1194</v>
      </c>
      <c r="C147" t="s">
        <v>34</v>
      </c>
      <c r="D147" t="s">
        <v>35</v>
      </c>
      <c r="E147" t="s">
        <v>1055</v>
      </c>
      <c r="F147" t="s">
        <v>1056</v>
      </c>
      <c r="G147" t="s">
        <v>93</v>
      </c>
      <c r="H147" t="s">
        <v>94</v>
      </c>
      <c r="I147" t="s">
        <v>1057</v>
      </c>
      <c r="J147" t="s">
        <v>836</v>
      </c>
      <c r="K147">
        <v>1982</v>
      </c>
      <c r="L147">
        <v>1982</v>
      </c>
      <c r="M147">
        <v>2.2000000000000002</v>
      </c>
      <c r="N147">
        <v>7.8319999999999999</v>
      </c>
      <c r="O147">
        <v>32.5</v>
      </c>
      <c r="P147">
        <v>8.48</v>
      </c>
      <c r="Q147">
        <v>7.0999999999999994E-2</v>
      </c>
      <c r="R147" t="s">
        <v>97</v>
      </c>
      <c r="S147" t="s">
        <v>1195</v>
      </c>
      <c r="T147" t="b">
        <v>1</v>
      </c>
      <c r="U147" t="s">
        <v>1196</v>
      </c>
      <c r="V147" t="s">
        <v>1060</v>
      </c>
      <c r="W147" t="s">
        <v>1197</v>
      </c>
      <c r="X147" t="s">
        <v>47</v>
      </c>
      <c r="AA147" t="s">
        <v>340</v>
      </c>
      <c r="AB147" t="s">
        <v>1198</v>
      </c>
      <c r="AC147" t="s">
        <v>1063</v>
      </c>
      <c r="AD147" t="b">
        <v>0</v>
      </c>
      <c r="AF147">
        <v>1</v>
      </c>
      <c r="AG147" t="s">
        <v>104</v>
      </c>
    </row>
    <row r="148" spans="1:33" x14ac:dyDescent="0.2">
      <c r="A148">
        <v>47</v>
      </c>
      <c r="B148" t="s">
        <v>1199</v>
      </c>
      <c r="C148" t="s">
        <v>34</v>
      </c>
      <c r="D148" t="s">
        <v>35</v>
      </c>
      <c r="E148" t="s">
        <v>1200</v>
      </c>
      <c r="F148" t="s">
        <v>1201</v>
      </c>
      <c r="G148" t="s">
        <v>53</v>
      </c>
      <c r="H148" t="s">
        <v>54</v>
      </c>
      <c r="I148" t="s">
        <v>147</v>
      </c>
      <c r="J148" t="s">
        <v>148</v>
      </c>
      <c r="K148">
        <v>1934</v>
      </c>
      <c r="L148">
        <v>1934</v>
      </c>
      <c r="M148">
        <v>12.5</v>
      </c>
      <c r="N148">
        <v>59.308</v>
      </c>
      <c r="O148">
        <v>20.39</v>
      </c>
      <c r="P148">
        <v>78</v>
      </c>
      <c r="Q148">
        <v>4.5999999999999999E-2</v>
      </c>
      <c r="R148" t="s">
        <v>72</v>
      </c>
      <c r="S148" t="s">
        <v>1202</v>
      </c>
      <c r="T148" t="b">
        <v>1</v>
      </c>
      <c r="U148" t="s">
        <v>1203</v>
      </c>
      <c r="V148" t="s">
        <v>1204</v>
      </c>
      <c r="W148" t="s">
        <v>1205</v>
      </c>
      <c r="X148" t="s">
        <v>47</v>
      </c>
      <c r="AA148" t="s">
        <v>153</v>
      </c>
      <c r="AB148" t="s">
        <v>49</v>
      </c>
      <c r="AC148" t="s">
        <v>154</v>
      </c>
      <c r="AD148" t="b">
        <v>0</v>
      </c>
      <c r="AF148">
        <v>13</v>
      </c>
      <c r="AG148" t="s">
        <v>155</v>
      </c>
    </row>
    <row r="149" spans="1:33" x14ac:dyDescent="0.2">
      <c r="A149">
        <v>1576</v>
      </c>
      <c r="B149" t="s">
        <v>1206</v>
      </c>
      <c r="C149" t="s">
        <v>34</v>
      </c>
      <c r="D149" t="s">
        <v>35</v>
      </c>
      <c r="E149" t="s">
        <v>1207</v>
      </c>
      <c r="F149" t="s">
        <v>1208</v>
      </c>
      <c r="G149" t="s">
        <v>68</v>
      </c>
      <c r="H149" t="s">
        <v>69</v>
      </c>
      <c r="I149" t="s">
        <v>1209</v>
      </c>
      <c r="J149" t="s">
        <v>171</v>
      </c>
      <c r="K149">
        <v>2010</v>
      </c>
      <c r="L149">
        <v>2010</v>
      </c>
      <c r="M149">
        <v>3.96</v>
      </c>
      <c r="N149">
        <v>13.019</v>
      </c>
      <c r="O149">
        <v>225.1</v>
      </c>
      <c r="P149">
        <v>2.12</v>
      </c>
      <c r="Q149">
        <v>0.51900000000000002</v>
      </c>
      <c r="R149" t="s">
        <v>72</v>
      </c>
      <c r="S149" t="s">
        <v>1210</v>
      </c>
      <c r="T149" t="b">
        <v>1</v>
      </c>
      <c r="U149" t="s">
        <v>1211</v>
      </c>
      <c r="V149" t="s">
        <v>1212</v>
      </c>
      <c r="W149" t="s">
        <v>1213</v>
      </c>
      <c r="X149" t="s">
        <v>47</v>
      </c>
      <c r="AA149" t="s">
        <v>1214</v>
      </c>
      <c r="AB149" t="s">
        <v>49</v>
      </c>
      <c r="AC149" t="s">
        <v>1215</v>
      </c>
      <c r="AD149" t="b">
        <v>0</v>
      </c>
      <c r="AF149">
        <v>8</v>
      </c>
      <c r="AG149" t="s">
        <v>78</v>
      </c>
    </row>
    <row r="150" spans="1:33" x14ac:dyDescent="0.2">
      <c r="A150">
        <v>1449</v>
      </c>
      <c r="B150" t="s">
        <v>1216</v>
      </c>
      <c r="C150" t="s">
        <v>34</v>
      </c>
      <c r="D150" t="s">
        <v>35</v>
      </c>
      <c r="E150" t="s">
        <v>168</v>
      </c>
      <c r="F150" t="s">
        <v>169</v>
      </c>
      <c r="G150" t="s">
        <v>242</v>
      </c>
      <c r="H150" t="s">
        <v>243</v>
      </c>
      <c r="I150" t="s">
        <v>880</v>
      </c>
      <c r="J150" t="s">
        <v>280</v>
      </c>
      <c r="K150">
        <v>2010</v>
      </c>
      <c r="L150">
        <v>2010</v>
      </c>
      <c r="M150">
        <v>3.8</v>
      </c>
      <c r="N150">
        <v>7.7050000000000001</v>
      </c>
      <c r="O150">
        <v>109.4</v>
      </c>
      <c r="P150">
        <v>3.85</v>
      </c>
      <c r="Q150">
        <v>0.27400000000000002</v>
      </c>
      <c r="R150" t="s">
        <v>72</v>
      </c>
      <c r="S150" t="s">
        <v>1217</v>
      </c>
      <c r="T150" t="b">
        <v>1</v>
      </c>
      <c r="U150" t="s">
        <v>1218</v>
      </c>
      <c r="V150" t="s">
        <v>174</v>
      </c>
      <c r="W150" t="s">
        <v>1219</v>
      </c>
      <c r="X150" t="s">
        <v>47</v>
      </c>
      <c r="AA150" t="s">
        <v>884</v>
      </c>
      <c r="AB150" t="s">
        <v>765</v>
      </c>
      <c r="AC150" t="s">
        <v>885</v>
      </c>
      <c r="AD150" t="b">
        <v>0</v>
      </c>
      <c r="AF150">
        <v>9</v>
      </c>
      <c r="AG150" t="s">
        <v>251</v>
      </c>
    </row>
    <row r="151" spans="1:33" x14ac:dyDescent="0.2">
      <c r="A151">
        <v>48</v>
      </c>
      <c r="B151" t="s">
        <v>1220</v>
      </c>
      <c r="C151" t="s">
        <v>34</v>
      </c>
      <c r="D151" t="s">
        <v>35</v>
      </c>
      <c r="E151" t="s">
        <v>277</v>
      </c>
      <c r="F151" t="s">
        <v>278</v>
      </c>
      <c r="G151" t="s">
        <v>93</v>
      </c>
      <c r="H151" t="s">
        <v>94</v>
      </c>
      <c r="I151" t="s">
        <v>386</v>
      </c>
      <c r="J151" t="s">
        <v>49</v>
      </c>
      <c r="K151">
        <v>1920</v>
      </c>
      <c r="L151">
        <v>1976</v>
      </c>
      <c r="M151">
        <v>2.4</v>
      </c>
      <c r="N151">
        <v>12.365</v>
      </c>
      <c r="O151">
        <v>40</v>
      </c>
      <c r="P151">
        <v>8.02</v>
      </c>
      <c r="Q151">
        <v>8.2000000000000003E-2</v>
      </c>
      <c r="R151" t="s">
        <v>97</v>
      </c>
      <c r="S151" t="s">
        <v>1221</v>
      </c>
      <c r="T151" t="b">
        <v>1</v>
      </c>
      <c r="U151" t="s">
        <v>1222</v>
      </c>
      <c r="V151" t="s">
        <v>389</v>
      </c>
      <c r="W151" t="s">
        <v>1223</v>
      </c>
      <c r="X151" t="s">
        <v>47</v>
      </c>
      <c r="AA151" t="s">
        <v>391</v>
      </c>
      <c r="AB151" t="s">
        <v>49</v>
      </c>
      <c r="AC151" t="s">
        <v>392</v>
      </c>
      <c r="AD151" t="b">
        <v>0</v>
      </c>
      <c r="AF151">
        <v>1</v>
      </c>
      <c r="AG151" t="s">
        <v>104</v>
      </c>
    </row>
    <row r="152" spans="1:33" x14ac:dyDescent="0.2">
      <c r="A152">
        <v>1906</v>
      </c>
      <c r="B152" t="s">
        <v>1224</v>
      </c>
      <c r="C152" t="s">
        <v>34</v>
      </c>
      <c r="D152" t="s">
        <v>35</v>
      </c>
      <c r="E152" t="s">
        <v>1225</v>
      </c>
      <c r="F152" t="s">
        <v>1226</v>
      </c>
      <c r="G152" t="s">
        <v>53</v>
      </c>
      <c r="H152" t="s">
        <v>54</v>
      </c>
      <c r="I152" t="s">
        <v>325</v>
      </c>
      <c r="J152" t="s">
        <v>135</v>
      </c>
      <c r="K152">
        <v>2018</v>
      </c>
      <c r="L152">
        <v>2018</v>
      </c>
      <c r="M152">
        <v>1.95</v>
      </c>
      <c r="N152">
        <v>6.6820000000000004</v>
      </c>
      <c r="O152">
        <v>153</v>
      </c>
      <c r="P152">
        <v>1.58</v>
      </c>
      <c r="Q152">
        <v>0.34300000000000003</v>
      </c>
      <c r="R152" t="s">
        <v>57</v>
      </c>
      <c r="S152" t="s">
        <v>1227</v>
      </c>
      <c r="T152" t="b">
        <v>1</v>
      </c>
      <c r="U152" t="s">
        <v>1228</v>
      </c>
      <c r="V152" t="s">
        <v>1229</v>
      </c>
      <c r="W152" t="s">
        <v>1230</v>
      </c>
      <c r="X152" t="s">
        <v>47</v>
      </c>
      <c r="AA152" t="s">
        <v>1231</v>
      </c>
      <c r="AC152" t="s">
        <v>63</v>
      </c>
      <c r="AD152" t="b">
        <v>0</v>
      </c>
      <c r="AF152">
        <v>6</v>
      </c>
      <c r="AG152" t="s">
        <v>64</v>
      </c>
    </row>
    <row r="153" spans="1:33" x14ac:dyDescent="0.2">
      <c r="A153">
        <v>535</v>
      </c>
      <c r="B153" t="s">
        <v>1232</v>
      </c>
      <c r="C153" t="s">
        <v>574</v>
      </c>
      <c r="D153" t="s">
        <v>575</v>
      </c>
      <c r="E153" t="s">
        <v>253</v>
      </c>
      <c r="F153" t="s">
        <v>254</v>
      </c>
      <c r="G153" t="s">
        <v>242</v>
      </c>
      <c r="H153" t="s">
        <v>243</v>
      </c>
      <c r="I153" t="s">
        <v>1003</v>
      </c>
      <c r="J153" t="s">
        <v>192</v>
      </c>
      <c r="K153">
        <v>1988</v>
      </c>
      <c r="L153">
        <v>1988</v>
      </c>
      <c r="M153">
        <v>-6</v>
      </c>
      <c r="N153">
        <v>-5.6710000000000003</v>
      </c>
      <c r="O153">
        <v>0</v>
      </c>
      <c r="P153">
        <v>9.01</v>
      </c>
      <c r="Q153">
        <v>-0.185</v>
      </c>
      <c r="R153" t="s">
        <v>72</v>
      </c>
      <c r="S153" t="s">
        <v>1233</v>
      </c>
      <c r="T153" t="b">
        <v>1</v>
      </c>
      <c r="U153" t="s">
        <v>1234</v>
      </c>
      <c r="V153" t="s">
        <v>259</v>
      </c>
      <c r="W153" t="s">
        <v>1235</v>
      </c>
      <c r="X153" t="s">
        <v>47</v>
      </c>
      <c r="AA153" t="s">
        <v>1236</v>
      </c>
      <c r="AB153" t="s">
        <v>177</v>
      </c>
      <c r="AC153" t="s">
        <v>1237</v>
      </c>
      <c r="AD153" t="b">
        <v>0</v>
      </c>
      <c r="AF153">
        <v>9</v>
      </c>
      <c r="AG153" t="s">
        <v>251</v>
      </c>
    </row>
    <row r="154" spans="1:33" x14ac:dyDescent="0.2">
      <c r="A154">
        <v>1147</v>
      </c>
      <c r="B154" t="s">
        <v>1238</v>
      </c>
      <c r="C154" t="s">
        <v>34</v>
      </c>
      <c r="D154" t="s">
        <v>35</v>
      </c>
      <c r="E154" t="s">
        <v>1239</v>
      </c>
      <c r="F154" t="s">
        <v>1240</v>
      </c>
      <c r="G154" t="s">
        <v>53</v>
      </c>
      <c r="H154" t="s">
        <v>54</v>
      </c>
      <c r="I154" t="s">
        <v>1241</v>
      </c>
      <c r="J154" t="s">
        <v>1242</v>
      </c>
      <c r="K154">
        <v>2005</v>
      </c>
      <c r="L154">
        <v>2005</v>
      </c>
      <c r="M154">
        <v>0.3</v>
      </c>
      <c r="N154">
        <v>1.0840000000000001</v>
      </c>
      <c r="R154" t="s">
        <v>57</v>
      </c>
      <c r="S154" t="s">
        <v>1243</v>
      </c>
      <c r="T154" t="b">
        <v>1</v>
      </c>
      <c r="U154" t="s">
        <v>1244</v>
      </c>
      <c r="V154" t="s">
        <v>1245</v>
      </c>
      <c r="W154" t="s">
        <v>1246</v>
      </c>
      <c r="X154" t="s">
        <v>47</v>
      </c>
      <c r="AA154" t="s">
        <v>1247</v>
      </c>
      <c r="AC154" t="s">
        <v>1248</v>
      </c>
      <c r="AD154" t="b">
        <v>0</v>
      </c>
      <c r="AF154">
        <v>6</v>
      </c>
      <c r="AG154" t="s">
        <v>64</v>
      </c>
    </row>
    <row r="155" spans="1:33" x14ac:dyDescent="0.2">
      <c r="A155">
        <v>1590</v>
      </c>
      <c r="B155" t="s">
        <v>1238</v>
      </c>
      <c r="C155" t="s">
        <v>34</v>
      </c>
      <c r="D155" t="s">
        <v>35</v>
      </c>
      <c r="E155" t="s">
        <v>1249</v>
      </c>
      <c r="F155" t="s">
        <v>1250</v>
      </c>
      <c r="G155" t="s">
        <v>53</v>
      </c>
      <c r="H155" t="s">
        <v>54</v>
      </c>
      <c r="I155" t="s">
        <v>1251</v>
      </c>
      <c r="J155" t="s">
        <v>177</v>
      </c>
      <c r="K155">
        <v>2010</v>
      </c>
      <c r="L155">
        <v>2010</v>
      </c>
      <c r="M155">
        <v>0.54</v>
      </c>
      <c r="N155">
        <v>3.6339999999999999</v>
      </c>
      <c r="O155">
        <v>107</v>
      </c>
      <c r="P155">
        <v>0.53700000000000003</v>
      </c>
      <c r="Q155">
        <v>0.27900000000000003</v>
      </c>
      <c r="R155" t="s">
        <v>72</v>
      </c>
      <c r="S155" t="s">
        <v>1252</v>
      </c>
      <c r="T155" t="b">
        <v>1</v>
      </c>
      <c r="U155" t="s">
        <v>1253</v>
      </c>
      <c r="V155" t="s">
        <v>1254</v>
      </c>
      <c r="W155" t="s">
        <v>1255</v>
      </c>
      <c r="X155" t="s">
        <v>47</v>
      </c>
      <c r="AA155" t="s">
        <v>1256</v>
      </c>
      <c r="AC155" t="s">
        <v>1257</v>
      </c>
      <c r="AD155" t="b">
        <v>0</v>
      </c>
      <c r="AF155">
        <v>13</v>
      </c>
      <c r="AG155" t="s">
        <v>155</v>
      </c>
    </row>
    <row r="156" spans="1:33" x14ac:dyDescent="0.2">
      <c r="A156">
        <v>49</v>
      </c>
      <c r="B156" t="s">
        <v>1258</v>
      </c>
      <c r="C156" t="s">
        <v>34</v>
      </c>
      <c r="D156" t="s">
        <v>35</v>
      </c>
      <c r="E156" t="s">
        <v>168</v>
      </c>
      <c r="F156" t="s">
        <v>169</v>
      </c>
      <c r="G156" t="s">
        <v>916</v>
      </c>
      <c r="H156" t="s">
        <v>567</v>
      </c>
      <c r="I156" t="s">
        <v>1109</v>
      </c>
      <c r="J156" t="s">
        <v>71</v>
      </c>
      <c r="K156">
        <v>1985</v>
      </c>
      <c r="L156">
        <v>1985</v>
      </c>
      <c r="M156">
        <v>1.5</v>
      </c>
      <c r="N156">
        <v>2.7309999999999999</v>
      </c>
      <c r="O156">
        <v>16</v>
      </c>
      <c r="P156">
        <v>10.1</v>
      </c>
      <c r="Q156">
        <v>4.2999999999999997E-2</v>
      </c>
      <c r="R156" t="s">
        <v>97</v>
      </c>
      <c r="S156" t="s">
        <v>1259</v>
      </c>
      <c r="T156" t="b">
        <v>1</v>
      </c>
      <c r="U156" t="s">
        <v>517</v>
      </c>
      <c r="V156" t="s">
        <v>174</v>
      </c>
      <c r="W156" t="s">
        <v>1112</v>
      </c>
      <c r="X156" t="s">
        <v>47</v>
      </c>
      <c r="AA156" t="s">
        <v>340</v>
      </c>
      <c r="AB156" t="s">
        <v>231</v>
      </c>
      <c r="AC156" t="s">
        <v>341</v>
      </c>
      <c r="AD156" t="b">
        <v>0</v>
      </c>
      <c r="AF156">
        <v>1</v>
      </c>
      <c r="AG156" t="s">
        <v>104</v>
      </c>
    </row>
    <row r="157" spans="1:33" x14ac:dyDescent="0.2">
      <c r="A157">
        <v>1946</v>
      </c>
      <c r="B157" t="s">
        <v>1260</v>
      </c>
      <c r="C157" t="s">
        <v>34</v>
      </c>
      <c r="D157" t="s">
        <v>35</v>
      </c>
      <c r="G157" t="s">
        <v>377</v>
      </c>
      <c r="H157" t="s">
        <v>378</v>
      </c>
      <c r="I157" t="s">
        <v>514</v>
      </c>
      <c r="J157" t="s">
        <v>515</v>
      </c>
      <c r="K157">
        <v>2009</v>
      </c>
      <c r="L157">
        <v>2009</v>
      </c>
      <c r="M157">
        <v>0.01</v>
      </c>
      <c r="N157">
        <v>6.0999999999999999E-2</v>
      </c>
      <c r="R157" t="s">
        <v>42</v>
      </c>
      <c r="S157" t="s">
        <v>1261</v>
      </c>
      <c r="T157" t="b">
        <v>1</v>
      </c>
      <c r="U157" t="s">
        <v>1262</v>
      </c>
      <c r="V157" t="s">
        <v>274</v>
      </c>
      <c r="W157" t="s">
        <v>1263</v>
      </c>
      <c r="X157" t="s">
        <v>47</v>
      </c>
      <c r="AA157" t="s">
        <v>114</v>
      </c>
      <c r="AC157" t="s">
        <v>63</v>
      </c>
      <c r="AD157" t="b">
        <v>0</v>
      </c>
      <c r="AF157">
        <v>11</v>
      </c>
      <c r="AG157" t="s">
        <v>198</v>
      </c>
    </row>
    <row r="158" spans="1:33" x14ac:dyDescent="0.2">
      <c r="A158">
        <v>1364</v>
      </c>
      <c r="B158" t="s">
        <v>1264</v>
      </c>
      <c r="C158" t="s">
        <v>34</v>
      </c>
      <c r="D158" t="s">
        <v>35</v>
      </c>
      <c r="E158" t="s">
        <v>1265</v>
      </c>
      <c r="F158" t="s">
        <v>1266</v>
      </c>
      <c r="G158" t="s">
        <v>53</v>
      </c>
      <c r="H158" t="s">
        <v>54</v>
      </c>
      <c r="I158" t="s">
        <v>55</v>
      </c>
      <c r="J158" t="s">
        <v>56</v>
      </c>
      <c r="K158">
        <v>2008</v>
      </c>
      <c r="L158">
        <v>2008</v>
      </c>
      <c r="M158">
        <v>2.35</v>
      </c>
      <c r="N158">
        <v>6.9409999999999998</v>
      </c>
      <c r="O158">
        <v>131</v>
      </c>
      <c r="P158">
        <v>2.14</v>
      </c>
      <c r="Q158">
        <v>0.30599999999999999</v>
      </c>
      <c r="R158" t="s">
        <v>57</v>
      </c>
      <c r="S158" t="s">
        <v>1267</v>
      </c>
      <c r="T158" t="b">
        <v>1</v>
      </c>
      <c r="U158" t="s">
        <v>1268</v>
      </c>
      <c r="V158" t="s">
        <v>1269</v>
      </c>
      <c r="W158" t="s">
        <v>1270</v>
      </c>
      <c r="X158" t="s">
        <v>47</v>
      </c>
      <c r="AA158" t="s">
        <v>62</v>
      </c>
      <c r="AB158" t="s">
        <v>49</v>
      </c>
      <c r="AC158" t="s">
        <v>1271</v>
      </c>
      <c r="AD158" t="b">
        <v>0</v>
      </c>
      <c r="AF158">
        <v>6</v>
      </c>
      <c r="AG158" t="s">
        <v>64</v>
      </c>
    </row>
    <row r="159" spans="1:33" x14ac:dyDescent="0.2">
      <c r="A159">
        <v>1415</v>
      </c>
      <c r="B159" t="s">
        <v>1272</v>
      </c>
      <c r="C159" t="s">
        <v>34</v>
      </c>
      <c r="D159" t="s">
        <v>35</v>
      </c>
      <c r="G159" t="s">
        <v>242</v>
      </c>
      <c r="H159" t="s">
        <v>243</v>
      </c>
      <c r="I159" t="s">
        <v>1273</v>
      </c>
      <c r="J159" t="s">
        <v>409</v>
      </c>
      <c r="K159">
        <v>2008</v>
      </c>
      <c r="L159">
        <v>2008</v>
      </c>
      <c r="M159">
        <v>1.4999999999999999E-2</v>
      </c>
      <c r="N159">
        <v>1.7999999999999999E-2</v>
      </c>
      <c r="R159" t="s">
        <v>72</v>
      </c>
      <c r="S159" t="s">
        <v>1274</v>
      </c>
      <c r="T159" t="b">
        <v>1</v>
      </c>
      <c r="U159" t="s">
        <v>74</v>
      </c>
      <c r="V159" t="s">
        <v>274</v>
      </c>
      <c r="W159" t="s">
        <v>1275</v>
      </c>
      <c r="X159" t="s">
        <v>47</v>
      </c>
      <c r="AA159" t="s">
        <v>1276</v>
      </c>
      <c r="AC159" t="s">
        <v>1277</v>
      </c>
      <c r="AD159" t="b">
        <v>0</v>
      </c>
      <c r="AF159">
        <v>8</v>
      </c>
      <c r="AG159" t="s">
        <v>78</v>
      </c>
    </row>
    <row r="160" spans="1:33" x14ac:dyDescent="0.2">
      <c r="A160">
        <v>1234</v>
      </c>
      <c r="B160" t="s">
        <v>1278</v>
      </c>
      <c r="C160" t="s">
        <v>34</v>
      </c>
      <c r="D160" t="s">
        <v>35</v>
      </c>
      <c r="E160" t="s">
        <v>1279</v>
      </c>
      <c r="F160" t="s">
        <v>1280</v>
      </c>
      <c r="G160" t="s">
        <v>68</v>
      </c>
      <c r="H160" t="s">
        <v>69</v>
      </c>
      <c r="I160" t="s">
        <v>70</v>
      </c>
      <c r="J160" t="s">
        <v>71</v>
      </c>
      <c r="K160">
        <v>2002</v>
      </c>
      <c r="L160">
        <v>2002</v>
      </c>
      <c r="M160">
        <v>1.2</v>
      </c>
      <c r="N160">
        <v>5.2859999999999996</v>
      </c>
      <c r="O160">
        <v>183</v>
      </c>
      <c r="P160">
        <v>0.78</v>
      </c>
      <c r="Q160">
        <v>0.42699999999999999</v>
      </c>
      <c r="R160" t="s">
        <v>72</v>
      </c>
      <c r="S160" t="s">
        <v>1281</v>
      </c>
      <c r="T160" t="b">
        <v>1</v>
      </c>
      <c r="U160" t="s">
        <v>1282</v>
      </c>
      <c r="V160" t="s">
        <v>1283</v>
      </c>
      <c r="W160" t="s">
        <v>1284</v>
      </c>
      <c r="X160" t="s">
        <v>47</v>
      </c>
      <c r="AA160" t="s">
        <v>479</v>
      </c>
      <c r="AC160" t="s">
        <v>63</v>
      </c>
      <c r="AD160" t="b">
        <v>0</v>
      </c>
      <c r="AF160">
        <v>8</v>
      </c>
      <c r="AG160" t="s">
        <v>78</v>
      </c>
    </row>
    <row r="161" spans="1:33" x14ac:dyDescent="0.2">
      <c r="A161">
        <v>934</v>
      </c>
      <c r="B161" t="s">
        <v>1285</v>
      </c>
      <c r="C161" t="s">
        <v>34</v>
      </c>
      <c r="D161" t="s">
        <v>35</v>
      </c>
      <c r="E161" t="s">
        <v>1279</v>
      </c>
      <c r="F161" t="s">
        <v>1280</v>
      </c>
      <c r="G161" t="s">
        <v>68</v>
      </c>
      <c r="H161" t="s">
        <v>69</v>
      </c>
      <c r="I161" t="s">
        <v>70</v>
      </c>
      <c r="J161" t="s">
        <v>71</v>
      </c>
      <c r="K161">
        <v>2000</v>
      </c>
      <c r="L161">
        <v>2000</v>
      </c>
      <c r="M161">
        <v>1.7999999999999999E-2</v>
      </c>
      <c r="N161">
        <v>3.0000000000000001E-3</v>
      </c>
      <c r="R161" t="s">
        <v>72</v>
      </c>
      <c r="S161" t="s">
        <v>1286</v>
      </c>
      <c r="T161" t="b">
        <v>1</v>
      </c>
      <c r="U161" t="s">
        <v>754</v>
      </c>
      <c r="V161" t="s">
        <v>1283</v>
      </c>
      <c r="W161" t="s">
        <v>1287</v>
      </c>
      <c r="X161" t="s">
        <v>47</v>
      </c>
      <c r="AA161" t="s">
        <v>479</v>
      </c>
      <c r="AC161" t="s">
        <v>1288</v>
      </c>
      <c r="AD161" t="b">
        <v>0</v>
      </c>
      <c r="AF161">
        <v>8</v>
      </c>
      <c r="AG161" t="s">
        <v>78</v>
      </c>
    </row>
    <row r="162" spans="1:33" x14ac:dyDescent="0.2">
      <c r="A162">
        <v>2107</v>
      </c>
      <c r="B162" t="s">
        <v>1289</v>
      </c>
      <c r="C162" t="s">
        <v>34</v>
      </c>
      <c r="D162" t="s">
        <v>35</v>
      </c>
      <c r="E162" t="s">
        <v>1290</v>
      </c>
      <c r="F162" t="s">
        <v>1291</v>
      </c>
      <c r="G162" t="s">
        <v>503</v>
      </c>
      <c r="H162" t="s">
        <v>462</v>
      </c>
      <c r="I162" t="s">
        <v>1292</v>
      </c>
      <c r="J162" t="s">
        <v>1077</v>
      </c>
      <c r="K162">
        <v>2023</v>
      </c>
      <c r="L162">
        <v>2023</v>
      </c>
      <c r="M162">
        <v>0.73</v>
      </c>
      <c r="N162">
        <v>3.6</v>
      </c>
      <c r="O162">
        <v>86</v>
      </c>
      <c r="P162">
        <v>1</v>
      </c>
      <c r="Q162">
        <v>0.20300000000000001</v>
      </c>
      <c r="R162" t="s">
        <v>84</v>
      </c>
      <c r="S162" t="s">
        <v>1293</v>
      </c>
      <c r="T162" t="b">
        <v>1</v>
      </c>
      <c r="U162" t="s">
        <v>1294</v>
      </c>
      <c r="V162" t="s">
        <v>1295</v>
      </c>
      <c r="W162" t="s">
        <v>1296</v>
      </c>
      <c r="X162" t="s">
        <v>47</v>
      </c>
      <c r="AA162" t="s">
        <v>1297</v>
      </c>
      <c r="AC162" t="s">
        <v>1298</v>
      </c>
      <c r="AD162" t="b">
        <v>0</v>
      </c>
      <c r="AF162">
        <v>3</v>
      </c>
      <c r="AG162" t="s">
        <v>332</v>
      </c>
    </row>
    <row r="163" spans="1:33" x14ac:dyDescent="0.2">
      <c r="A163">
        <v>1294</v>
      </c>
      <c r="B163" t="s">
        <v>1299</v>
      </c>
      <c r="C163" t="s">
        <v>34</v>
      </c>
      <c r="D163" t="s">
        <v>35</v>
      </c>
      <c r="E163" t="s">
        <v>1300</v>
      </c>
      <c r="F163" t="s">
        <v>1301</v>
      </c>
      <c r="G163" t="s">
        <v>242</v>
      </c>
      <c r="H163" t="s">
        <v>243</v>
      </c>
      <c r="I163" t="s">
        <v>1302</v>
      </c>
      <c r="J163" t="s">
        <v>1303</v>
      </c>
      <c r="K163">
        <v>2006</v>
      </c>
      <c r="L163">
        <v>2006</v>
      </c>
      <c r="M163">
        <v>8.7999999999999995E-2</v>
      </c>
      <c r="N163">
        <v>0.21299999999999999</v>
      </c>
      <c r="O163">
        <v>28</v>
      </c>
      <c r="P163">
        <v>0.62</v>
      </c>
      <c r="Q163">
        <v>3.9E-2</v>
      </c>
      <c r="R163" t="s">
        <v>72</v>
      </c>
      <c r="S163" t="s">
        <v>1304</v>
      </c>
      <c r="T163" t="b">
        <v>1</v>
      </c>
      <c r="U163" t="s">
        <v>1305</v>
      </c>
      <c r="V163" t="s">
        <v>1306</v>
      </c>
      <c r="W163" t="s">
        <v>1307</v>
      </c>
      <c r="X163" t="s">
        <v>47</v>
      </c>
      <c r="AA163" t="s">
        <v>1308</v>
      </c>
      <c r="AC163" t="s">
        <v>63</v>
      </c>
      <c r="AD163" t="b">
        <v>0</v>
      </c>
      <c r="AF163">
        <v>9</v>
      </c>
      <c r="AG163" t="s">
        <v>251</v>
      </c>
    </row>
    <row r="164" spans="1:33" x14ac:dyDescent="0.2">
      <c r="A164">
        <v>746</v>
      </c>
      <c r="B164" t="s">
        <v>1309</v>
      </c>
      <c r="C164" t="s">
        <v>34</v>
      </c>
      <c r="D164" t="s">
        <v>35</v>
      </c>
      <c r="E164" t="s">
        <v>253</v>
      </c>
      <c r="F164" t="s">
        <v>254</v>
      </c>
      <c r="G164" t="s">
        <v>242</v>
      </c>
      <c r="H164" t="s">
        <v>243</v>
      </c>
      <c r="I164" t="s">
        <v>1003</v>
      </c>
      <c r="J164" t="s">
        <v>192</v>
      </c>
      <c r="K164">
        <v>1957</v>
      </c>
      <c r="L164">
        <v>2018</v>
      </c>
      <c r="M164">
        <v>6</v>
      </c>
      <c r="N164">
        <v>30.06</v>
      </c>
      <c r="O164">
        <v>8</v>
      </c>
      <c r="P164">
        <v>75</v>
      </c>
      <c r="Q164">
        <v>2.1999999999999999E-2</v>
      </c>
      <c r="R164" t="s">
        <v>72</v>
      </c>
      <c r="S164" t="s">
        <v>1310</v>
      </c>
      <c r="T164" t="b">
        <v>1</v>
      </c>
      <c r="U164" t="s">
        <v>1311</v>
      </c>
      <c r="V164" t="s">
        <v>259</v>
      </c>
      <c r="W164" t="s">
        <v>1312</v>
      </c>
      <c r="X164" t="s">
        <v>47</v>
      </c>
      <c r="AA164" t="s">
        <v>884</v>
      </c>
      <c r="AB164" t="s">
        <v>49</v>
      </c>
      <c r="AC164" t="s">
        <v>885</v>
      </c>
      <c r="AD164" t="b">
        <v>0</v>
      </c>
      <c r="AF164">
        <v>9</v>
      </c>
      <c r="AG164" t="s">
        <v>251</v>
      </c>
    </row>
    <row r="165" spans="1:33" x14ac:dyDescent="0.2">
      <c r="A165">
        <v>1058</v>
      </c>
      <c r="B165" t="s">
        <v>1313</v>
      </c>
      <c r="C165" t="s">
        <v>34</v>
      </c>
      <c r="D165" t="s">
        <v>35</v>
      </c>
      <c r="E165" t="s">
        <v>1314</v>
      </c>
      <c r="F165" t="s">
        <v>1315</v>
      </c>
      <c r="G165" t="s">
        <v>213</v>
      </c>
      <c r="H165" t="s">
        <v>83</v>
      </c>
      <c r="I165" t="s">
        <v>1152</v>
      </c>
      <c r="J165" t="s">
        <v>676</v>
      </c>
      <c r="K165">
        <v>1999</v>
      </c>
      <c r="L165">
        <v>1999</v>
      </c>
      <c r="M165">
        <v>0.63</v>
      </c>
      <c r="N165">
        <v>2.3029999999999999</v>
      </c>
      <c r="R165" t="s">
        <v>84</v>
      </c>
      <c r="S165" t="s">
        <v>1316</v>
      </c>
      <c r="T165" t="b">
        <v>1</v>
      </c>
      <c r="U165" t="s">
        <v>571</v>
      </c>
      <c r="V165" t="s">
        <v>1317</v>
      </c>
      <c r="W165" t="s">
        <v>1318</v>
      </c>
      <c r="X165" t="s">
        <v>47</v>
      </c>
      <c r="AA165" t="s">
        <v>1156</v>
      </c>
      <c r="AC165" t="s">
        <v>1157</v>
      </c>
      <c r="AD165" t="b">
        <v>0</v>
      </c>
      <c r="AF165">
        <v>4</v>
      </c>
      <c r="AG165" t="s">
        <v>321</v>
      </c>
    </row>
    <row r="166" spans="1:33" x14ac:dyDescent="0.2">
      <c r="A166">
        <v>1354</v>
      </c>
      <c r="B166" t="s">
        <v>1319</v>
      </c>
      <c r="C166" t="s">
        <v>34</v>
      </c>
      <c r="D166" t="s">
        <v>35</v>
      </c>
      <c r="E166" t="s">
        <v>1320</v>
      </c>
      <c r="F166" t="s">
        <v>1321</v>
      </c>
      <c r="G166" t="s">
        <v>53</v>
      </c>
      <c r="H166" t="s">
        <v>54</v>
      </c>
      <c r="I166" t="s">
        <v>1039</v>
      </c>
      <c r="J166" t="s">
        <v>243</v>
      </c>
      <c r="K166">
        <v>2007</v>
      </c>
      <c r="L166">
        <v>2007</v>
      </c>
      <c r="M166">
        <v>13.27</v>
      </c>
      <c r="N166">
        <v>48.390999999999998</v>
      </c>
      <c r="O166">
        <v>137</v>
      </c>
      <c r="P166">
        <v>12.06</v>
      </c>
      <c r="Q166">
        <v>0.30599999999999999</v>
      </c>
      <c r="R166" t="s">
        <v>72</v>
      </c>
      <c r="S166" t="s">
        <v>1322</v>
      </c>
      <c r="T166" t="b">
        <v>1</v>
      </c>
      <c r="U166" t="s">
        <v>1323</v>
      </c>
      <c r="V166" t="s">
        <v>1324</v>
      </c>
      <c r="W166" t="s">
        <v>1325</v>
      </c>
      <c r="X166" t="s">
        <v>47</v>
      </c>
      <c r="AA166" t="s">
        <v>400</v>
      </c>
      <c r="AB166" t="s">
        <v>836</v>
      </c>
      <c r="AC166" t="s">
        <v>402</v>
      </c>
      <c r="AD166" t="b">
        <v>0</v>
      </c>
      <c r="AF166">
        <v>13</v>
      </c>
      <c r="AG166" t="s">
        <v>155</v>
      </c>
    </row>
    <row r="167" spans="1:33" x14ac:dyDescent="0.2">
      <c r="A167">
        <v>1806</v>
      </c>
      <c r="B167" t="s">
        <v>1326</v>
      </c>
      <c r="C167" t="s">
        <v>34</v>
      </c>
      <c r="D167" t="s">
        <v>35</v>
      </c>
      <c r="E167" t="s">
        <v>168</v>
      </c>
      <c r="F167" t="s">
        <v>169</v>
      </c>
      <c r="G167" t="s">
        <v>53</v>
      </c>
      <c r="H167" t="s">
        <v>54</v>
      </c>
      <c r="I167" t="s">
        <v>325</v>
      </c>
      <c r="J167" t="s">
        <v>135</v>
      </c>
      <c r="K167">
        <v>2016</v>
      </c>
      <c r="L167">
        <v>2016</v>
      </c>
      <c r="M167">
        <v>3.2</v>
      </c>
      <c r="N167">
        <v>4.6159999999999997</v>
      </c>
      <c r="O167">
        <v>487.91</v>
      </c>
      <c r="P167">
        <v>0.76</v>
      </c>
      <c r="Q167">
        <v>1.17</v>
      </c>
      <c r="R167" t="s">
        <v>57</v>
      </c>
      <c r="S167" t="s">
        <v>1327</v>
      </c>
      <c r="T167" t="b">
        <v>1</v>
      </c>
      <c r="U167" t="s">
        <v>1328</v>
      </c>
      <c r="V167" t="s">
        <v>174</v>
      </c>
      <c r="W167" t="s">
        <v>1329</v>
      </c>
      <c r="X167" t="s">
        <v>47</v>
      </c>
      <c r="AA167" t="s">
        <v>114</v>
      </c>
      <c r="AC167" t="s">
        <v>63</v>
      </c>
      <c r="AD167" t="b">
        <v>0</v>
      </c>
      <c r="AF167">
        <v>6</v>
      </c>
      <c r="AG167" t="s">
        <v>64</v>
      </c>
    </row>
    <row r="168" spans="1:33" x14ac:dyDescent="0.2">
      <c r="A168">
        <v>50</v>
      </c>
      <c r="B168" t="s">
        <v>1330</v>
      </c>
      <c r="C168" t="s">
        <v>34</v>
      </c>
      <c r="D168" t="s">
        <v>35</v>
      </c>
      <c r="E168" t="s">
        <v>36</v>
      </c>
      <c r="F168" t="s">
        <v>37</v>
      </c>
      <c r="G168" t="s">
        <v>503</v>
      </c>
      <c r="H168" t="s">
        <v>462</v>
      </c>
      <c r="I168" t="s">
        <v>1331</v>
      </c>
      <c r="J168" t="s">
        <v>94</v>
      </c>
      <c r="K168">
        <v>1969</v>
      </c>
      <c r="L168">
        <v>1969</v>
      </c>
      <c r="M168">
        <v>20</v>
      </c>
      <c r="N168">
        <v>121.47499999999999</v>
      </c>
      <c r="O168">
        <v>285</v>
      </c>
      <c r="P168">
        <v>8.01</v>
      </c>
      <c r="Q168">
        <v>0.69399999999999995</v>
      </c>
      <c r="R168" t="s">
        <v>84</v>
      </c>
      <c r="S168" t="s">
        <v>1332</v>
      </c>
      <c r="T168" t="b">
        <v>1</v>
      </c>
      <c r="U168" t="s">
        <v>1333</v>
      </c>
      <c r="V168" t="s">
        <v>45</v>
      </c>
      <c r="W168" t="s">
        <v>1334</v>
      </c>
      <c r="X168" t="s">
        <v>47</v>
      </c>
      <c r="AA168" t="s">
        <v>583</v>
      </c>
      <c r="AB168" t="s">
        <v>1335</v>
      </c>
      <c r="AC168" t="s">
        <v>585</v>
      </c>
      <c r="AD168" t="b">
        <v>0</v>
      </c>
      <c r="AF168">
        <v>3</v>
      </c>
      <c r="AG168" t="s">
        <v>332</v>
      </c>
    </row>
    <row r="169" spans="1:33" x14ac:dyDescent="0.2">
      <c r="A169">
        <v>912</v>
      </c>
      <c r="B169" t="s">
        <v>1336</v>
      </c>
      <c r="C169" t="s">
        <v>34</v>
      </c>
      <c r="D169" t="s">
        <v>35</v>
      </c>
      <c r="G169" t="s">
        <v>68</v>
      </c>
      <c r="H169" t="s">
        <v>69</v>
      </c>
      <c r="I169" t="s">
        <v>413</v>
      </c>
      <c r="J169" t="s">
        <v>414</v>
      </c>
      <c r="K169">
        <v>1971</v>
      </c>
      <c r="L169">
        <v>1971</v>
      </c>
      <c r="M169">
        <v>1.7600000000000001E-2</v>
      </c>
      <c r="N169">
        <v>7.0000000000000007E-2</v>
      </c>
      <c r="R169" t="s">
        <v>72</v>
      </c>
      <c r="S169" t="s">
        <v>1337</v>
      </c>
      <c r="T169" t="b">
        <v>1</v>
      </c>
      <c r="U169" t="s">
        <v>1338</v>
      </c>
      <c r="V169" t="s">
        <v>274</v>
      </c>
      <c r="W169" t="s">
        <v>113</v>
      </c>
      <c r="X169" t="s">
        <v>47</v>
      </c>
      <c r="AA169" t="s">
        <v>114</v>
      </c>
      <c r="AC169" t="s">
        <v>63</v>
      </c>
      <c r="AD169" t="b">
        <v>0</v>
      </c>
      <c r="AF169">
        <v>8</v>
      </c>
      <c r="AG169" t="s">
        <v>78</v>
      </c>
    </row>
    <row r="170" spans="1:33" x14ac:dyDescent="0.2">
      <c r="A170">
        <v>1674</v>
      </c>
      <c r="B170" t="s">
        <v>1339</v>
      </c>
      <c r="C170" t="s">
        <v>574</v>
      </c>
      <c r="D170" t="s">
        <v>575</v>
      </c>
      <c r="E170" t="s">
        <v>277</v>
      </c>
      <c r="F170" t="s">
        <v>278</v>
      </c>
      <c r="G170" t="s">
        <v>93</v>
      </c>
      <c r="H170" t="s">
        <v>94</v>
      </c>
      <c r="I170" t="s">
        <v>95</v>
      </c>
      <c r="J170" t="s">
        <v>96</v>
      </c>
      <c r="K170">
        <v>1973</v>
      </c>
      <c r="L170">
        <v>1973</v>
      </c>
      <c r="M170">
        <v>-1.1779999999999999</v>
      </c>
      <c r="N170">
        <v>-0.38900000000000001</v>
      </c>
      <c r="P170">
        <v>2.2000000000000002</v>
      </c>
      <c r="R170" t="s">
        <v>97</v>
      </c>
      <c r="S170" t="s">
        <v>1340</v>
      </c>
      <c r="T170" t="b">
        <v>1</v>
      </c>
      <c r="U170" t="s">
        <v>44</v>
      </c>
      <c r="V170" t="s">
        <v>389</v>
      </c>
      <c r="W170" t="s">
        <v>1341</v>
      </c>
      <c r="X170" t="s">
        <v>47</v>
      </c>
      <c r="AA170" t="s">
        <v>102</v>
      </c>
      <c r="AB170" t="s">
        <v>148</v>
      </c>
      <c r="AC170" t="s">
        <v>103</v>
      </c>
      <c r="AD170" t="b">
        <v>0</v>
      </c>
      <c r="AF170">
        <v>1</v>
      </c>
      <c r="AG170" t="s">
        <v>104</v>
      </c>
    </row>
    <row r="171" spans="1:33" x14ac:dyDescent="0.2">
      <c r="A171">
        <v>1227</v>
      </c>
      <c r="B171" t="s">
        <v>1342</v>
      </c>
      <c r="C171" t="s">
        <v>34</v>
      </c>
      <c r="D171" t="s">
        <v>35</v>
      </c>
      <c r="E171" t="s">
        <v>1343</v>
      </c>
      <c r="F171" t="s">
        <v>1344</v>
      </c>
      <c r="G171" t="s">
        <v>213</v>
      </c>
      <c r="H171" t="s">
        <v>83</v>
      </c>
      <c r="I171" t="s">
        <v>1029</v>
      </c>
      <c r="J171" t="s">
        <v>225</v>
      </c>
      <c r="K171">
        <v>2006</v>
      </c>
      <c r="L171">
        <v>2006</v>
      </c>
      <c r="M171">
        <v>1.8</v>
      </c>
      <c r="N171">
        <v>4.5590000000000002</v>
      </c>
      <c r="O171">
        <v>91</v>
      </c>
      <c r="P171">
        <v>2.35</v>
      </c>
      <c r="Q171">
        <v>0.21299999999999999</v>
      </c>
      <c r="R171" t="s">
        <v>84</v>
      </c>
      <c r="S171" t="s">
        <v>1345</v>
      </c>
      <c r="T171" t="b">
        <v>1</v>
      </c>
      <c r="U171" t="s">
        <v>1346</v>
      </c>
      <c r="V171" t="s">
        <v>1347</v>
      </c>
      <c r="W171" t="s">
        <v>1348</v>
      </c>
      <c r="X171" t="s">
        <v>47</v>
      </c>
      <c r="AA171" t="s">
        <v>1349</v>
      </c>
      <c r="AB171" t="s">
        <v>49</v>
      </c>
      <c r="AC171" t="s">
        <v>1350</v>
      </c>
      <c r="AD171" t="b">
        <v>0</v>
      </c>
      <c r="AF171">
        <v>4</v>
      </c>
      <c r="AG171" t="s">
        <v>321</v>
      </c>
    </row>
    <row r="172" spans="1:33" x14ac:dyDescent="0.2">
      <c r="A172">
        <v>1879</v>
      </c>
      <c r="B172" t="s">
        <v>1351</v>
      </c>
      <c r="C172" t="s">
        <v>34</v>
      </c>
      <c r="D172" t="s">
        <v>35</v>
      </c>
      <c r="E172" t="s">
        <v>1343</v>
      </c>
      <c r="F172" t="s">
        <v>1344</v>
      </c>
      <c r="G172" t="s">
        <v>213</v>
      </c>
      <c r="H172" t="s">
        <v>83</v>
      </c>
      <c r="I172" t="s">
        <v>1029</v>
      </c>
      <c r="J172" t="s">
        <v>225</v>
      </c>
      <c r="K172">
        <v>2016</v>
      </c>
      <c r="L172">
        <v>2016</v>
      </c>
      <c r="M172">
        <v>2.99</v>
      </c>
      <c r="N172">
        <v>10.529</v>
      </c>
      <c r="O172">
        <v>263</v>
      </c>
      <c r="P172">
        <v>1.355</v>
      </c>
      <c r="Q172">
        <v>0.61299999999999999</v>
      </c>
      <c r="R172" t="s">
        <v>84</v>
      </c>
      <c r="S172" t="s">
        <v>1345</v>
      </c>
      <c r="T172" t="b">
        <v>1</v>
      </c>
      <c r="U172" t="s">
        <v>1352</v>
      </c>
      <c r="V172" t="s">
        <v>1347</v>
      </c>
      <c r="W172" t="s">
        <v>1353</v>
      </c>
      <c r="X172" t="s">
        <v>47</v>
      </c>
      <c r="AA172" t="s">
        <v>1349</v>
      </c>
      <c r="AB172" t="s">
        <v>177</v>
      </c>
      <c r="AC172" t="s">
        <v>1350</v>
      </c>
      <c r="AD172" t="b">
        <v>0</v>
      </c>
      <c r="AF172">
        <v>4</v>
      </c>
      <c r="AG172" t="s">
        <v>321</v>
      </c>
    </row>
    <row r="173" spans="1:33" x14ac:dyDescent="0.2">
      <c r="A173">
        <v>51</v>
      </c>
      <c r="B173" t="s">
        <v>1354</v>
      </c>
      <c r="C173" t="s">
        <v>34</v>
      </c>
      <c r="D173" t="s">
        <v>35</v>
      </c>
      <c r="E173" t="s">
        <v>587</v>
      </c>
      <c r="F173" t="s">
        <v>588</v>
      </c>
      <c r="G173" t="s">
        <v>483</v>
      </c>
      <c r="H173" t="s">
        <v>109</v>
      </c>
      <c r="I173" t="s">
        <v>1355</v>
      </c>
      <c r="J173" t="s">
        <v>462</v>
      </c>
      <c r="K173">
        <v>1986</v>
      </c>
      <c r="L173">
        <v>1986</v>
      </c>
      <c r="M173">
        <v>3</v>
      </c>
      <c r="N173">
        <v>13.518000000000001</v>
      </c>
      <c r="O173">
        <v>18.2</v>
      </c>
      <c r="P173">
        <v>22.52</v>
      </c>
      <c r="Q173">
        <v>3.6999999999999998E-2</v>
      </c>
      <c r="R173" t="s">
        <v>97</v>
      </c>
      <c r="S173" t="s">
        <v>1356</v>
      </c>
      <c r="T173" t="b">
        <v>1</v>
      </c>
      <c r="U173" t="s">
        <v>1357</v>
      </c>
      <c r="V173" t="s">
        <v>592</v>
      </c>
      <c r="W173" t="s">
        <v>1358</v>
      </c>
      <c r="X173" t="s">
        <v>47</v>
      </c>
      <c r="AA173" t="s">
        <v>340</v>
      </c>
      <c r="AB173" t="s">
        <v>1359</v>
      </c>
      <c r="AC173" t="s">
        <v>1063</v>
      </c>
      <c r="AD173" t="b">
        <v>0</v>
      </c>
      <c r="AF173">
        <v>1</v>
      </c>
      <c r="AG173" t="s">
        <v>104</v>
      </c>
    </row>
    <row r="174" spans="1:33" x14ac:dyDescent="0.2">
      <c r="A174">
        <v>2160</v>
      </c>
      <c r="B174" t="s">
        <v>1360</v>
      </c>
      <c r="C174" t="s">
        <v>34</v>
      </c>
      <c r="D174" t="s">
        <v>35</v>
      </c>
      <c r="E174" t="s">
        <v>1361</v>
      </c>
      <c r="F174" t="s">
        <v>1362</v>
      </c>
      <c r="G174" t="s">
        <v>242</v>
      </c>
      <c r="H174" t="s">
        <v>243</v>
      </c>
      <c r="I174" t="s">
        <v>1003</v>
      </c>
      <c r="J174" t="s">
        <v>192</v>
      </c>
      <c r="K174">
        <v>2025</v>
      </c>
      <c r="L174">
        <v>2025</v>
      </c>
      <c r="M174">
        <v>3.2</v>
      </c>
      <c r="N174">
        <v>8.8000000000000007</v>
      </c>
      <c r="O174">
        <v>118.2</v>
      </c>
      <c r="P174">
        <v>3.2</v>
      </c>
      <c r="Q174">
        <v>0.27800000000000002</v>
      </c>
      <c r="R174" t="s">
        <v>72</v>
      </c>
      <c r="S174" t="s">
        <v>1363</v>
      </c>
      <c r="T174" t="b">
        <v>1</v>
      </c>
      <c r="U174" t="s">
        <v>1364</v>
      </c>
      <c r="V174" t="s">
        <v>1365</v>
      </c>
      <c r="W174" t="s">
        <v>1366</v>
      </c>
      <c r="X174" t="s">
        <v>47</v>
      </c>
      <c r="AA174" t="s">
        <v>884</v>
      </c>
      <c r="AC174" t="s">
        <v>885</v>
      </c>
      <c r="AD174" t="b">
        <v>0</v>
      </c>
      <c r="AF174">
        <v>9</v>
      </c>
      <c r="AG174" t="s">
        <v>251</v>
      </c>
    </row>
    <row r="175" spans="1:33" x14ac:dyDescent="0.2">
      <c r="A175">
        <v>866</v>
      </c>
      <c r="B175" t="s">
        <v>1367</v>
      </c>
      <c r="C175" t="s">
        <v>34</v>
      </c>
      <c r="D175" t="s">
        <v>35</v>
      </c>
      <c r="E175" t="s">
        <v>1368</v>
      </c>
      <c r="F175" t="s">
        <v>1369</v>
      </c>
      <c r="G175" t="s">
        <v>483</v>
      </c>
      <c r="H175" t="s">
        <v>109</v>
      </c>
      <c r="I175" t="s">
        <v>1370</v>
      </c>
      <c r="J175" t="s">
        <v>71</v>
      </c>
      <c r="K175">
        <v>1914</v>
      </c>
      <c r="L175">
        <v>1914</v>
      </c>
      <c r="M175">
        <v>0.45</v>
      </c>
      <c r="N175">
        <v>2.0430000000000001</v>
      </c>
      <c r="R175" t="s">
        <v>97</v>
      </c>
      <c r="S175" t="s">
        <v>1371</v>
      </c>
      <c r="T175" t="b">
        <v>1</v>
      </c>
      <c r="U175" t="s">
        <v>1372</v>
      </c>
      <c r="V175" t="s">
        <v>1373</v>
      </c>
      <c r="W175" t="s">
        <v>113</v>
      </c>
      <c r="X175" t="s">
        <v>47</v>
      </c>
      <c r="AA175" t="s">
        <v>340</v>
      </c>
      <c r="AC175" t="s">
        <v>341</v>
      </c>
      <c r="AD175" t="b">
        <v>0</v>
      </c>
      <c r="AF175">
        <v>1</v>
      </c>
      <c r="AG175" t="s">
        <v>104</v>
      </c>
    </row>
    <row r="176" spans="1:33" x14ac:dyDescent="0.2">
      <c r="A176">
        <v>867</v>
      </c>
      <c r="B176" t="s">
        <v>1374</v>
      </c>
      <c r="C176" t="s">
        <v>34</v>
      </c>
      <c r="D176" t="s">
        <v>35</v>
      </c>
      <c r="E176" t="s">
        <v>1368</v>
      </c>
      <c r="F176" t="s">
        <v>1369</v>
      </c>
      <c r="G176" t="s">
        <v>483</v>
      </c>
      <c r="H176" t="s">
        <v>109</v>
      </c>
      <c r="I176" t="s">
        <v>1370</v>
      </c>
      <c r="J176" t="s">
        <v>71</v>
      </c>
      <c r="K176">
        <v>1922</v>
      </c>
      <c r="L176">
        <v>1922</v>
      </c>
      <c r="M176">
        <v>0.25</v>
      </c>
      <c r="N176">
        <v>1.0209999999999999</v>
      </c>
      <c r="R176" t="s">
        <v>97</v>
      </c>
      <c r="S176" t="s">
        <v>1371</v>
      </c>
      <c r="T176" t="b">
        <v>1</v>
      </c>
      <c r="U176" t="s">
        <v>1375</v>
      </c>
      <c r="V176" t="s">
        <v>1373</v>
      </c>
      <c r="W176" t="s">
        <v>113</v>
      </c>
      <c r="X176" t="s">
        <v>47</v>
      </c>
      <c r="AA176" t="s">
        <v>340</v>
      </c>
      <c r="AC176" t="s">
        <v>341</v>
      </c>
      <c r="AD176" t="b">
        <v>0</v>
      </c>
      <c r="AF176">
        <v>1</v>
      </c>
      <c r="AG176" t="s">
        <v>104</v>
      </c>
    </row>
    <row r="177" spans="1:33" x14ac:dyDescent="0.2">
      <c r="A177">
        <v>52</v>
      </c>
      <c r="B177" t="s">
        <v>1376</v>
      </c>
      <c r="C177" t="s">
        <v>34</v>
      </c>
      <c r="D177" t="s">
        <v>35</v>
      </c>
      <c r="E177" t="s">
        <v>818</v>
      </c>
      <c r="F177" t="s">
        <v>819</v>
      </c>
      <c r="G177" t="s">
        <v>53</v>
      </c>
      <c r="H177" t="s">
        <v>54</v>
      </c>
      <c r="I177" t="s">
        <v>1377</v>
      </c>
      <c r="J177" t="s">
        <v>337</v>
      </c>
      <c r="K177">
        <v>1921</v>
      </c>
      <c r="L177">
        <v>1993</v>
      </c>
      <c r="M177">
        <v>2.4</v>
      </c>
      <c r="N177">
        <v>9.7859999999999996</v>
      </c>
      <c r="O177">
        <v>356.39</v>
      </c>
      <c r="P177">
        <v>0.8</v>
      </c>
      <c r="Q177">
        <v>0.83299999999999996</v>
      </c>
      <c r="R177" t="s">
        <v>84</v>
      </c>
      <c r="S177" t="s">
        <v>1378</v>
      </c>
      <c r="T177" t="b">
        <v>1</v>
      </c>
      <c r="U177" t="s">
        <v>1379</v>
      </c>
      <c r="V177" t="s">
        <v>822</v>
      </c>
      <c r="W177" t="s">
        <v>113</v>
      </c>
      <c r="X177" t="s">
        <v>47</v>
      </c>
      <c r="AA177" t="s">
        <v>1380</v>
      </c>
      <c r="AB177" t="s">
        <v>49</v>
      </c>
      <c r="AC177" t="s">
        <v>1381</v>
      </c>
      <c r="AD177" t="b">
        <v>0</v>
      </c>
      <c r="AF177">
        <v>5</v>
      </c>
      <c r="AG177" t="s">
        <v>89</v>
      </c>
    </row>
    <row r="178" spans="1:33" x14ac:dyDescent="0.2">
      <c r="A178">
        <v>53</v>
      </c>
      <c r="B178" t="s">
        <v>1382</v>
      </c>
      <c r="C178" t="s">
        <v>34</v>
      </c>
      <c r="D178" t="s">
        <v>35</v>
      </c>
      <c r="E178" t="s">
        <v>1383</v>
      </c>
      <c r="F178" t="s">
        <v>1384</v>
      </c>
      <c r="G178" t="s">
        <v>312</v>
      </c>
      <c r="H178" t="s">
        <v>313</v>
      </c>
      <c r="I178" t="s">
        <v>1385</v>
      </c>
      <c r="J178" t="s">
        <v>337</v>
      </c>
      <c r="K178">
        <v>1913</v>
      </c>
      <c r="L178">
        <v>1913</v>
      </c>
      <c r="M178">
        <v>65</v>
      </c>
      <c r="N178">
        <v>420.76</v>
      </c>
      <c r="O178">
        <v>62</v>
      </c>
      <c r="P178">
        <v>124</v>
      </c>
      <c r="Q178">
        <v>0.14599999999999999</v>
      </c>
      <c r="R178" t="s">
        <v>84</v>
      </c>
      <c r="S178" t="s">
        <v>1386</v>
      </c>
      <c r="T178" t="b">
        <v>1</v>
      </c>
      <c r="U178" t="s">
        <v>1387</v>
      </c>
      <c r="V178" t="s">
        <v>1388</v>
      </c>
      <c r="W178" t="s">
        <v>1389</v>
      </c>
      <c r="X178" t="s">
        <v>47</v>
      </c>
      <c r="AA178" t="s">
        <v>509</v>
      </c>
      <c r="AB178" t="s">
        <v>401</v>
      </c>
      <c r="AC178" t="s">
        <v>510</v>
      </c>
      <c r="AD178" t="b">
        <v>0</v>
      </c>
      <c r="AF178">
        <v>4</v>
      </c>
      <c r="AG178" t="s">
        <v>321</v>
      </c>
    </row>
    <row r="179" spans="1:33" x14ac:dyDescent="0.2">
      <c r="A179">
        <v>54</v>
      </c>
      <c r="B179" t="s">
        <v>1390</v>
      </c>
      <c r="C179" t="s">
        <v>34</v>
      </c>
      <c r="D179" t="s">
        <v>35</v>
      </c>
      <c r="E179" t="s">
        <v>36</v>
      </c>
      <c r="F179" t="s">
        <v>37</v>
      </c>
      <c r="G179" t="s">
        <v>134</v>
      </c>
      <c r="H179" t="s">
        <v>135</v>
      </c>
      <c r="I179" t="s">
        <v>191</v>
      </c>
      <c r="J179" t="s">
        <v>192</v>
      </c>
      <c r="K179">
        <v>1977</v>
      </c>
      <c r="L179">
        <v>1977</v>
      </c>
      <c r="M179">
        <v>30</v>
      </c>
      <c r="N179">
        <v>141.16499999999999</v>
      </c>
      <c r="O179">
        <v>204.8</v>
      </c>
      <c r="P179">
        <v>17.010000000000002</v>
      </c>
      <c r="Q179">
        <v>0.49</v>
      </c>
      <c r="R179" t="s">
        <v>42</v>
      </c>
      <c r="S179" t="s">
        <v>1391</v>
      </c>
      <c r="T179" t="b">
        <v>1</v>
      </c>
      <c r="U179" t="s">
        <v>1392</v>
      </c>
      <c r="V179" t="s">
        <v>45</v>
      </c>
      <c r="W179" t="s">
        <v>1393</v>
      </c>
      <c r="X179" t="s">
        <v>47</v>
      </c>
      <c r="AA179" t="s">
        <v>1394</v>
      </c>
      <c r="AB179" t="s">
        <v>177</v>
      </c>
      <c r="AC179" t="s">
        <v>1395</v>
      </c>
      <c r="AD179" t="b">
        <v>0</v>
      </c>
      <c r="AF179">
        <v>11</v>
      </c>
      <c r="AG179" t="s">
        <v>198</v>
      </c>
    </row>
    <row r="180" spans="1:33" x14ac:dyDescent="0.2">
      <c r="A180">
        <v>1206</v>
      </c>
      <c r="B180" t="s">
        <v>1396</v>
      </c>
      <c r="C180" t="s">
        <v>34</v>
      </c>
      <c r="D180" t="s">
        <v>35</v>
      </c>
      <c r="E180" t="s">
        <v>542</v>
      </c>
      <c r="F180" t="s">
        <v>543</v>
      </c>
      <c r="G180" t="s">
        <v>38</v>
      </c>
      <c r="H180" t="s">
        <v>39</v>
      </c>
      <c r="I180" t="s">
        <v>1397</v>
      </c>
      <c r="J180" t="s">
        <v>612</v>
      </c>
      <c r="K180">
        <v>1953</v>
      </c>
      <c r="L180">
        <v>2003</v>
      </c>
      <c r="M180">
        <v>0.7</v>
      </c>
      <c r="N180">
        <v>3.1379999999999999</v>
      </c>
      <c r="O180">
        <v>5.5</v>
      </c>
      <c r="P180">
        <v>14</v>
      </c>
      <c r="R180" t="s">
        <v>42</v>
      </c>
      <c r="S180" t="s">
        <v>1398</v>
      </c>
      <c r="T180" t="b">
        <v>1</v>
      </c>
      <c r="U180" t="s">
        <v>1399</v>
      </c>
      <c r="V180" t="s">
        <v>547</v>
      </c>
      <c r="W180" t="s">
        <v>1400</v>
      </c>
      <c r="X180" t="s">
        <v>47</v>
      </c>
      <c r="AA180" t="s">
        <v>129</v>
      </c>
      <c r="AC180" t="s">
        <v>130</v>
      </c>
      <c r="AD180" t="b">
        <v>0</v>
      </c>
      <c r="AF180">
        <v>12</v>
      </c>
      <c r="AG180" t="s">
        <v>51</v>
      </c>
    </row>
    <row r="181" spans="1:33" x14ac:dyDescent="0.2">
      <c r="A181">
        <v>1149</v>
      </c>
      <c r="B181" t="s">
        <v>1401</v>
      </c>
      <c r="C181" t="s">
        <v>34</v>
      </c>
      <c r="D181" t="s">
        <v>35</v>
      </c>
      <c r="E181" t="s">
        <v>1402</v>
      </c>
      <c r="F181" t="s">
        <v>1403</v>
      </c>
      <c r="G181" t="s">
        <v>134</v>
      </c>
      <c r="H181" t="s">
        <v>135</v>
      </c>
      <c r="I181" t="s">
        <v>1404</v>
      </c>
      <c r="J181" t="s">
        <v>731</v>
      </c>
      <c r="K181">
        <v>2002</v>
      </c>
      <c r="L181">
        <v>2002</v>
      </c>
      <c r="M181">
        <v>0.15</v>
      </c>
      <c r="N181">
        <v>0.93500000000000005</v>
      </c>
      <c r="R181" t="s">
        <v>42</v>
      </c>
      <c r="S181" t="s">
        <v>1405</v>
      </c>
      <c r="T181" t="b">
        <v>1</v>
      </c>
      <c r="U181" t="s">
        <v>247</v>
      </c>
      <c r="V181" t="s">
        <v>1406</v>
      </c>
      <c r="W181" t="s">
        <v>1407</v>
      </c>
      <c r="X181" t="s">
        <v>47</v>
      </c>
      <c r="AA181" t="s">
        <v>114</v>
      </c>
      <c r="AC181" t="s">
        <v>63</v>
      </c>
      <c r="AD181" t="b">
        <v>0</v>
      </c>
      <c r="AF181">
        <v>10</v>
      </c>
      <c r="AG181" t="s">
        <v>143</v>
      </c>
    </row>
    <row r="182" spans="1:33" x14ac:dyDescent="0.2">
      <c r="A182">
        <v>615</v>
      </c>
      <c r="B182" t="s">
        <v>1408</v>
      </c>
      <c r="C182" t="s">
        <v>34</v>
      </c>
      <c r="D182" t="s">
        <v>35</v>
      </c>
      <c r="E182" t="s">
        <v>542</v>
      </c>
      <c r="F182" t="s">
        <v>543</v>
      </c>
      <c r="G182" t="s">
        <v>377</v>
      </c>
      <c r="H182" t="s">
        <v>378</v>
      </c>
      <c r="I182" t="s">
        <v>1409</v>
      </c>
      <c r="J182" t="s">
        <v>54</v>
      </c>
      <c r="K182">
        <v>1990</v>
      </c>
      <c r="L182">
        <v>1990</v>
      </c>
      <c r="M182">
        <v>1.7</v>
      </c>
      <c r="N182">
        <v>6.0030000000000001</v>
      </c>
      <c r="O182">
        <v>42</v>
      </c>
      <c r="P182">
        <v>4.71</v>
      </c>
      <c r="Q182">
        <v>0.1</v>
      </c>
      <c r="R182" t="s">
        <v>42</v>
      </c>
      <c r="S182" t="s">
        <v>1410</v>
      </c>
      <c r="T182" t="b">
        <v>1</v>
      </c>
      <c r="U182" t="s">
        <v>1411</v>
      </c>
      <c r="V182" t="s">
        <v>547</v>
      </c>
      <c r="W182" t="s">
        <v>1412</v>
      </c>
      <c r="X182" t="s">
        <v>47</v>
      </c>
      <c r="AA182" t="s">
        <v>1413</v>
      </c>
      <c r="AB182" t="s">
        <v>401</v>
      </c>
      <c r="AC182" t="s">
        <v>1414</v>
      </c>
      <c r="AD182" t="b">
        <v>0</v>
      </c>
      <c r="AF182">
        <v>12</v>
      </c>
      <c r="AG182" t="s">
        <v>51</v>
      </c>
    </row>
    <row r="183" spans="1:33" x14ac:dyDescent="0.2">
      <c r="A183">
        <v>2131</v>
      </c>
      <c r="B183" t="s">
        <v>1415</v>
      </c>
      <c r="C183" t="s">
        <v>34</v>
      </c>
      <c r="D183" t="s">
        <v>35</v>
      </c>
      <c r="E183" t="s">
        <v>1416</v>
      </c>
      <c r="F183" t="s">
        <v>1417</v>
      </c>
      <c r="G183" t="s">
        <v>134</v>
      </c>
      <c r="H183" t="s">
        <v>135</v>
      </c>
      <c r="I183" t="s">
        <v>1418</v>
      </c>
      <c r="J183" t="s">
        <v>676</v>
      </c>
      <c r="K183">
        <v>2025</v>
      </c>
      <c r="L183">
        <v>2025</v>
      </c>
      <c r="M183">
        <v>2.2000000000000002</v>
      </c>
      <c r="N183">
        <v>7.4</v>
      </c>
      <c r="O183">
        <v>134</v>
      </c>
      <c r="P183">
        <v>1.97</v>
      </c>
      <c r="Q183">
        <v>0.31</v>
      </c>
      <c r="R183" t="s">
        <v>42</v>
      </c>
      <c r="S183" t="s">
        <v>1419</v>
      </c>
      <c r="T183" t="b">
        <v>1</v>
      </c>
      <c r="U183" t="s">
        <v>1420</v>
      </c>
      <c r="V183" t="s">
        <v>1421</v>
      </c>
      <c r="W183" t="s">
        <v>1422</v>
      </c>
      <c r="X183" t="s">
        <v>47</v>
      </c>
      <c r="AA183" t="s">
        <v>1415</v>
      </c>
      <c r="AC183" t="s">
        <v>63</v>
      </c>
      <c r="AD183" t="b">
        <v>0</v>
      </c>
      <c r="AF183">
        <v>10</v>
      </c>
      <c r="AG183" t="s">
        <v>143</v>
      </c>
    </row>
    <row r="184" spans="1:33" x14ac:dyDescent="0.2">
      <c r="A184">
        <v>1428</v>
      </c>
      <c r="B184" t="s">
        <v>1423</v>
      </c>
      <c r="C184" t="s">
        <v>34</v>
      </c>
      <c r="D184" t="s">
        <v>35</v>
      </c>
      <c r="E184" t="s">
        <v>168</v>
      </c>
      <c r="F184" t="s">
        <v>169</v>
      </c>
      <c r="G184" t="s">
        <v>242</v>
      </c>
      <c r="H184" t="s">
        <v>243</v>
      </c>
      <c r="I184" t="s">
        <v>1424</v>
      </c>
      <c r="J184" t="s">
        <v>354</v>
      </c>
      <c r="K184">
        <v>2009</v>
      </c>
      <c r="L184">
        <v>2009</v>
      </c>
      <c r="M184">
        <v>0.98</v>
      </c>
      <c r="N184">
        <v>2.048</v>
      </c>
      <c r="O184">
        <v>16.7</v>
      </c>
      <c r="P184">
        <v>7.5</v>
      </c>
      <c r="Q184">
        <v>3.5999999999999997E-2</v>
      </c>
      <c r="R184" t="s">
        <v>72</v>
      </c>
      <c r="S184" t="s">
        <v>1425</v>
      </c>
      <c r="T184" t="b">
        <v>1</v>
      </c>
      <c r="U184" t="s">
        <v>1426</v>
      </c>
      <c r="V184" t="s">
        <v>174</v>
      </c>
      <c r="W184" t="s">
        <v>1427</v>
      </c>
      <c r="X184" t="s">
        <v>47</v>
      </c>
      <c r="AA184" t="s">
        <v>1428</v>
      </c>
      <c r="AB184" t="s">
        <v>308</v>
      </c>
      <c r="AC184" t="s">
        <v>1429</v>
      </c>
      <c r="AD184" t="b">
        <v>0</v>
      </c>
      <c r="AF184">
        <v>9</v>
      </c>
      <c r="AG184" t="s">
        <v>251</v>
      </c>
    </row>
    <row r="185" spans="1:33" x14ac:dyDescent="0.2">
      <c r="A185">
        <v>55</v>
      </c>
      <c r="B185" t="s">
        <v>1430</v>
      </c>
      <c r="C185" t="s">
        <v>34</v>
      </c>
      <c r="D185" t="s">
        <v>35</v>
      </c>
      <c r="E185" t="s">
        <v>1085</v>
      </c>
      <c r="F185" t="s">
        <v>1086</v>
      </c>
      <c r="G185" t="s">
        <v>134</v>
      </c>
      <c r="H185" t="s">
        <v>135</v>
      </c>
      <c r="I185" t="s">
        <v>1431</v>
      </c>
      <c r="J185" t="s">
        <v>280</v>
      </c>
      <c r="K185">
        <v>1958</v>
      </c>
      <c r="L185">
        <v>1958</v>
      </c>
      <c r="M185">
        <v>30</v>
      </c>
      <c r="N185">
        <v>178.66300000000001</v>
      </c>
      <c r="O185">
        <v>155</v>
      </c>
      <c r="P185">
        <v>24</v>
      </c>
      <c r="Q185">
        <v>0.34699999999999998</v>
      </c>
      <c r="R185" t="s">
        <v>42</v>
      </c>
      <c r="S185" t="s">
        <v>1432</v>
      </c>
      <c r="T185" t="b">
        <v>1</v>
      </c>
      <c r="U185" t="s">
        <v>566</v>
      </c>
      <c r="V185" t="s">
        <v>1089</v>
      </c>
      <c r="W185" t="s">
        <v>1433</v>
      </c>
      <c r="X185" t="s">
        <v>47</v>
      </c>
      <c r="AA185" t="s">
        <v>1434</v>
      </c>
      <c r="AB185" t="s">
        <v>612</v>
      </c>
      <c r="AC185" t="s">
        <v>1435</v>
      </c>
      <c r="AD185" t="b">
        <v>0</v>
      </c>
      <c r="AF185">
        <v>10</v>
      </c>
      <c r="AG185" t="s">
        <v>143</v>
      </c>
    </row>
    <row r="186" spans="1:33" x14ac:dyDescent="0.2">
      <c r="A186">
        <v>1735</v>
      </c>
      <c r="B186" t="s">
        <v>1436</v>
      </c>
      <c r="C186" t="s">
        <v>34</v>
      </c>
      <c r="D186" t="s">
        <v>35</v>
      </c>
      <c r="E186" t="s">
        <v>1437</v>
      </c>
      <c r="F186" t="s">
        <v>1438</v>
      </c>
      <c r="G186" t="s">
        <v>242</v>
      </c>
      <c r="H186" t="s">
        <v>243</v>
      </c>
      <c r="I186" t="s">
        <v>1439</v>
      </c>
      <c r="J186" t="s">
        <v>171</v>
      </c>
      <c r="K186">
        <v>2009</v>
      </c>
      <c r="L186">
        <v>2009</v>
      </c>
      <c r="M186">
        <v>2.1999999999999999E-2</v>
      </c>
      <c r="N186">
        <v>0.06</v>
      </c>
      <c r="O186">
        <v>50</v>
      </c>
      <c r="P186">
        <v>7.3999999999999996E-2</v>
      </c>
      <c r="Q186">
        <v>8.3000000000000004E-2</v>
      </c>
      <c r="R186" t="s">
        <v>72</v>
      </c>
      <c r="S186" t="s">
        <v>1440</v>
      </c>
      <c r="T186" t="b">
        <v>1</v>
      </c>
      <c r="U186" t="s">
        <v>1441</v>
      </c>
      <c r="V186" t="s">
        <v>1442</v>
      </c>
      <c r="W186" t="s">
        <v>1443</v>
      </c>
      <c r="X186" t="s">
        <v>47</v>
      </c>
      <c r="AA186" t="s">
        <v>1444</v>
      </c>
      <c r="AC186" t="s">
        <v>1277</v>
      </c>
      <c r="AD186" t="b">
        <v>0</v>
      </c>
      <c r="AF186">
        <v>8</v>
      </c>
      <c r="AG186" t="s">
        <v>78</v>
      </c>
    </row>
    <row r="187" spans="1:33" x14ac:dyDescent="0.2">
      <c r="A187">
        <v>954</v>
      </c>
      <c r="B187" t="s">
        <v>1445</v>
      </c>
      <c r="C187" t="s">
        <v>34</v>
      </c>
      <c r="D187" t="s">
        <v>35</v>
      </c>
      <c r="E187" t="s">
        <v>682</v>
      </c>
      <c r="F187" t="s">
        <v>683</v>
      </c>
      <c r="G187" t="s">
        <v>53</v>
      </c>
      <c r="H187" t="s">
        <v>54</v>
      </c>
      <c r="I187" t="s">
        <v>1165</v>
      </c>
      <c r="J187" t="s">
        <v>1166</v>
      </c>
      <c r="K187">
        <v>1920</v>
      </c>
      <c r="L187">
        <v>2017</v>
      </c>
      <c r="M187">
        <v>1.44</v>
      </c>
      <c r="N187">
        <v>5.5119999999999996</v>
      </c>
      <c r="O187">
        <v>118.3</v>
      </c>
      <c r="P187">
        <v>1.4</v>
      </c>
      <c r="Q187">
        <v>0.28599999999999998</v>
      </c>
      <c r="R187" t="s">
        <v>72</v>
      </c>
      <c r="S187" t="s">
        <v>1446</v>
      </c>
      <c r="T187" t="b">
        <v>1</v>
      </c>
      <c r="U187" t="s">
        <v>1447</v>
      </c>
      <c r="V187" t="s">
        <v>686</v>
      </c>
      <c r="W187" t="s">
        <v>1448</v>
      </c>
      <c r="X187" t="s">
        <v>47</v>
      </c>
      <c r="AA187" t="s">
        <v>1449</v>
      </c>
      <c r="AC187" t="s">
        <v>63</v>
      </c>
      <c r="AD187" t="b">
        <v>0</v>
      </c>
      <c r="AF187">
        <v>8</v>
      </c>
      <c r="AG187" t="s">
        <v>78</v>
      </c>
    </row>
    <row r="188" spans="1:33" x14ac:dyDescent="0.2">
      <c r="A188">
        <v>1593</v>
      </c>
      <c r="B188" t="s">
        <v>1450</v>
      </c>
      <c r="C188" t="s">
        <v>34</v>
      </c>
      <c r="D188" t="s">
        <v>35</v>
      </c>
      <c r="E188" t="s">
        <v>1451</v>
      </c>
      <c r="F188" t="s">
        <v>1452</v>
      </c>
      <c r="G188" t="s">
        <v>213</v>
      </c>
      <c r="H188" t="s">
        <v>83</v>
      </c>
      <c r="I188" t="s">
        <v>627</v>
      </c>
      <c r="J188" t="s">
        <v>54</v>
      </c>
      <c r="K188">
        <v>2010</v>
      </c>
      <c r="L188">
        <v>2010</v>
      </c>
      <c r="M188">
        <v>0.3</v>
      </c>
      <c r="N188">
        <v>0.63800000000000001</v>
      </c>
      <c r="R188" t="s">
        <v>84</v>
      </c>
      <c r="S188" t="s">
        <v>1453</v>
      </c>
      <c r="T188" t="b">
        <v>1</v>
      </c>
      <c r="U188" t="s">
        <v>1454</v>
      </c>
      <c r="V188" t="s">
        <v>1455</v>
      </c>
      <c r="W188" t="s">
        <v>1456</v>
      </c>
      <c r="X188" t="s">
        <v>47</v>
      </c>
      <c r="AA188" t="s">
        <v>114</v>
      </c>
      <c r="AC188" t="s">
        <v>63</v>
      </c>
      <c r="AD188" t="b">
        <v>0</v>
      </c>
      <c r="AF188">
        <v>5</v>
      </c>
      <c r="AG188" t="s">
        <v>89</v>
      </c>
    </row>
    <row r="189" spans="1:33" x14ac:dyDescent="0.2">
      <c r="A189">
        <v>608</v>
      </c>
      <c r="B189" t="s">
        <v>1457</v>
      </c>
      <c r="C189" t="s">
        <v>34</v>
      </c>
      <c r="D189" t="s">
        <v>35</v>
      </c>
      <c r="E189" t="s">
        <v>682</v>
      </c>
      <c r="F189" t="s">
        <v>683</v>
      </c>
      <c r="G189" t="s">
        <v>68</v>
      </c>
      <c r="H189" t="s">
        <v>69</v>
      </c>
      <c r="I189" t="s">
        <v>1458</v>
      </c>
      <c r="J189" t="s">
        <v>1459</v>
      </c>
      <c r="K189">
        <v>1990</v>
      </c>
      <c r="L189">
        <v>1990</v>
      </c>
      <c r="M189">
        <v>5.2</v>
      </c>
      <c r="N189">
        <v>23.082999999999998</v>
      </c>
      <c r="O189">
        <v>618.87</v>
      </c>
      <c r="P189">
        <v>1</v>
      </c>
      <c r="Q189">
        <v>1.444</v>
      </c>
      <c r="R189" t="s">
        <v>72</v>
      </c>
      <c r="S189" t="s">
        <v>1460</v>
      </c>
      <c r="T189" t="b">
        <v>1</v>
      </c>
      <c r="U189" t="s">
        <v>1461</v>
      </c>
      <c r="V189" t="s">
        <v>686</v>
      </c>
      <c r="W189" t="s">
        <v>1462</v>
      </c>
      <c r="X189" t="s">
        <v>47</v>
      </c>
      <c r="AA189" t="s">
        <v>1463</v>
      </c>
      <c r="AB189" t="s">
        <v>49</v>
      </c>
      <c r="AC189" t="s">
        <v>1464</v>
      </c>
      <c r="AD189" t="b">
        <v>0</v>
      </c>
      <c r="AF189">
        <v>13</v>
      </c>
      <c r="AG189" t="s">
        <v>155</v>
      </c>
    </row>
    <row r="190" spans="1:33" x14ac:dyDescent="0.2">
      <c r="A190">
        <v>836</v>
      </c>
      <c r="B190" t="s">
        <v>1457</v>
      </c>
      <c r="C190" t="s">
        <v>34</v>
      </c>
      <c r="D190" t="s">
        <v>35</v>
      </c>
      <c r="E190" t="s">
        <v>1465</v>
      </c>
      <c r="F190" t="s">
        <v>1466</v>
      </c>
      <c r="G190" t="s">
        <v>53</v>
      </c>
      <c r="H190" t="s">
        <v>54</v>
      </c>
      <c r="I190" t="s">
        <v>461</v>
      </c>
      <c r="J190" t="s">
        <v>462</v>
      </c>
      <c r="K190">
        <v>2005</v>
      </c>
      <c r="L190">
        <v>2005</v>
      </c>
      <c r="M190">
        <v>2.95</v>
      </c>
      <c r="N190">
        <v>11.273</v>
      </c>
      <c r="O190">
        <v>265</v>
      </c>
      <c r="P190">
        <v>1.325</v>
      </c>
      <c r="Q190">
        <v>0.61799999999999999</v>
      </c>
      <c r="R190" t="s">
        <v>57</v>
      </c>
      <c r="S190" t="s">
        <v>1467</v>
      </c>
      <c r="T190" t="b">
        <v>1</v>
      </c>
      <c r="U190" t="s">
        <v>1468</v>
      </c>
      <c r="V190" t="s">
        <v>1469</v>
      </c>
      <c r="W190" t="s">
        <v>1470</v>
      </c>
      <c r="X190" t="s">
        <v>47</v>
      </c>
      <c r="AA190" t="s">
        <v>1471</v>
      </c>
      <c r="AB190" t="s">
        <v>49</v>
      </c>
      <c r="AC190" t="s">
        <v>1472</v>
      </c>
      <c r="AD190" t="b">
        <v>0</v>
      </c>
      <c r="AF190">
        <v>7</v>
      </c>
      <c r="AG190" t="s">
        <v>469</v>
      </c>
    </row>
    <row r="191" spans="1:33" x14ac:dyDescent="0.2">
      <c r="A191">
        <v>56</v>
      </c>
      <c r="B191" t="s">
        <v>1473</v>
      </c>
      <c r="C191" t="s">
        <v>34</v>
      </c>
      <c r="D191" t="s">
        <v>35</v>
      </c>
      <c r="E191" t="s">
        <v>1200</v>
      </c>
      <c r="F191" t="s">
        <v>1201</v>
      </c>
      <c r="G191" t="s">
        <v>53</v>
      </c>
      <c r="H191" t="s">
        <v>54</v>
      </c>
      <c r="I191" t="s">
        <v>170</v>
      </c>
      <c r="J191" t="s">
        <v>171</v>
      </c>
      <c r="K191">
        <v>1927</v>
      </c>
      <c r="L191">
        <v>1990</v>
      </c>
      <c r="M191">
        <v>147</v>
      </c>
      <c r="N191">
        <v>686.25800000000004</v>
      </c>
      <c r="O191">
        <v>375</v>
      </c>
      <c r="P191">
        <v>45</v>
      </c>
      <c r="Q191">
        <v>0.90700000000000003</v>
      </c>
      <c r="R191" t="s">
        <v>57</v>
      </c>
      <c r="S191" t="s">
        <v>1474</v>
      </c>
      <c r="T191" t="b">
        <v>1</v>
      </c>
      <c r="U191" t="s">
        <v>1475</v>
      </c>
      <c r="V191" t="s">
        <v>1204</v>
      </c>
      <c r="W191" t="s">
        <v>1476</v>
      </c>
      <c r="X191" t="s">
        <v>47</v>
      </c>
      <c r="AA191" t="s">
        <v>1477</v>
      </c>
      <c r="AB191" t="s">
        <v>49</v>
      </c>
      <c r="AC191" t="s">
        <v>1478</v>
      </c>
      <c r="AD191" t="b">
        <v>0</v>
      </c>
      <c r="AF191">
        <v>6</v>
      </c>
      <c r="AG191" t="s">
        <v>64</v>
      </c>
    </row>
    <row r="192" spans="1:33" x14ac:dyDescent="0.2">
      <c r="A192">
        <v>1567</v>
      </c>
      <c r="B192" t="s">
        <v>1479</v>
      </c>
      <c r="C192" t="s">
        <v>34</v>
      </c>
      <c r="D192" t="s">
        <v>35</v>
      </c>
      <c r="E192" t="s">
        <v>682</v>
      </c>
      <c r="F192" t="s">
        <v>683</v>
      </c>
      <c r="G192" t="s">
        <v>68</v>
      </c>
      <c r="H192" t="s">
        <v>69</v>
      </c>
      <c r="I192" t="s">
        <v>70</v>
      </c>
      <c r="J192" t="s">
        <v>71</v>
      </c>
      <c r="K192">
        <v>2012</v>
      </c>
      <c r="L192">
        <v>2012</v>
      </c>
      <c r="M192">
        <v>2.2999999999999998</v>
      </c>
      <c r="N192">
        <v>4.0110000000000001</v>
      </c>
      <c r="O192">
        <v>191.6</v>
      </c>
      <c r="P192">
        <v>1.3</v>
      </c>
      <c r="Q192">
        <v>0.49099999999999999</v>
      </c>
      <c r="R192" t="s">
        <v>72</v>
      </c>
      <c r="S192" t="s">
        <v>1480</v>
      </c>
      <c r="T192" t="b">
        <v>1</v>
      </c>
      <c r="U192" t="s">
        <v>1481</v>
      </c>
      <c r="V192" t="s">
        <v>686</v>
      </c>
      <c r="W192" t="s">
        <v>1482</v>
      </c>
      <c r="X192" t="s">
        <v>47</v>
      </c>
      <c r="AA192" t="s">
        <v>1483</v>
      </c>
      <c r="AB192" t="s">
        <v>177</v>
      </c>
      <c r="AC192" t="s">
        <v>1484</v>
      </c>
      <c r="AD192" t="b">
        <v>0</v>
      </c>
      <c r="AF192">
        <v>8</v>
      </c>
      <c r="AG192" t="s">
        <v>78</v>
      </c>
    </row>
    <row r="193" spans="1:33" x14ac:dyDescent="0.2">
      <c r="A193">
        <v>1547</v>
      </c>
      <c r="B193" t="s">
        <v>554</v>
      </c>
      <c r="C193" t="s">
        <v>34</v>
      </c>
      <c r="D193" t="s">
        <v>35</v>
      </c>
      <c r="E193" t="s">
        <v>1485</v>
      </c>
      <c r="F193" t="s">
        <v>1486</v>
      </c>
      <c r="G193" t="s">
        <v>53</v>
      </c>
      <c r="H193" t="s">
        <v>54</v>
      </c>
      <c r="I193" t="s">
        <v>118</v>
      </c>
      <c r="J193" t="s">
        <v>119</v>
      </c>
      <c r="K193">
        <v>2010</v>
      </c>
      <c r="L193">
        <v>2010</v>
      </c>
      <c r="M193">
        <v>3.1</v>
      </c>
      <c r="N193">
        <v>8.859</v>
      </c>
      <c r="O193">
        <v>137</v>
      </c>
      <c r="P193">
        <v>2.6</v>
      </c>
      <c r="Q193">
        <v>0.33100000000000002</v>
      </c>
      <c r="R193" t="s">
        <v>84</v>
      </c>
      <c r="S193" t="s">
        <v>1487</v>
      </c>
      <c r="T193" t="b">
        <v>1</v>
      </c>
      <c r="U193" t="s">
        <v>1488</v>
      </c>
      <c r="V193" t="s">
        <v>1489</v>
      </c>
      <c r="W193" t="s">
        <v>1490</v>
      </c>
      <c r="X193" t="s">
        <v>47</v>
      </c>
      <c r="AA193" t="s">
        <v>554</v>
      </c>
      <c r="AB193" t="s">
        <v>49</v>
      </c>
      <c r="AC193" t="s">
        <v>1491</v>
      </c>
      <c r="AD193" t="b">
        <v>0</v>
      </c>
      <c r="AF193">
        <v>5</v>
      </c>
      <c r="AG193" t="s">
        <v>89</v>
      </c>
    </row>
    <row r="194" spans="1:33" x14ac:dyDescent="0.2">
      <c r="A194">
        <v>1594</v>
      </c>
      <c r="B194" t="s">
        <v>554</v>
      </c>
      <c r="C194" t="s">
        <v>34</v>
      </c>
      <c r="D194" t="s">
        <v>35</v>
      </c>
      <c r="E194" t="s">
        <v>1492</v>
      </c>
      <c r="F194" t="s">
        <v>1493</v>
      </c>
      <c r="G194" t="s">
        <v>53</v>
      </c>
      <c r="H194" t="s">
        <v>54</v>
      </c>
      <c r="I194" t="s">
        <v>1143</v>
      </c>
      <c r="J194" t="s">
        <v>54</v>
      </c>
      <c r="K194">
        <v>2006</v>
      </c>
      <c r="L194">
        <v>2006</v>
      </c>
      <c r="M194">
        <v>0.9</v>
      </c>
      <c r="N194">
        <v>2.6120000000000001</v>
      </c>
      <c r="O194">
        <v>125</v>
      </c>
      <c r="P194">
        <v>0.87</v>
      </c>
      <c r="Q194">
        <v>0.28699999999999998</v>
      </c>
      <c r="R194" t="s">
        <v>72</v>
      </c>
      <c r="S194" t="s">
        <v>1494</v>
      </c>
      <c r="T194" t="b">
        <v>1</v>
      </c>
      <c r="U194" t="s">
        <v>1495</v>
      </c>
      <c r="V194" t="s">
        <v>1496</v>
      </c>
      <c r="W194" t="s">
        <v>1497</v>
      </c>
      <c r="X194" t="s">
        <v>47</v>
      </c>
      <c r="AA194" t="s">
        <v>479</v>
      </c>
      <c r="AC194" t="s">
        <v>1148</v>
      </c>
      <c r="AD194" t="b">
        <v>0</v>
      </c>
      <c r="AF194">
        <v>13</v>
      </c>
      <c r="AG194" t="s">
        <v>155</v>
      </c>
    </row>
    <row r="195" spans="1:33" x14ac:dyDescent="0.2">
      <c r="A195">
        <v>2076</v>
      </c>
      <c r="B195" t="s">
        <v>554</v>
      </c>
      <c r="C195" t="s">
        <v>34</v>
      </c>
      <c r="D195" t="s">
        <v>35</v>
      </c>
      <c r="E195" t="s">
        <v>1492</v>
      </c>
      <c r="F195" t="s">
        <v>1493</v>
      </c>
      <c r="G195" t="s">
        <v>53</v>
      </c>
      <c r="H195" t="s">
        <v>54</v>
      </c>
      <c r="I195" t="s">
        <v>811</v>
      </c>
      <c r="J195" t="s">
        <v>94</v>
      </c>
      <c r="K195">
        <v>2022</v>
      </c>
      <c r="L195">
        <v>2022</v>
      </c>
      <c r="M195">
        <v>1.7</v>
      </c>
      <c r="N195">
        <v>5.2</v>
      </c>
      <c r="O195">
        <v>114</v>
      </c>
      <c r="P195">
        <v>1.75</v>
      </c>
      <c r="Q195">
        <v>0.27</v>
      </c>
      <c r="R195" t="s">
        <v>57</v>
      </c>
      <c r="S195" t="s">
        <v>1498</v>
      </c>
      <c r="T195" t="b">
        <v>1</v>
      </c>
      <c r="U195" t="s">
        <v>1499</v>
      </c>
      <c r="V195" t="s">
        <v>1496</v>
      </c>
      <c r="W195" t="s">
        <v>1500</v>
      </c>
      <c r="X195" t="s">
        <v>47</v>
      </c>
      <c r="AA195" t="s">
        <v>1501</v>
      </c>
      <c r="AB195" t="s">
        <v>1077</v>
      </c>
      <c r="AC195" t="s">
        <v>1502</v>
      </c>
      <c r="AD195" t="b">
        <v>0</v>
      </c>
      <c r="AF195">
        <v>6</v>
      </c>
      <c r="AG195" t="s">
        <v>64</v>
      </c>
    </row>
    <row r="196" spans="1:33" x14ac:dyDescent="0.2">
      <c r="A196">
        <v>190</v>
      </c>
      <c r="B196" t="s">
        <v>1503</v>
      </c>
      <c r="C196" t="s">
        <v>34</v>
      </c>
      <c r="D196" t="s">
        <v>35</v>
      </c>
      <c r="E196" t="s">
        <v>1504</v>
      </c>
      <c r="F196" t="s">
        <v>1505</v>
      </c>
      <c r="G196" t="s">
        <v>213</v>
      </c>
      <c r="H196" t="s">
        <v>83</v>
      </c>
      <c r="I196" t="s">
        <v>711</v>
      </c>
      <c r="J196" t="s">
        <v>515</v>
      </c>
      <c r="K196">
        <v>2010</v>
      </c>
      <c r="L196">
        <v>2010</v>
      </c>
      <c r="M196">
        <v>4.9000000000000004</v>
      </c>
      <c r="N196">
        <v>23.585999999999999</v>
      </c>
      <c r="O196">
        <v>181</v>
      </c>
      <c r="P196">
        <v>3.5</v>
      </c>
      <c r="Q196">
        <v>0.38900000000000001</v>
      </c>
      <c r="R196" t="s">
        <v>84</v>
      </c>
      <c r="S196" t="s">
        <v>1506</v>
      </c>
      <c r="T196" t="b">
        <v>1</v>
      </c>
      <c r="U196" t="s">
        <v>1507</v>
      </c>
      <c r="V196" t="s">
        <v>1508</v>
      </c>
      <c r="W196" t="s">
        <v>1509</v>
      </c>
      <c r="X196" t="s">
        <v>47</v>
      </c>
      <c r="AA196" t="s">
        <v>1510</v>
      </c>
      <c r="AB196" t="s">
        <v>177</v>
      </c>
      <c r="AC196" t="s">
        <v>1511</v>
      </c>
      <c r="AD196" t="b">
        <v>0</v>
      </c>
      <c r="AF196">
        <v>4</v>
      </c>
      <c r="AG196" t="s">
        <v>321</v>
      </c>
    </row>
    <row r="197" spans="1:33" x14ac:dyDescent="0.2">
      <c r="A197">
        <v>1558</v>
      </c>
      <c r="B197" t="s">
        <v>1512</v>
      </c>
      <c r="C197" t="s">
        <v>34</v>
      </c>
      <c r="D197" t="s">
        <v>35</v>
      </c>
      <c r="E197" t="s">
        <v>1513</v>
      </c>
      <c r="F197" t="s">
        <v>1514</v>
      </c>
      <c r="G197" t="s">
        <v>53</v>
      </c>
      <c r="H197" t="s">
        <v>54</v>
      </c>
      <c r="I197" t="s">
        <v>118</v>
      </c>
      <c r="J197" t="s">
        <v>119</v>
      </c>
      <c r="K197">
        <v>2010</v>
      </c>
      <c r="L197">
        <v>2010</v>
      </c>
      <c r="M197">
        <v>0.7</v>
      </c>
      <c r="N197">
        <v>1.627</v>
      </c>
      <c r="O197">
        <v>434</v>
      </c>
      <c r="P197">
        <v>0.2</v>
      </c>
      <c r="Q197">
        <v>0.97199999999999998</v>
      </c>
      <c r="R197" t="s">
        <v>84</v>
      </c>
      <c r="S197" t="s">
        <v>939</v>
      </c>
      <c r="T197" t="b">
        <v>1</v>
      </c>
      <c r="U197" t="s">
        <v>1515</v>
      </c>
      <c r="V197" t="s">
        <v>1516</v>
      </c>
      <c r="W197" t="s">
        <v>1517</v>
      </c>
      <c r="X197" t="s">
        <v>47</v>
      </c>
      <c r="AA197" t="s">
        <v>479</v>
      </c>
      <c r="AC197" t="s">
        <v>1518</v>
      </c>
      <c r="AD197" t="b">
        <v>0</v>
      </c>
      <c r="AF197">
        <v>5</v>
      </c>
      <c r="AG197" t="s">
        <v>89</v>
      </c>
    </row>
    <row r="198" spans="1:33" x14ac:dyDescent="0.2">
      <c r="A198">
        <v>57</v>
      </c>
      <c r="B198" t="s">
        <v>1519</v>
      </c>
      <c r="C198" t="s">
        <v>34</v>
      </c>
      <c r="D198" t="s">
        <v>35</v>
      </c>
      <c r="E198" t="s">
        <v>91</v>
      </c>
      <c r="F198" t="s">
        <v>92</v>
      </c>
      <c r="G198" t="s">
        <v>503</v>
      </c>
      <c r="H198" t="s">
        <v>462</v>
      </c>
      <c r="I198" t="s">
        <v>1520</v>
      </c>
      <c r="J198" t="s">
        <v>337</v>
      </c>
      <c r="K198">
        <v>1907</v>
      </c>
      <c r="L198">
        <v>2021</v>
      </c>
      <c r="M198">
        <v>7.6</v>
      </c>
      <c r="N198">
        <v>35.514000000000003</v>
      </c>
      <c r="O198">
        <v>22</v>
      </c>
      <c r="P198">
        <v>40</v>
      </c>
      <c r="Q198">
        <v>5.2999999999999999E-2</v>
      </c>
      <c r="R198" t="s">
        <v>84</v>
      </c>
      <c r="S198" t="s">
        <v>1521</v>
      </c>
      <c r="T198" t="b">
        <v>1</v>
      </c>
      <c r="U198" t="s">
        <v>1522</v>
      </c>
      <c r="V198" t="s">
        <v>100</v>
      </c>
      <c r="W198" t="s">
        <v>1523</v>
      </c>
      <c r="X198" t="s">
        <v>47</v>
      </c>
      <c r="AA198" t="s">
        <v>1297</v>
      </c>
      <c r="AB198" t="s">
        <v>227</v>
      </c>
      <c r="AC198" t="s">
        <v>1298</v>
      </c>
      <c r="AD198" t="b">
        <v>0</v>
      </c>
      <c r="AF198">
        <v>3</v>
      </c>
      <c r="AG198" t="s">
        <v>332</v>
      </c>
    </row>
    <row r="199" spans="1:33" x14ac:dyDescent="0.2">
      <c r="A199">
        <v>359</v>
      </c>
      <c r="B199" t="s">
        <v>1524</v>
      </c>
      <c r="C199" t="s">
        <v>34</v>
      </c>
      <c r="D199" t="s">
        <v>35</v>
      </c>
      <c r="E199" t="s">
        <v>1525</v>
      </c>
      <c r="F199" t="s">
        <v>1526</v>
      </c>
      <c r="G199" t="s">
        <v>213</v>
      </c>
      <c r="H199" t="s">
        <v>83</v>
      </c>
      <c r="I199" t="s">
        <v>1527</v>
      </c>
      <c r="J199" t="s">
        <v>245</v>
      </c>
      <c r="K199">
        <v>1978</v>
      </c>
      <c r="L199">
        <v>1978</v>
      </c>
      <c r="M199">
        <v>35.4</v>
      </c>
      <c r="N199">
        <v>174.28399999999999</v>
      </c>
      <c r="O199">
        <v>185</v>
      </c>
      <c r="P199">
        <v>22.1</v>
      </c>
      <c r="Q199">
        <v>0.44500000000000001</v>
      </c>
      <c r="R199" t="s">
        <v>84</v>
      </c>
      <c r="S199" t="s">
        <v>1528</v>
      </c>
      <c r="T199" t="b">
        <v>1</v>
      </c>
      <c r="U199" t="s">
        <v>1529</v>
      </c>
      <c r="V199" t="s">
        <v>1530</v>
      </c>
      <c r="W199" t="s">
        <v>1531</v>
      </c>
      <c r="X199" t="s">
        <v>47</v>
      </c>
      <c r="AA199" t="s">
        <v>1532</v>
      </c>
      <c r="AB199" t="s">
        <v>308</v>
      </c>
      <c r="AC199" t="s">
        <v>1533</v>
      </c>
      <c r="AD199" t="b">
        <v>0</v>
      </c>
      <c r="AF199">
        <v>5</v>
      </c>
      <c r="AG199" t="s">
        <v>89</v>
      </c>
    </row>
    <row r="200" spans="1:33" x14ac:dyDescent="0.2">
      <c r="A200">
        <v>1366</v>
      </c>
      <c r="B200" t="s">
        <v>1534</v>
      </c>
      <c r="C200" t="s">
        <v>34</v>
      </c>
      <c r="D200" t="s">
        <v>35</v>
      </c>
      <c r="E200" t="s">
        <v>728</v>
      </c>
      <c r="F200" t="s">
        <v>729</v>
      </c>
      <c r="G200" t="s">
        <v>53</v>
      </c>
      <c r="H200" t="s">
        <v>54</v>
      </c>
      <c r="I200" t="s">
        <v>730</v>
      </c>
      <c r="J200" t="s">
        <v>731</v>
      </c>
      <c r="K200">
        <v>2007</v>
      </c>
      <c r="L200">
        <v>2007</v>
      </c>
      <c r="M200">
        <v>4.95</v>
      </c>
      <c r="N200">
        <v>15.083</v>
      </c>
      <c r="O200">
        <v>172.35</v>
      </c>
      <c r="P200">
        <v>3.3</v>
      </c>
      <c r="Q200">
        <v>0.41699999999999998</v>
      </c>
      <c r="R200" t="s">
        <v>72</v>
      </c>
      <c r="S200" t="s">
        <v>1535</v>
      </c>
      <c r="T200" t="b">
        <v>1</v>
      </c>
      <c r="U200" t="s">
        <v>1536</v>
      </c>
      <c r="V200" t="s">
        <v>734</v>
      </c>
      <c r="W200" t="s">
        <v>735</v>
      </c>
      <c r="X200" t="s">
        <v>47</v>
      </c>
      <c r="AA200" t="s">
        <v>736</v>
      </c>
      <c r="AB200" t="s">
        <v>308</v>
      </c>
      <c r="AC200" t="s">
        <v>737</v>
      </c>
      <c r="AD200" t="b">
        <v>0</v>
      </c>
      <c r="AF200">
        <v>13</v>
      </c>
      <c r="AG200" t="s">
        <v>155</v>
      </c>
    </row>
    <row r="201" spans="1:33" x14ac:dyDescent="0.2">
      <c r="A201">
        <v>1068</v>
      </c>
      <c r="B201" t="s">
        <v>1537</v>
      </c>
      <c r="C201" t="s">
        <v>34</v>
      </c>
      <c r="D201" t="s">
        <v>35</v>
      </c>
      <c r="E201" t="s">
        <v>1538</v>
      </c>
      <c r="F201" t="s">
        <v>1539</v>
      </c>
      <c r="G201" t="s">
        <v>503</v>
      </c>
      <c r="H201" t="s">
        <v>462</v>
      </c>
      <c r="I201" t="s">
        <v>1292</v>
      </c>
      <c r="J201" t="s">
        <v>1077</v>
      </c>
      <c r="K201">
        <v>2005</v>
      </c>
      <c r="L201">
        <v>2005</v>
      </c>
      <c r="M201">
        <v>2.7E-2</v>
      </c>
      <c r="N201">
        <v>0.112</v>
      </c>
      <c r="R201" t="s">
        <v>84</v>
      </c>
      <c r="S201" t="s">
        <v>1540</v>
      </c>
      <c r="T201" t="b">
        <v>1</v>
      </c>
      <c r="U201" t="s">
        <v>237</v>
      </c>
      <c r="V201" t="s">
        <v>1541</v>
      </c>
      <c r="W201" t="s">
        <v>1542</v>
      </c>
      <c r="X201" t="s">
        <v>47</v>
      </c>
      <c r="AA201" t="s">
        <v>1297</v>
      </c>
      <c r="AC201" t="s">
        <v>1298</v>
      </c>
      <c r="AD201" t="b">
        <v>0</v>
      </c>
      <c r="AF201">
        <v>3</v>
      </c>
      <c r="AG201" t="s">
        <v>332</v>
      </c>
    </row>
    <row r="202" spans="1:33" x14ac:dyDescent="0.2">
      <c r="A202">
        <v>1502</v>
      </c>
      <c r="B202" t="s">
        <v>1543</v>
      </c>
      <c r="C202" t="s">
        <v>34</v>
      </c>
      <c r="D202" t="s">
        <v>35</v>
      </c>
      <c r="E202" t="s">
        <v>1320</v>
      </c>
      <c r="F202" t="s">
        <v>1321</v>
      </c>
      <c r="G202" t="s">
        <v>224</v>
      </c>
      <c r="H202" t="s">
        <v>225</v>
      </c>
      <c r="I202" t="s">
        <v>1544</v>
      </c>
      <c r="J202" t="s">
        <v>426</v>
      </c>
      <c r="K202">
        <v>2011</v>
      </c>
      <c r="L202">
        <v>2011</v>
      </c>
      <c r="M202">
        <v>2.9969999999999999</v>
      </c>
      <c r="N202">
        <v>7.3230000000000004</v>
      </c>
      <c r="O202">
        <v>395</v>
      </c>
      <c r="P202">
        <v>0.8</v>
      </c>
      <c r="Q202">
        <v>1.0409999999999999</v>
      </c>
      <c r="R202" t="s">
        <v>57</v>
      </c>
      <c r="S202" t="s">
        <v>1545</v>
      </c>
      <c r="T202" t="b">
        <v>1</v>
      </c>
      <c r="U202" t="s">
        <v>1546</v>
      </c>
      <c r="V202" t="s">
        <v>1324</v>
      </c>
      <c r="W202" t="s">
        <v>1547</v>
      </c>
      <c r="X202" t="s">
        <v>47</v>
      </c>
      <c r="AA202" t="s">
        <v>1548</v>
      </c>
      <c r="AB202" t="s">
        <v>515</v>
      </c>
      <c r="AC202" t="s">
        <v>1549</v>
      </c>
      <c r="AD202" t="b">
        <v>0</v>
      </c>
      <c r="AF202">
        <v>2</v>
      </c>
      <c r="AG202" t="s">
        <v>287</v>
      </c>
    </row>
    <row r="203" spans="1:33" x14ac:dyDescent="0.2">
      <c r="A203">
        <v>1253</v>
      </c>
      <c r="B203" t="s">
        <v>1550</v>
      </c>
      <c r="C203" t="s">
        <v>34</v>
      </c>
      <c r="D203" t="s">
        <v>35</v>
      </c>
      <c r="E203" t="s">
        <v>1551</v>
      </c>
      <c r="F203" t="s">
        <v>1552</v>
      </c>
      <c r="G203" t="s">
        <v>213</v>
      </c>
      <c r="H203" t="s">
        <v>83</v>
      </c>
      <c r="I203" t="s">
        <v>1152</v>
      </c>
      <c r="J203" t="s">
        <v>676</v>
      </c>
      <c r="K203">
        <v>2007</v>
      </c>
      <c r="L203">
        <v>2007</v>
      </c>
      <c r="M203">
        <v>1.6</v>
      </c>
      <c r="N203">
        <v>7.4219999999999997</v>
      </c>
      <c r="O203">
        <v>413</v>
      </c>
      <c r="P203">
        <v>0.45400000000000001</v>
      </c>
      <c r="Q203">
        <v>0.92</v>
      </c>
      <c r="R203" t="s">
        <v>84</v>
      </c>
      <c r="S203" t="s">
        <v>1553</v>
      </c>
      <c r="T203" t="b">
        <v>1</v>
      </c>
      <c r="U203" t="s">
        <v>1554</v>
      </c>
      <c r="V203" t="s">
        <v>1555</v>
      </c>
      <c r="W203" t="s">
        <v>1556</v>
      </c>
      <c r="X203" t="s">
        <v>47</v>
      </c>
      <c r="AA203" t="s">
        <v>1557</v>
      </c>
      <c r="AB203" t="s">
        <v>49</v>
      </c>
      <c r="AC203" t="s">
        <v>1157</v>
      </c>
      <c r="AD203" t="b">
        <v>0</v>
      </c>
      <c r="AF203">
        <v>4</v>
      </c>
      <c r="AG203" t="s">
        <v>321</v>
      </c>
    </row>
    <row r="204" spans="1:33" x14ac:dyDescent="0.2">
      <c r="A204">
        <v>1620</v>
      </c>
      <c r="B204" t="s">
        <v>1558</v>
      </c>
      <c r="C204" t="s">
        <v>34</v>
      </c>
      <c r="D204" t="s">
        <v>35</v>
      </c>
      <c r="E204" t="s">
        <v>523</v>
      </c>
      <c r="F204" t="s">
        <v>524</v>
      </c>
      <c r="G204" t="s">
        <v>377</v>
      </c>
      <c r="H204" t="s">
        <v>378</v>
      </c>
      <c r="I204" t="s">
        <v>1559</v>
      </c>
      <c r="J204" t="s">
        <v>71</v>
      </c>
      <c r="K204">
        <v>2012</v>
      </c>
      <c r="L204">
        <v>2012</v>
      </c>
      <c r="M204">
        <v>5.6</v>
      </c>
      <c r="N204">
        <v>10.678000000000001</v>
      </c>
      <c r="O204">
        <v>283.5</v>
      </c>
      <c r="P204">
        <v>2.46</v>
      </c>
      <c r="Q204">
        <v>0.63200000000000001</v>
      </c>
      <c r="R204" t="s">
        <v>42</v>
      </c>
      <c r="S204" t="s">
        <v>1560</v>
      </c>
      <c r="T204" t="b">
        <v>1</v>
      </c>
      <c r="U204" t="s">
        <v>1561</v>
      </c>
      <c r="V204" t="s">
        <v>1562</v>
      </c>
      <c r="W204" t="s">
        <v>1563</v>
      </c>
      <c r="X204" t="s">
        <v>47</v>
      </c>
      <c r="AA204" t="s">
        <v>383</v>
      </c>
      <c r="AB204" t="s">
        <v>836</v>
      </c>
      <c r="AC204" t="s">
        <v>384</v>
      </c>
      <c r="AD204" t="b">
        <v>0</v>
      </c>
      <c r="AF204">
        <v>11</v>
      </c>
      <c r="AG204" t="s">
        <v>198</v>
      </c>
    </row>
    <row r="205" spans="1:33" x14ac:dyDescent="0.2">
      <c r="A205">
        <v>58</v>
      </c>
      <c r="B205" t="s">
        <v>1564</v>
      </c>
      <c r="C205" t="s">
        <v>34</v>
      </c>
      <c r="D205" t="s">
        <v>35</v>
      </c>
      <c r="E205" t="s">
        <v>512</v>
      </c>
      <c r="F205" t="s">
        <v>513</v>
      </c>
      <c r="G205" t="s">
        <v>377</v>
      </c>
      <c r="H205" t="s">
        <v>378</v>
      </c>
      <c r="I205" t="s">
        <v>379</v>
      </c>
      <c r="J205" t="s">
        <v>41</v>
      </c>
      <c r="K205">
        <v>1972</v>
      </c>
      <c r="L205">
        <v>1972</v>
      </c>
      <c r="M205">
        <v>26</v>
      </c>
      <c r="N205">
        <v>133.648</v>
      </c>
      <c r="O205">
        <v>278.5</v>
      </c>
      <c r="P205">
        <v>11.59</v>
      </c>
      <c r="Q205">
        <v>0.623</v>
      </c>
      <c r="R205" t="s">
        <v>42</v>
      </c>
      <c r="S205" t="s">
        <v>1565</v>
      </c>
      <c r="T205" t="b">
        <v>1</v>
      </c>
      <c r="U205" t="s">
        <v>1566</v>
      </c>
      <c r="V205" t="s">
        <v>518</v>
      </c>
      <c r="W205" t="s">
        <v>1567</v>
      </c>
      <c r="X205" t="s">
        <v>47</v>
      </c>
      <c r="AA205" t="s">
        <v>383</v>
      </c>
      <c r="AB205" t="s">
        <v>83</v>
      </c>
      <c r="AC205" t="s">
        <v>384</v>
      </c>
      <c r="AD205" t="b">
        <v>0</v>
      </c>
      <c r="AF205">
        <v>11</v>
      </c>
      <c r="AG205" t="s">
        <v>198</v>
      </c>
    </row>
    <row r="206" spans="1:33" x14ac:dyDescent="0.2">
      <c r="A206">
        <v>59</v>
      </c>
      <c r="B206" t="s">
        <v>1568</v>
      </c>
      <c r="C206" t="s">
        <v>34</v>
      </c>
      <c r="D206" t="s">
        <v>35</v>
      </c>
      <c r="E206" t="s">
        <v>404</v>
      </c>
      <c r="F206" t="s">
        <v>405</v>
      </c>
      <c r="G206" t="s">
        <v>224</v>
      </c>
      <c r="H206" t="s">
        <v>225</v>
      </c>
      <c r="I206" t="s">
        <v>1569</v>
      </c>
      <c r="J206" t="s">
        <v>485</v>
      </c>
      <c r="K206">
        <v>1976</v>
      </c>
      <c r="L206">
        <v>1976</v>
      </c>
      <c r="M206">
        <v>14.3</v>
      </c>
      <c r="N206">
        <v>77.28</v>
      </c>
      <c r="O206">
        <v>16</v>
      </c>
      <c r="P206">
        <v>120</v>
      </c>
      <c r="Q206">
        <v>3.6999999999999998E-2</v>
      </c>
      <c r="R206" t="s">
        <v>97</v>
      </c>
      <c r="S206" t="s">
        <v>1570</v>
      </c>
      <c r="T206" t="b">
        <v>1</v>
      </c>
      <c r="U206" t="s">
        <v>1571</v>
      </c>
      <c r="V206" t="s">
        <v>408</v>
      </c>
      <c r="W206" t="s">
        <v>1572</v>
      </c>
      <c r="X206" t="s">
        <v>47</v>
      </c>
      <c r="AA206" t="s">
        <v>1548</v>
      </c>
      <c r="AB206" t="s">
        <v>119</v>
      </c>
      <c r="AC206" t="s">
        <v>1549</v>
      </c>
      <c r="AD206" t="b">
        <v>0</v>
      </c>
      <c r="AF206">
        <v>1</v>
      </c>
      <c r="AG206" t="s">
        <v>104</v>
      </c>
    </row>
    <row r="207" spans="1:33" x14ac:dyDescent="0.2">
      <c r="A207">
        <v>60</v>
      </c>
      <c r="B207" t="s">
        <v>1573</v>
      </c>
      <c r="C207" t="s">
        <v>34</v>
      </c>
      <c r="D207" t="s">
        <v>35</v>
      </c>
      <c r="E207" t="s">
        <v>1574</v>
      </c>
      <c r="F207" t="s">
        <v>1575</v>
      </c>
      <c r="G207" t="s">
        <v>134</v>
      </c>
      <c r="H207" t="s">
        <v>135</v>
      </c>
      <c r="I207" t="s">
        <v>804</v>
      </c>
      <c r="J207" t="s">
        <v>805</v>
      </c>
      <c r="K207">
        <v>1952</v>
      </c>
      <c r="L207">
        <v>1952</v>
      </c>
      <c r="M207">
        <v>5.0999999999999996</v>
      </c>
      <c r="N207">
        <v>20.309000000000001</v>
      </c>
      <c r="O207">
        <v>146</v>
      </c>
      <c r="P207">
        <v>4</v>
      </c>
      <c r="Q207">
        <v>0.35399999999999998</v>
      </c>
      <c r="R207" t="s">
        <v>42</v>
      </c>
      <c r="S207" t="s">
        <v>1576</v>
      </c>
      <c r="T207" t="b">
        <v>1</v>
      </c>
      <c r="U207" t="s">
        <v>776</v>
      </c>
      <c r="V207" t="s">
        <v>1577</v>
      </c>
      <c r="W207" t="s">
        <v>1578</v>
      </c>
      <c r="X207" t="s">
        <v>47</v>
      </c>
      <c r="AA207" t="s">
        <v>1579</v>
      </c>
      <c r="AB207" t="s">
        <v>49</v>
      </c>
      <c r="AC207" t="s">
        <v>1580</v>
      </c>
      <c r="AD207" t="b">
        <v>0</v>
      </c>
      <c r="AF207">
        <v>11</v>
      </c>
      <c r="AG207" t="s">
        <v>198</v>
      </c>
    </row>
    <row r="208" spans="1:33" x14ac:dyDescent="0.2">
      <c r="A208">
        <v>61</v>
      </c>
      <c r="B208" t="s">
        <v>1581</v>
      </c>
      <c r="C208" t="s">
        <v>34</v>
      </c>
      <c r="D208" t="s">
        <v>35</v>
      </c>
      <c r="E208" t="s">
        <v>1574</v>
      </c>
      <c r="F208" t="s">
        <v>1575</v>
      </c>
      <c r="G208" t="s">
        <v>134</v>
      </c>
      <c r="H208" t="s">
        <v>135</v>
      </c>
      <c r="I208" t="s">
        <v>804</v>
      </c>
      <c r="J208" t="s">
        <v>805</v>
      </c>
      <c r="K208">
        <v>1957</v>
      </c>
      <c r="L208">
        <v>1957</v>
      </c>
      <c r="M208">
        <v>2.6</v>
      </c>
      <c r="N208">
        <v>9.7669999999999995</v>
      </c>
      <c r="O208">
        <v>109</v>
      </c>
      <c r="P208">
        <v>3.29</v>
      </c>
      <c r="Q208">
        <v>0.218</v>
      </c>
      <c r="R208" t="s">
        <v>42</v>
      </c>
      <c r="S208" t="s">
        <v>1582</v>
      </c>
      <c r="T208" t="b">
        <v>1</v>
      </c>
      <c r="U208" t="s">
        <v>1583</v>
      </c>
      <c r="V208" t="s">
        <v>1577</v>
      </c>
      <c r="W208" t="s">
        <v>1584</v>
      </c>
      <c r="X208" t="s">
        <v>47</v>
      </c>
      <c r="AA208" t="s">
        <v>1579</v>
      </c>
      <c r="AB208" t="s">
        <v>177</v>
      </c>
      <c r="AC208" t="s">
        <v>1580</v>
      </c>
      <c r="AD208" t="b">
        <v>0</v>
      </c>
      <c r="AF208">
        <v>11</v>
      </c>
      <c r="AG208" t="s">
        <v>198</v>
      </c>
    </row>
    <row r="209" spans="1:33" x14ac:dyDescent="0.2">
      <c r="A209">
        <v>1095</v>
      </c>
      <c r="B209" t="s">
        <v>1585</v>
      </c>
      <c r="C209" t="s">
        <v>34</v>
      </c>
      <c r="D209" t="s">
        <v>35</v>
      </c>
      <c r="G209" t="s">
        <v>38</v>
      </c>
      <c r="H209" t="s">
        <v>39</v>
      </c>
      <c r="I209" t="s">
        <v>125</v>
      </c>
      <c r="J209" t="s">
        <v>49</v>
      </c>
      <c r="K209">
        <v>2001</v>
      </c>
      <c r="L209">
        <v>2001</v>
      </c>
      <c r="M209">
        <v>3.7999999999999999E-2</v>
      </c>
      <c r="N209">
        <v>0.20599999999999999</v>
      </c>
      <c r="R209" t="s">
        <v>42</v>
      </c>
      <c r="S209" t="s">
        <v>1586</v>
      </c>
      <c r="T209" t="b">
        <v>1</v>
      </c>
      <c r="U209" t="s">
        <v>1103</v>
      </c>
      <c r="V209" t="s">
        <v>274</v>
      </c>
      <c r="W209" t="s">
        <v>1587</v>
      </c>
      <c r="X209" t="s">
        <v>47</v>
      </c>
      <c r="AA209" t="s">
        <v>114</v>
      </c>
      <c r="AC209" t="s">
        <v>63</v>
      </c>
      <c r="AD209" t="b">
        <v>0</v>
      </c>
      <c r="AF209">
        <v>12</v>
      </c>
      <c r="AG209" t="s">
        <v>51</v>
      </c>
    </row>
    <row r="210" spans="1:33" x14ac:dyDescent="0.2">
      <c r="A210">
        <v>1191</v>
      </c>
      <c r="B210" t="s">
        <v>1588</v>
      </c>
      <c r="C210" t="s">
        <v>34</v>
      </c>
      <c r="D210" t="s">
        <v>35</v>
      </c>
      <c r="E210" t="s">
        <v>1589</v>
      </c>
      <c r="F210" t="s">
        <v>1590</v>
      </c>
      <c r="G210" t="s">
        <v>242</v>
      </c>
      <c r="H210" t="s">
        <v>243</v>
      </c>
      <c r="I210" t="s">
        <v>1591</v>
      </c>
      <c r="J210" t="s">
        <v>39</v>
      </c>
      <c r="K210">
        <v>1998</v>
      </c>
      <c r="L210">
        <v>1998</v>
      </c>
      <c r="M210">
        <v>8.0000000000000002E-3</v>
      </c>
      <c r="N210">
        <v>0.05</v>
      </c>
      <c r="R210" t="s">
        <v>72</v>
      </c>
      <c r="S210" t="s">
        <v>1592</v>
      </c>
      <c r="T210" t="b">
        <v>1</v>
      </c>
      <c r="U210" t="s">
        <v>455</v>
      </c>
      <c r="V210" t="s">
        <v>1593</v>
      </c>
      <c r="W210" t="s">
        <v>1594</v>
      </c>
      <c r="X210" t="s">
        <v>47</v>
      </c>
      <c r="AA210" t="s">
        <v>114</v>
      </c>
      <c r="AC210" t="s">
        <v>63</v>
      </c>
      <c r="AD210" t="b">
        <v>0</v>
      </c>
      <c r="AF210">
        <v>8</v>
      </c>
      <c r="AG210" t="s">
        <v>78</v>
      </c>
    </row>
    <row r="211" spans="1:33" x14ac:dyDescent="0.2">
      <c r="A211">
        <v>1016</v>
      </c>
      <c r="B211" t="s">
        <v>1595</v>
      </c>
      <c r="C211" t="s">
        <v>34</v>
      </c>
      <c r="D211" t="s">
        <v>35</v>
      </c>
      <c r="G211" t="s">
        <v>213</v>
      </c>
      <c r="H211" t="s">
        <v>83</v>
      </c>
      <c r="I211" t="s">
        <v>1527</v>
      </c>
      <c r="J211" t="s">
        <v>245</v>
      </c>
      <c r="K211">
        <v>2009</v>
      </c>
      <c r="L211">
        <v>2009</v>
      </c>
      <c r="M211">
        <v>4.4999999999999998E-2</v>
      </c>
      <c r="N211">
        <v>4.9000000000000002E-2</v>
      </c>
      <c r="R211" t="s">
        <v>84</v>
      </c>
      <c r="S211" t="s">
        <v>1596</v>
      </c>
      <c r="T211" t="b">
        <v>1</v>
      </c>
      <c r="U211" t="s">
        <v>1262</v>
      </c>
      <c r="V211" t="s">
        <v>274</v>
      </c>
      <c r="W211" t="s">
        <v>1597</v>
      </c>
      <c r="X211" t="s">
        <v>47</v>
      </c>
      <c r="AA211" t="s">
        <v>114</v>
      </c>
      <c r="AC211" t="s">
        <v>63</v>
      </c>
      <c r="AD211" t="b">
        <v>0</v>
      </c>
      <c r="AF211">
        <v>5</v>
      </c>
      <c r="AG211" t="s">
        <v>89</v>
      </c>
    </row>
    <row r="212" spans="1:33" x14ac:dyDescent="0.2">
      <c r="A212">
        <v>2144</v>
      </c>
      <c r="B212" t="s">
        <v>1598</v>
      </c>
      <c r="C212" t="s">
        <v>34</v>
      </c>
      <c r="D212" t="s">
        <v>35</v>
      </c>
      <c r="E212" t="s">
        <v>757</v>
      </c>
      <c r="F212" t="s">
        <v>758</v>
      </c>
      <c r="G212" t="s">
        <v>53</v>
      </c>
      <c r="H212" t="s">
        <v>54</v>
      </c>
      <c r="I212" t="s">
        <v>82</v>
      </c>
      <c r="J212" t="s">
        <v>83</v>
      </c>
      <c r="K212">
        <v>2025</v>
      </c>
      <c r="L212">
        <v>2025</v>
      </c>
      <c r="M212">
        <v>2.67</v>
      </c>
      <c r="N212">
        <v>7.9</v>
      </c>
      <c r="O212">
        <v>305</v>
      </c>
      <c r="P212">
        <v>1.05</v>
      </c>
      <c r="Q212">
        <v>0.70599999999999996</v>
      </c>
      <c r="R212" t="s">
        <v>84</v>
      </c>
      <c r="S212" t="s">
        <v>1599</v>
      </c>
      <c r="T212" t="b">
        <v>1</v>
      </c>
      <c r="U212" t="s">
        <v>1600</v>
      </c>
      <c r="V212" t="s">
        <v>761</v>
      </c>
      <c r="W212" t="s">
        <v>1601</v>
      </c>
      <c r="X212" t="s">
        <v>47</v>
      </c>
      <c r="AA212" t="s">
        <v>114</v>
      </c>
      <c r="AC212" t="s">
        <v>63</v>
      </c>
      <c r="AD212" t="b">
        <v>0</v>
      </c>
      <c r="AF212">
        <v>5</v>
      </c>
      <c r="AG212" t="s">
        <v>89</v>
      </c>
    </row>
    <row r="213" spans="1:33" x14ac:dyDescent="0.2">
      <c r="A213">
        <v>537</v>
      </c>
      <c r="B213" t="s">
        <v>1602</v>
      </c>
      <c r="C213" t="s">
        <v>34</v>
      </c>
      <c r="D213" t="s">
        <v>35</v>
      </c>
      <c r="E213" t="s">
        <v>277</v>
      </c>
      <c r="F213" t="s">
        <v>278</v>
      </c>
      <c r="G213" t="s">
        <v>93</v>
      </c>
      <c r="H213" t="s">
        <v>94</v>
      </c>
      <c r="I213" t="s">
        <v>1603</v>
      </c>
      <c r="J213" t="s">
        <v>148</v>
      </c>
      <c r="K213">
        <v>1989</v>
      </c>
      <c r="L213">
        <v>1989</v>
      </c>
      <c r="M213">
        <v>44.6</v>
      </c>
      <c r="N213">
        <v>170.71799999999999</v>
      </c>
      <c r="O213">
        <v>130</v>
      </c>
      <c r="P213">
        <v>41.02</v>
      </c>
      <c r="Q213">
        <v>0.30099999999999999</v>
      </c>
      <c r="R213" t="s">
        <v>97</v>
      </c>
      <c r="S213" t="s">
        <v>1604</v>
      </c>
      <c r="T213" t="b">
        <v>1</v>
      </c>
      <c r="U213" t="s">
        <v>1605</v>
      </c>
      <c r="V213" t="s">
        <v>389</v>
      </c>
      <c r="W213" t="s">
        <v>1606</v>
      </c>
      <c r="X213" t="s">
        <v>47</v>
      </c>
      <c r="AA213" t="s">
        <v>102</v>
      </c>
      <c r="AB213" t="s">
        <v>1077</v>
      </c>
      <c r="AC213" t="s">
        <v>103</v>
      </c>
      <c r="AD213" t="b">
        <v>0</v>
      </c>
      <c r="AF213">
        <v>1</v>
      </c>
      <c r="AG213" t="s">
        <v>104</v>
      </c>
    </row>
    <row r="214" spans="1:33" x14ac:dyDescent="0.2">
      <c r="A214">
        <v>1582</v>
      </c>
      <c r="B214" t="s">
        <v>1607</v>
      </c>
      <c r="C214" t="s">
        <v>34</v>
      </c>
      <c r="D214" t="s">
        <v>35</v>
      </c>
      <c r="E214" t="s">
        <v>168</v>
      </c>
      <c r="F214" t="s">
        <v>169</v>
      </c>
      <c r="G214" t="s">
        <v>68</v>
      </c>
      <c r="H214" t="s">
        <v>69</v>
      </c>
      <c r="I214" t="s">
        <v>453</v>
      </c>
      <c r="J214" t="s">
        <v>192</v>
      </c>
      <c r="K214">
        <v>2012</v>
      </c>
      <c r="L214">
        <v>2012</v>
      </c>
      <c r="M214">
        <v>5.49</v>
      </c>
      <c r="N214">
        <v>13.032</v>
      </c>
      <c r="O214">
        <v>143</v>
      </c>
      <c r="P214">
        <v>4.8</v>
      </c>
      <c r="Q214">
        <v>0.318</v>
      </c>
      <c r="R214" t="s">
        <v>72</v>
      </c>
      <c r="S214" t="s">
        <v>1608</v>
      </c>
      <c r="T214" t="b">
        <v>1</v>
      </c>
      <c r="U214" t="s">
        <v>1609</v>
      </c>
      <c r="V214" t="s">
        <v>174</v>
      </c>
      <c r="W214" t="s">
        <v>1610</v>
      </c>
      <c r="X214" t="s">
        <v>47</v>
      </c>
      <c r="AA214" t="s">
        <v>1611</v>
      </c>
      <c r="AB214" t="s">
        <v>49</v>
      </c>
      <c r="AC214" t="s">
        <v>1612</v>
      </c>
      <c r="AD214" t="b">
        <v>0</v>
      </c>
      <c r="AF214">
        <v>8</v>
      </c>
      <c r="AG214" t="s">
        <v>78</v>
      </c>
    </row>
    <row r="215" spans="1:33" x14ac:dyDescent="0.2">
      <c r="A215">
        <v>62</v>
      </c>
      <c r="B215" t="s">
        <v>1613</v>
      </c>
      <c r="C215" t="s">
        <v>34</v>
      </c>
      <c r="D215" t="s">
        <v>35</v>
      </c>
      <c r="E215" t="s">
        <v>1614</v>
      </c>
      <c r="F215" t="s">
        <v>1615</v>
      </c>
      <c r="G215" t="s">
        <v>134</v>
      </c>
      <c r="H215" t="s">
        <v>135</v>
      </c>
      <c r="I215" t="s">
        <v>1616</v>
      </c>
      <c r="J215" t="s">
        <v>462</v>
      </c>
      <c r="K215">
        <v>1987</v>
      </c>
      <c r="L215">
        <v>1987</v>
      </c>
      <c r="M215">
        <v>3.3</v>
      </c>
      <c r="N215">
        <v>7.4550000000000001</v>
      </c>
      <c r="O215">
        <v>100</v>
      </c>
      <c r="P215">
        <v>3.79</v>
      </c>
      <c r="Q215">
        <v>0.24</v>
      </c>
      <c r="R215" t="s">
        <v>42</v>
      </c>
      <c r="S215" t="s">
        <v>1617</v>
      </c>
      <c r="T215" t="b">
        <v>1</v>
      </c>
      <c r="U215" t="s">
        <v>1618</v>
      </c>
      <c r="V215" t="s">
        <v>1619</v>
      </c>
      <c r="W215" t="s">
        <v>113</v>
      </c>
      <c r="X215" t="s">
        <v>47</v>
      </c>
      <c r="AA215" t="s">
        <v>1620</v>
      </c>
      <c r="AB215" t="s">
        <v>1166</v>
      </c>
      <c r="AC215" t="s">
        <v>1621</v>
      </c>
      <c r="AD215" t="b">
        <v>0</v>
      </c>
      <c r="AF215">
        <v>10</v>
      </c>
      <c r="AG215" t="s">
        <v>143</v>
      </c>
    </row>
    <row r="216" spans="1:33" x14ac:dyDescent="0.2">
      <c r="A216">
        <v>1014</v>
      </c>
      <c r="B216" t="s">
        <v>1622</v>
      </c>
      <c r="C216" t="s">
        <v>34</v>
      </c>
      <c r="D216" t="s">
        <v>35</v>
      </c>
      <c r="G216" t="s">
        <v>213</v>
      </c>
      <c r="H216" t="s">
        <v>83</v>
      </c>
      <c r="I216" t="s">
        <v>635</v>
      </c>
      <c r="J216" t="s">
        <v>94</v>
      </c>
      <c r="K216">
        <v>2000</v>
      </c>
      <c r="L216">
        <v>2000</v>
      </c>
      <c r="M216">
        <v>2.1999999999999999E-2</v>
      </c>
      <c r="N216">
        <v>5.5E-2</v>
      </c>
      <c r="R216" t="s">
        <v>84</v>
      </c>
      <c r="S216" t="s">
        <v>636</v>
      </c>
      <c r="T216" t="b">
        <v>1</v>
      </c>
      <c r="U216" t="s">
        <v>754</v>
      </c>
      <c r="V216" t="s">
        <v>274</v>
      </c>
      <c r="W216" t="s">
        <v>1623</v>
      </c>
      <c r="X216" t="s">
        <v>47</v>
      </c>
      <c r="AA216" t="s">
        <v>114</v>
      </c>
      <c r="AC216" t="s">
        <v>63</v>
      </c>
      <c r="AD216" t="b">
        <v>0</v>
      </c>
      <c r="AF216">
        <v>3</v>
      </c>
      <c r="AG216" t="s">
        <v>332</v>
      </c>
    </row>
    <row r="217" spans="1:33" x14ac:dyDescent="0.2">
      <c r="A217">
        <v>1727</v>
      </c>
      <c r="B217" t="s">
        <v>1624</v>
      </c>
      <c r="C217" t="s">
        <v>34</v>
      </c>
      <c r="D217" t="s">
        <v>35</v>
      </c>
      <c r="E217" t="s">
        <v>682</v>
      </c>
      <c r="F217" t="s">
        <v>683</v>
      </c>
      <c r="G217" t="s">
        <v>68</v>
      </c>
      <c r="H217" t="s">
        <v>69</v>
      </c>
      <c r="I217" t="s">
        <v>1458</v>
      </c>
      <c r="J217" t="s">
        <v>1459</v>
      </c>
      <c r="K217">
        <v>2013</v>
      </c>
      <c r="L217">
        <v>2013</v>
      </c>
      <c r="M217">
        <v>2.5</v>
      </c>
      <c r="N217">
        <v>5.7130000000000001</v>
      </c>
      <c r="O217">
        <v>206.2</v>
      </c>
      <c r="P217">
        <v>1.5</v>
      </c>
      <c r="Q217">
        <v>0.46300000000000002</v>
      </c>
      <c r="R217" t="s">
        <v>72</v>
      </c>
      <c r="S217" t="s">
        <v>1625</v>
      </c>
      <c r="T217" t="b">
        <v>1</v>
      </c>
      <c r="U217" t="s">
        <v>1626</v>
      </c>
      <c r="V217" t="s">
        <v>686</v>
      </c>
      <c r="W217" t="s">
        <v>1627</v>
      </c>
      <c r="X217" t="s">
        <v>47</v>
      </c>
      <c r="AA217" t="s">
        <v>1628</v>
      </c>
      <c r="AB217" t="s">
        <v>177</v>
      </c>
      <c r="AC217" t="s">
        <v>1629</v>
      </c>
      <c r="AD217" t="b">
        <v>0</v>
      </c>
      <c r="AF217">
        <v>8</v>
      </c>
      <c r="AG217" t="s">
        <v>78</v>
      </c>
    </row>
    <row r="218" spans="1:33" x14ac:dyDescent="0.2">
      <c r="A218">
        <v>1866</v>
      </c>
      <c r="B218" t="s">
        <v>1630</v>
      </c>
      <c r="C218" t="s">
        <v>34</v>
      </c>
      <c r="D218" t="s">
        <v>35</v>
      </c>
      <c r="E218" t="s">
        <v>1631</v>
      </c>
      <c r="F218" t="s">
        <v>1632</v>
      </c>
      <c r="G218" t="s">
        <v>68</v>
      </c>
      <c r="H218" t="s">
        <v>69</v>
      </c>
      <c r="I218" t="s">
        <v>1458</v>
      </c>
      <c r="J218" t="s">
        <v>1459</v>
      </c>
      <c r="K218">
        <v>2016</v>
      </c>
      <c r="L218">
        <v>2016</v>
      </c>
      <c r="M218">
        <v>4.18</v>
      </c>
      <c r="N218">
        <v>12.534000000000001</v>
      </c>
      <c r="O218">
        <v>236</v>
      </c>
      <c r="P218">
        <v>2.1</v>
      </c>
      <c r="Q218">
        <v>0.55300000000000005</v>
      </c>
      <c r="R218" t="s">
        <v>72</v>
      </c>
      <c r="S218" t="s">
        <v>1633</v>
      </c>
      <c r="T218" t="b">
        <v>1</v>
      </c>
      <c r="U218" t="s">
        <v>1634</v>
      </c>
      <c r="V218" t="s">
        <v>1635</v>
      </c>
      <c r="W218" t="s">
        <v>1636</v>
      </c>
      <c r="X218" t="s">
        <v>47</v>
      </c>
      <c r="AA218" t="s">
        <v>1637</v>
      </c>
      <c r="AC218" t="s">
        <v>63</v>
      </c>
      <c r="AD218" t="b">
        <v>0</v>
      </c>
      <c r="AF218">
        <v>13</v>
      </c>
      <c r="AG218" t="s">
        <v>155</v>
      </c>
    </row>
    <row r="219" spans="1:33" x14ac:dyDescent="0.2">
      <c r="A219">
        <v>63</v>
      </c>
      <c r="B219" t="s">
        <v>1638</v>
      </c>
      <c r="C219" t="s">
        <v>34</v>
      </c>
      <c r="D219" t="s">
        <v>35</v>
      </c>
      <c r="E219" t="s">
        <v>1639</v>
      </c>
      <c r="F219" t="s">
        <v>1640</v>
      </c>
      <c r="G219" t="s">
        <v>68</v>
      </c>
      <c r="H219" t="s">
        <v>69</v>
      </c>
      <c r="I219" t="s">
        <v>265</v>
      </c>
      <c r="J219" t="s">
        <v>266</v>
      </c>
      <c r="K219">
        <v>1973</v>
      </c>
      <c r="L219">
        <v>1973</v>
      </c>
      <c r="M219">
        <v>140</v>
      </c>
      <c r="N219">
        <v>581.30200000000002</v>
      </c>
      <c r="O219">
        <v>565.59</v>
      </c>
      <c r="P219">
        <v>30.01</v>
      </c>
      <c r="Q219">
        <v>1.296</v>
      </c>
      <c r="R219" t="s">
        <v>72</v>
      </c>
      <c r="S219" t="s">
        <v>1641</v>
      </c>
      <c r="T219" t="b">
        <v>1</v>
      </c>
      <c r="U219" t="s">
        <v>1642</v>
      </c>
      <c r="V219" t="s">
        <v>1643</v>
      </c>
      <c r="W219" t="s">
        <v>1644</v>
      </c>
      <c r="X219" t="s">
        <v>47</v>
      </c>
      <c r="AA219" t="s">
        <v>1638</v>
      </c>
      <c r="AB219" t="s">
        <v>280</v>
      </c>
      <c r="AC219" t="s">
        <v>1645</v>
      </c>
      <c r="AD219" t="b">
        <v>0</v>
      </c>
      <c r="AF219">
        <v>8</v>
      </c>
      <c r="AG219" t="s">
        <v>78</v>
      </c>
    </row>
    <row r="220" spans="1:33" x14ac:dyDescent="0.2">
      <c r="A220">
        <v>1406</v>
      </c>
      <c r="B220" t="s">
        <v>1646</v>
      </c>
      <c r="C220" t="s">
        <v>34</v>
      </c>
      <c r="D220" t="s">
        <v>35</v>
      </c>
      <c r="E220" t="s">
        <v>1647</v>
      </c>
      <c r="F220" t="s">
        <v>1648</v>
      </c>
      <c r="G220" t="s">
        <v>213</v>
      </c>
      <c r="H220" t="s">
        <v>83</v>
      </c>
      <c r="I220" t="s">
        <v>611</v>
      </c>
      <c r="J220" t="s">
        <v>612</v>
      </c>
      <c r="K220">
        <v>2008</v>
      </c>
      <c r="L220">
        <v>2008</v>
      </c>
      <c r="M220">
        <v>2.2999999999999998</v>
      </c>
      <c r="N220">
        <v>8.2919999999999998</v>
      </c>
      <c r="O220">
        <v>103.2</v>
      </c>
      <c r="P220">
        <v>2.5</v>
      </c>
      <c r="Q220">
        <v>0.25600000000000001</v>
      </c>
      <c r="R220" t="s">
        <v>84</v>
      </c>
      <c r="S220" t="s">
        <v>1649</v>
      </c>
      <c r="T220" t="b">
        <v>1</v>
      </c>
      <c r="U220" t="s">
        <v>1650</v>
      </c>
      <c r="V220" t="s">
        <v>1651</v>
      </c>
      <c r="W220" t="s">
        <v>1652</v>
      </c>
      <c r="X220" t="s">
        <v>47</v>
      </c>
      <c r="AA220" t="s">
        <v>615</v>
      </c>
      <c r="AB220" t="s">
        <v>1653</v>
      </c>
      <c r="AC220" t="s">
        <v>616</v>
      </c>
      <c r="AD220" t="b">
        <v>0</v>
      </c>
      <c r="AF220">
        <v>4</v>
      </c>
      <c r="AG220" t="s">
        <v>321</v>
      </c>
    </row>
    <row r="221" spans="1:33" x14ac:dyDescent="0.2">
      <c r="A221">
        <v>1087</v>
      </c>
      <c r="B221" t="s">
        <v>1654</v>
      </c>
      <c r="C221" t="s">
        <v>34</v>
      </c>
      <c r="D221" t="s">
        <v>35</v>
      </c>
      <c r="E221" t="s">
        <v>1655</v>
      </c>
      <c r="F221" t="s">
        <v>1656</v>
      </c>
      <c r="G221" t="s">
        <v>68</v>
      </c>
      <c r="H221" t="s">
        <v>69</v>
      </c>
      <c r="I221" t="s">
        <v>1209</v>
      </c>
      <c r="J221" t="s">
        <v>171</v>
      </c>
      <c r="K221">
        <v>2002</v>
      </c>
      <c r="L221">
        <v>2002</v>
      </c>
      <c r="M221">
        <v>0.35</v>
      </c>
      <c r="N221">
        <v>1.2150000000000001</v>
      </c>
      <c r="R221" t="s">
        <v>72</v>
      </c>
      <c r="S221" t="s">
        <v>1657</v>
      </c>
      <c r="T221" t="b">
        <v>1</v>
      </c>
      <c r="U221" t="s">
        <v>247</v>
      </c>
      <c r="V221" t="s">
        <v>1658</v>
      </c>
      <c r="W221" t="s">
        <v>1659</v>
      </c>
      <c r="X221" t="s">
        <v>47</v>
      </c>
      <c r="AA221" t="s">
        <v>1214</v>
      </c>
      <c r="AC221" t="s">
        <v>63</v>
      </c>
      <c r="AD221" t="b">
        <v>0</v>
      </c>
      <c r="AF221">
        <v>8</v>
      </c>
      <c r="AG221" t="s">
        <v>78</v>
      </c>
    </row>
    <row r="222" spans="1:33" x14ac:dyDescent="0.2">
      <c r="A222">
        <v>2077</v>
      </c>
      <c r="B222" t="s">
        <v>1660</v>
      </c>
      <c r="C222" t="s">
        <v>34</v>
      </c>
      <c r="D222" t="s">
        <v>35</v>
      </c>
      <c r="E222" t="s">
        <v>1661</v>
      </c>
      <c r="F222" t="s">
        <v>1662</v>
      </c>
      <c r="G222" t="s">
        <v>53</v>
      </c>
      <c r="H222" t="s">
        <v>54</v>
      </c>
      <c r="I222" t="s">
        <v>1663</v>
      </c>
      <c r="J222" t="s">
        <v>973</v>
      </c>
      <c r="K222">
        <v>2024</v>
      </c>
      <c r="L222">
        <v>2024</v>
      </c>
      <c r="M222">
        <v>3.84</v>
      </c>
      <c r="N222">
        <v>9.5</v>
      </c>
      <c r="O222">
        <v>171.5</v>
      </c>
      <c r="P222">
        <v>2.62</v>
      </c>
      <c r="Q222">
        <v>0.40699999999999997</v>
      </c>
      <c r="R222" t="s">
        <v>57</v>
      </c>
      <c r="S222" t="s">
        <v>1664</v>
      </c>
      <c r="T222" t="b">
        <v>1</v>
      </c>
      <c r="U222" t="s">
        <v>1096</v>
      </c>
      <c r="V222" t="s">
        <v>1665</v>
      </c>
      <c r="W222" t="s">
        <v>1666</v>
      </c>
      <c r="X222" t="s">
        <v>47</v>
      </c>
      <c r="AA222" t="s">
        <v>1667</v>
      </c>
      <c r="AB222" t="s">
        <v>227</v>
      </c>
      <c r="AC222" t="s">
        <v>1668</v>
      </c>
      <c r="AD222" t="b">
        <v>0</v>
      </c>
      <c r="AF222">
        <v>2</v>
      </c>
      <c r="AG222" t="s">
        <v>287</v>
      </c>
    </row>
    <row r="223" spans="1:33" x14ac:dyDescent="0.2">
      <c r="A223">
        <v>64</v>
      </c>
      <c r="B223" t="s">
        <v>1669</v>
      </c>
      <c r="C223" t="s">
        <v>296</v>
      </c>
      <c r="D223" t="s">
        <v>297</v>
      </c>
      <c r="E223" t="s">
        <v>1670</v>
      </c>
      <c r="F223" t="s">
        <v>1671</v>
      </c>
      <c r="G223" t="s">
        <v>213</v>
      </c>
      <c r="H223" t="s">
        <v>83</v>
      </c>
      <c r="I223" t="s">
        <v>1672</v>
      </c>
      <c r="J223" t="s">
        <v>231</v>
      </c>
      <c r="K223">
        <v>1979</v>
      </c>
      <c r="L223">
        <v>1979</v>
      </c>
      <c r="M223">
        <v>200</v>
      </c>
      <c r="N223">
        <v>206.053</v>
      </c>
      <c r="O223">
        <v>220</v>
      </c>
      <c r="P223">
        <v>99.91</v>
      </c>
      <c r="Q223">
        <v>0.55500000000000005</v>
      </c>
      <c r="R223" t="s">
        <v>84</v>
      </c>
      <c r="S223" t="s">
        <v>1673</v>
      </c>
      <c r="T223" t="b">
        <v>1</v>
      </c>
      <c r="U223" t="s">
        <v>1674</v>
      </c>
      <c r="V223" t="s">
        <v>1675</v>
      </c>
      <c r="W223" t="s">
        <v>1676</v>
      </c>
      <c r="X223" t="s">
        <v>47</v>
      </c>
      <c r="AA223" t="s">
        <v>615</v>
      </c>
      <c r="AB223" t="s">
        <v>109</v>
      </c>
      <c r="AC223" t="s">
        <v>616</v>
      </c>
      <c r="AD223" t="b">
        <v>0</v>
      </c>
      <c r="AF223">
        <v>4</v>
      </c>
      <c r="AG223" t="s">
        <v>321</v>
      </c>
    </row>
    <row r="224" spans="1:33" x14ac:dyDescent="0.2">
      <c r="A224">
        <v>2029</v>
      </c>
      <c r="B224" t="s">
        <v>1677</v>
      </c>
      <c r="C224" t="s">
        <v>34</v>
      </c>
      <c r="D224" t="s">
        <v>35</v>
      </c>
      <c r="E224" t="s">
        <v>892</v>
      </c>
      <c r="F224" t="s">
        <v>893</v>
      </c>
      <c r="G224" t="s">
        <v>53</v>
      </c>
      <c r="H224" t="s">
        <v>54</v>
      </c>
      <c r="I224" t="s">
        <v>1678</v>
      </c>
      <c r="J224" t="s">
        <v>245</v>
      </c>
      <c r="K224">
        <v>2020</v>
      </c>
      <c r="L224">
        <v>2020</v>
      </c>
      <c r="M224">
        <v>3.3</v>
      </c>
      <c r="N224">
        <v>9.7469999999999999</v>
      </c>
      <c r="O224">
        <v>270.5</v>
      </c>
      <c r="P224">
        <v>1.5</v>
      </c>
      <c r="Q224">
        <v>0.61099999999999999</v>
      </c>
      <c r="R224" t="s">
        <v>57</v>
      </c>
      <c r="S224" t="s">
        <v>1679</v>
      </c>
      <c r="T224" t="b">
        <v>1</v>
      </c>
      <c r="U224" t="s">
        <v>1680</v>
      </c>
      <c r="V224" t="s">
        <v>896</v>
      </c>
      <c r="W224" t="s">
        <v>1681</v>
      </c>
      <c r="X224" t="s">
        <v>47</v>
      </c>
      <c r="AA224" t="s">
        <v>1682</v>
      </c>
      <c r="AC224" t="s">
        <v>63</v>
      </c>
      <c r="AD224" t="b">
        <v>0</v>
      </c>
      <c r="AF224">
        <v>6</v>
      </c>
      <c r="AG224" t="s">
        <v>64</v>
      </c>
    </row>
    <row r="225" spans="1:33" x14ac:dyDescent="0.2">
      <c r="A225">
        <v>2007</v>
      </c>
      <c r="B225" t="s">
        <v>1683</v>
      </c>
      <c r="C225" t="s">
        <v>34</v>
      </c>
      <c r="D225" t="s">
        <v>35</v>
      </c>
      <c r="E225" t="s">
        <v>1684</v>
      </c>
      <c r="F225" t="s">
        <v>1685</v>
      </c>
      <c r="G225" t="s">
        <v>312</v>
      </c>
      <c r="H225" t="s">
        <v>313</v>
      </c>
      <c r="I225" t="s">
        <v>493</v>
      </c>
      <c r="J225" t="s">
        <v>409</v>
      </c>
      <c r="K225">
        <v>2021</v>
      </c>
      <c r="L225">
        <v>2021</v>
      </c>
      <c r="M225">
        <v>9.4</v>
      </c>
      <c r="N225">
        <v>33.692</v>
      </c>
      <c r="O225">
        <v>49.6</v>
      </c>
      <c r="P225">
        <v>23.3</v>
      </c>
      <c r="Q225">
        <v>0.112</v>
      </c>
      <c r="R225" t="s">
        <v>84</v>
      </c>
      <c r="S225" t="s">
        <v>1686</v>
      </c>
      <c r="T225" t="b">
        <v>1</v>
      </c>
      <c r="U225" t="s">
        <v>1687</v>
      </c>
      <c r="V225" t="s">
        <v>1688</v>
      </c>
      <c r="W225" t="s">
        <v>1689</v>
      </c>
      <c r="X225" t="s">
        <v>47</v>
      </c>
      <c r="AA225" t="s">
        <v>498</v>
      </c>
      <c r="AB225" t="s">
        <v>49</v>
      </c>
      <c r="AC225" t="s">
        <v>499</v>
      </c>
      <c r="AD225" t="b">
        <v>0</v>
      </c>
      <c r="AF225">
        <v>4</v>
      </c>
      <c r="AG225" t="s">
        <v>321</v>
      </c>
    </row>
    <row r="226" spans="1:33" x14ac:dyDescent="0.2">
      <c r="A226">
        <v>1574</v>
      </c>
      <c r="B226" t="s">
        <v>1690</v>
      </c>
      <c r="C226" t="s">
        <v>34</v>
      </c>
      <c r="D226" t="s">
        <v>35</v>
      </c>
      <c r="E226" t="s">
        <v>1691</v>
      </c>
      <c r="F226" t="s">
        <v>1692</v>
      </c>
      <c r="G226" t="s">
        <v>53</v>
      </c>
      <c r="H226" t="s">
        <v>54</v>
      </c>
      <c r="I226" t="s">
        <v>147</v>
      </c>
      <c r="J226" t="s">
        <v>148</v>
      </c>
      <c r="K226">
        <v>2010</v>
      </c>
      <c r="L226">
        <v>2010</v>
      </c>
      <c r="M226">
        <v>2</v>
      </c>
      <c r="N226">
        <v>6.9630000000000001</v>
      </c>
      <c r="O226">
        <v>285</v>
      </c>
      <c r="P226">
        <v>0.85</v>
      </c>
      <c r="Q226">
        <v>0.65400000000000003</v>
      </c>
      <c r="R226" t="s">
        <v>72</v>
      </c>
      <c r="S226" t="s">
        <v>1693</v>
      </c>
      <c r="T226" t="b">
        <v>1</v>
      </c>
      <c r="U226" t="s">
        <v>1694</v>
      </c>
      <c r="V226" t="s">
        <v>1695</v>
      </c>
      <c r="W226" t="s">
        <v>1696</v>
      </c>
      <c r="X226" t="s">
        <v>47</v>
      </c>
      <c r="AA226" t="s">
        <v>153</v>
      </c>
      <c r="AB226" t="s">
        <v>1697</v>
      </c>
      <c r="AC226" t="s">
        <v>154</v>
      </c>
      <c r="AD226" t="b">
        <v>0</v>
      </c>
      <c r="AF226">
        <v>13</v>
      </c>
      <c r="AG226" t="s">
        <v>155</v>
      </c>
    </row>
    <row r="227" spans="1:33" x14ac:dyDescent="0.2">
      <c r="A227">
        <v>1606</v>
      </c>
      <c r="B227" t="s">
        <v>1698</v>
      </c>
      <c r="C227" t="s">
        <v>34</v>
      </c>
      <c r="D227" t="s">
        <v>35</v>
      </c>
      <c r="E227" t="s">
        <v>1614</v>
      </c>
      <c r="F227" t="s">
        <v>1615</v>
      </c>
      <c r="G227" t="s">
        <v>134</v>
      </c>
      <c r="H227" t="s">
        <v>135</v>
      </c>
      <c r="I227" t="s">
        <v>1616</v>
      </c>
      <c r="J227" t="s">
        <v>462</v>
      </c>
      <c r="K227">
        <v>2011</v>
      </c>
      <c r="L227">
        <v>2011</v>
      </c>
      <c r="M227">
        <v>3.68</v>
      </c>
      <c r="N227">
        <v>9.3279999999999994</v>
      </c>
      <c r="O227">
        <v>108.75</v>
      </c>
      <c r="P227">
        <v>4.08</v>
      </c>
      <c r="Q227">
        <v>0.251</v>
      </c>
      <c r="R227" t="s">
        <v>42</v>
      </c>
      <c r="S227" t="s">
        <v>1699</v>
      </c>
      <c r="T227" t="b">
        <v>1</v>
      </c>
      <c r="U227" t="s">
        <v>1700</v>
      </c>
      <c r="V227" t="s">
        <v>1619</v>
      </c>
      <c r="W227" t="s">
        <v>1701</v>
      </c>
      <c r="X227" t="s">
        <v>47</v>
      </c>
      <c r="AA227" t="s">
        <v>1698</v>
      </c>
      <c r="AB227" t="s">
        <v>49</v>
      </c>
      <c r="AC227" t="s">
        <v>1702</v>
      </c>
      <c r="AD227" t="b">
        <v>0</v>
      </c>
      <c r="AF227">
        <v>10</v>
      </c>
      <c r="AG227" t="s">
        <v>143</v>
      </c>
    </row>
    <row r="228" spans="1:33" x14ac:dyDescent="0.2">
      <c r="A228">
        <v>65</v>
      </c>
      <c r="B228" t="s">
        <v>1703</v>
      </c>
      <c r="C228" t="s">
        <v>34</v>
      </c>
      <c r="D228" t="s">
        <v>35</v>
      </c>
      <c r="E228" t="s">
        <v>404</v>
      </c>
      <c r="F228" t="s">
        <v>405</v>
      </c>
      <c r="G228" t="s">
        <v>503</v>
      </c>
      <c r="H228" t="s">
        <v>462</v>
      </c>
      <c r="I228" t="s">
        <v>564</v>
      </c>
      <c r="J228" t="s">
        <v>515</v>
      </c>
      <c r="K228">
        <v>1951</v>
      </c>
      <c r="L228">
        <v>1951</v>
      </c>
      <c r="M228">
        <v>33</v>
      </c>
      <c r="N228">
        <v>176.65100000000001</v>
      </c>
      <c r="O228">
        <v>80.19</v>
      </c>
      <c r="P228">
        <v>47.99</v>
      </c>
      <c r="Q228">
        <v>0.191</v>
      </c>
      <c r="R228" t="s">
        <v>84</v>
      </c>
      <c r="S228" t="s">
        <v>1704</v>
      </c>
      <c r="T228" t="b">
        <v>1</v>
      </c>
      <c r="U228" t="s">
        <v>1705</v>
      </c>
      <c r="V228" t="s">
        <v>408</v>
      </c>
      <c r="W228" t="s">
        <v>1706</v>
      </c>
      <c r="X228" t="s">
        <v>47</v>
      </c>
      <c r="AA228" t="s">
        <v>509</v>
      </c>
      <c r="AB228" t="s">
        <v>109</v>
      </c>
      <c r="AC228" t="s">
        <v>510</v>
      </c>
      <c r="AD228" t="b">
        <v>0</v>
      </c>
      <c r="AF228">
        <v>3</v>
      </c>
      <c r="AG228" t="s">
        <v>332</v>
      </c>
    </row>
    <row r="229" spans="1:33" x14ac:dyDescent="0.2">
      <c r="A229">
        <v>899</v>
      </c>
      <c r="B229" t="s">
        <v>1707</v>
      </c>
      <c r="C229" t="s">
        <v>34</v>
      </c>
      <c r="D229" t="s">
        <v>35</v>
      </c>
      <c r="E229" t="s">
        <v>1708</v>
      </c>
      <c r="F229" t="s">
        <v>1709</v>
      </c>
      <c r="G229" t="s">
        <v>224</v>
      </c>
      <c r="H229" t="s">
        <v>225</v>
      </c>
      <c r="I229" t="s">
        <v>1710</v>
      </c>
      <c r="J229" t="s">
        <v>1077</v>
      </c>
      <c r="K229">
        <v>1913</v>
      </c>
      <c r="L229">
        <v>1913</v>
      </c>
      <c r="M229">
        <v>0.56999999999999995</v>
      </c>
      <c r="N229">
        <v>2.6429999999999998</v>
      </c>
      <c r="R229" t="s">
        <v>97</v>
      </c>
      <c r="S229" t="s">
        <v>1711</v>
      </c>
      <c r="T229" t="b">
        <v>1</v>
      </c>
      <c r="U229" t="s">
        <v>1387</v>
      </c>
      <c r="V229" t="s">
        <v>1712</v>
      </c>
      <c r="W229" t="s">
        <v>113</v>
      </c>
      <c r="X229" t="s">
        <v>47</v>
      </c>
      <c r="AA229" t="s">
        <v>102</v>
      </c>
      <c r="AC229" t="s">
        <v>103</v>
      </c>
      <c r="AD229" t="b">
        <v>0</v>
      </c>
      <c r="AF229">
        <v>1</v>
      </c>
      <c r="AG229" t="s">
        <v>104</v>
      </c>
    </row>
    <row r="230" spans="1:33" x14ac:dyDescent="0.2">
      <c r="A230">
        <v>1999</v>
      </c>
      <c r="B230" t="s">
        <v>1713</v>
      </c>
      <c r="C230" t="s">
        <v>34</v>
      </c>
      <c r="D230" t="s">
        <v>35</v>
      </c>
      <c r="E230" t="s">
        <v>1714</v>
      </c>
      <c r="F230" t="s">
        <v>1715</v>
      </c>
      <c r="G230" t="s">
        <v>53</v>
      </c>
      <c r="H230" t="s">
        <v>54</v>
      </c>
      <c r="I230" t="s">
        <v>604</v>
      </c>
      <c r="J230" t="s">
        <v>426</v>
      </c>
      <c r="K230">
        <v>2021</v>
      </c>
      <c r="L230">
        <v>2021</v>
      </c>
      <c r="M230">
        <v>3.3</v>
      </c>
      <c r="N230">
        <v>9.4</v>
      </c>
      <c r="O230">
        <v>219</v>
      </c>
      <c r="P230">
        <v>1.8</v>
      </c>
      <c r="Q230">
        <v>0.50900000000000001</v>
      </c>
      <c r="R230" t="s">
        <v>57</v>
      </c>
      <c r="S230" t="s">
        <v>1716</v>
      </c>
      <c r="T230" t="b">
        <v>1</v>
      </c>
      <c r="U230" t="s">
        <v>1717</v>
      </c>
      <c r="V230" t="s">
        <v>1718</v>
      </c>
      <c r="W230" t="s">
        <v>1719</v>
      </c>
      <c r="X230" t="s">
        <v>47</v>
      </c>
      <c r="AA230" t="s">
        <v>1713</v>
      </c>
      <c r="AC230" t="s">
        <v>63</v>
      </c>
      <c r="AD230" t="b">
        <v>0</v>
      </c>
      <c r="AF230">
        <v>6</v>
      </c>
      <c r="AG230" t="s">
        <v>64</v>
      </c>
    </row>
    <row r="231" spans="1:33" x14ac:dyDescent="0.2">
      <c r="A231">
        <v>977</v>
      </c>
      <c r="B231" t="s">
        <v>1720</v>
      </c>
      <c r="C231" t="s">
        <v>34</v>
      </c>
      <c r="D231" t="s">
        <v>35</v>
      </c>
      <c r="E231" t="s">
        <v>1721</v>
      </c>
      <c r="F231" t="s">
        <v>1722</v>
      </c>
      <c r="G231" t="s">
        <v>53</v>
      </c>
      <c r="H231" t="s">
        <v>54</v>
      </c>
      <c r="I231" t="s">
        <v>1723</v>
      </c>
      <c r="J231" t="s">
        <v>1697</v>
      </c>
      <c r="K231">
        <v>1998</v>
      </c>
      <c r="L231">
        <v>1998</v>
      </c>
      <c r="M231">
        <v>6.9000000000000006E-2</v>
      </c>
      <c r="N231">
        <v>0.35</v>
      </c>
      <c r="R231" t="s">
        <v>57</v>
      </c>
      <c r="S231" t="s">
        <v>1724</v>
      </c>
      <c r="T231" t="b">
        <v>1</v>
      </c>
      <c r="U231" t="s">
        <v>455</v>
      </c>
      <c r="V231" t="s">
        <v>1725</v>
      </c>
      <c r="W231" t="s">
        <v>1726</v>
      </c>
      <c r="X231" t="s">
        <v>47</v>
      </c>
      <c r="AA231" t="s">
        <v>1727</v>
      </c>
      <c r="AC231" t="s">
        <v>1728</v>
      </c>
      <c r="AD231" t="b">
        <v>0</v>
      </c>
      <c r="AF231">
        <v>6</v>
      </c>
      <c r="AG231" t="s">
        <v>64</v>
      </c>
    </row>
    <row r="232" spans="1:33" x14ac:dyDescent="0.2">
      <c r="A232">
        <v>2089</v>
      </c>
      <c r="B232" t="s">
        <v>1729</v>
      </c>
      <c r="C232" t="s">
        <v>34</v>
      </c>
      <c r="D232" t="s">
        <v>35</v>
      </c>
      <c r="E232" t="s">
        <v>1730</v>
      </c>
      <c r="F232" t="s">
        <v>1731</v>
      </c>
      <c r="G232" t="s">
        <v>53</v>
      </c>
      <c r="H232" t="s">
        <v>54</v>
      </c>
      <c r="I232" t="s">
        <v>774</v>
      </c>
      <c r="J232" t="s">
        <v>567</v>
      </c>
      <c r="K232">
        <v>2025</v>
      </c>
      <c r="L232">
        <v>2025</v>
      </c>
      <c r="M232">
        <v>2.6</v>
      </c>
      <c r="N232">
        <v>10</v>
      </c>
      <c r="O232">
        <v>120</v>
      </c>
      <c r="P232">
        <v>2.65</v>
      </c>
      <c r="Q232">
        <v>0.27300000000000002</v>
      </c>
      <c r="R232" t="s">
        <v>57</v>
      </c>
      <c r="S232" t="s">
        <v>1732</v>
      </c>
      <c r="T232" t="b">
        <v>1</v>
      </c>
      <c r="U232" t="s">
        <v>1733</v>
      </c>
      <c r="V232" t="s">
        <v>1734</v>
      </c>
      <c r="W232" t="s">
        <v>1735</v>
      </c>
      <c r="X232" t="s">
        <v>47</v>
      </c>
      <c r="AA232" t="s">
        <v>1736</v>
      </c>
      <c r="AB232" t="s">
        <v>177</v>
      </c>
      <c r="AC232" t="s">
        <v>1737</v>
      </c>
      <c r="AD232" t="b">
        <v>0</v>
      </c>
      <c r="AF232">
        <v>6</v>
      </c>
      <c r="AG232" t="s">
        <v>64</v>
      </c>
    </row>
    <row r="233" spans="1:33" x14ac:dyDescent="0.2">
      <c r="A233">
        <v>1616</v>
      </c>
      <c r="B233" t="s">
        <v>1738</v>
      </c>
      <c r="C233" t="s">
        <v>34</v>
      </c>
      <c r="D233" t="s">
        <v>35</v>
      </c>
      <c r="E233" t="s">
        <v>1739</v>
      </c>
      <c r="F233" t="s">
        <v>1740</v>
      </c>
      <c r="G233" t="s">
        <v>68</v>
      </c>
      <c r="H233" t="s">
        <v>69</v>
      </c>
      <c r="I233" t="s">
        <v>1741</v>
      </c>
      <c r="J233" t="s">
        <v>1742</v>
      </c>
      <c r="K233">
        <v>2011</v>
      </c>
      <c r="L233">
        <v>2011</v>
      </c>
      <c r="M233">
        <v>2.8</v>
      </c>
      <c r="N233">
        <v>7.726</v>
      </c>
      <c r="O233">
        <v>220.8</v>
      </c>
      <c r="P233">
        <v>1.5</v>
      </c>
      <c r="Q233">
        <v>0.51900000000000002</v>
      </c>
      <c r="R233" t="s">
        <v>72</v>
      </c>
      <c r="S233" t="s">
        <v>1743</v>
      </c>
      <c r="T233" t="b">
        <v>1</v>
      </c>
      <c r="U233" t="s">
        <v>1744</v>
      </c>
      <c r="V233" t="s">
        <v>1745</v>
      </c>
      <c r="W233" t="s">
        <v>1746</v>
      </c>
      <c r="X233" t="s">
        <v>47</v>
      </c>
      <c r="AA233" t="s">
        <v>1747</v>
      </c>
      <c r="AB233" t="s">
        <v>49</v>
      </c>
      <c r="AC233" t="s">
        <v>1748</v>
      </c>
      <c r="AD233" t="b">
        <v>0</v>
      </c>
      <c r="AF233">
        <v>8</v>
      </c>
      <c r="AG233" t="s">
        <v>78</v>
      </c>
    </row>
    <row r="234" spans="1:33" x14ac:dyDescent="0.2">
      <c r="A234">
        <v>66</v>
      </c>
      <c r="B234" t="s">
        <v>1749</v>
      </c>
      <c r="C234" t="s">
        <v>34</v>
      </c>
      <c r="D234" t="s">
        <v>35</v>
      </c>
      <c r="E234" t="s">
        <v>1750</v>
      </c>
      <c r="F234" t="s">
        <v>1751</v>
      </c>
      <c r="G234" t="s">
        <v>53</v>
      </c>
      <c r="H234" t="s">
        <v>54</v>
      </c>
      <c r="I234" t="s">
        <v>604</v>
      </c>
      <c r="J234" t="s">
        <v>426</v>
      </c>
      <c r="K234">
        <v>1907</v>
      </c>
      <c r="L234">
        <v>1907</v>
      </c>
      <c r="M234">
        <v>6.5</v>
      </c>
      <c r="N234">
        <v>52.02</v>
      </c>
      <c r="O234">
        <v>314</v>
      </c>
      <c r="P234">
        <v>2.59</v>
      </c>
      <c r="Q234">
        <v>0.69699999999999995</v>
      </c>
      <c r="R234" t="s">
        <v>72</v>
      </c>
      <c r="S234" t="s">
        <v>1752</v>
      </c>
      <c r="T234" t="b">
        <v>1</v>
      </c>
      <c r="U234" t="s">
        <v>1753</v>
      </c>
      <c r="V234" t="s">
        <v>1754</v>
      </c>
      <c r="W234" t="s">
        <v>1755</v>
      </c>
      <c r="X234" t="s">
        <v>47</v>
      </c>
      <c r="AA234" t="s">
        <v>608</v>
      </c>
      <c r="AB234" t="s">
        <v>49</v>
      </c>
      <c r="AC234" t="s">
        <v>609</v>
      </c>
      <c r="AD234" t="b">
        <v>0</v>
      </c>
      <c r="AF234">
        <v>13</v>
      </c>
      <c r="AG234" t="s">
        <v>155</v>
      </c>
    </row>
    <row r="235" spans="1:33" x14ac:dyDescent="0.2">
      <c r="A235">
        <v>904</v>
      </c>
      <c r="B235" t="s">
        <v>1756</v>
      </c>
      <c r="C235" t="s">
        <v>34</v>
      </c>
      <c r="D235" t="s">
        <v>35</v>
      </c>
      <c r="E235" t="s">
        <v>1757</v>
      </c>
      <c r="F235" t="s">
        <v>1758</v>
      </c>
      <c r="G235" t="s">
        <v>53</v>
      </c>
      <c r="H235" t="s">
        <v>54</v>
      </c>
      <c r="I235" t="s">
        <v>730</v>
      </c>
      <c r="J235" t="s">
        <v>731</v>
      </c>
      <c r="K235">
        <v>1999</v>
      </c>
      <c r="L235">
        <v>1999</v>
      </c>
      <c r="M235">
        <v>0.99</v>
      </c>
      <c r="N235">
        <v>4.8220000000000001</v>
      </c>
      <c r="O235">
        <v>265</v>
      </c>
      <c r="P235">
        <v>0.44</v>
      </c>
      <c r="Q235">
        <v>0.625</v>
      </c>
      <c r="R235" t="s">
        <v>72</v>
      </c>
      <c r="S235" t="s">
        <v>1759</v>
      </c>
      <c r="T235" t="b">
        <v>1</v>
      </c>
      <c r="U235" t="s">
        <v>571</v>
      </c>
      <c r="V235" t="s">
        <v>1760</v>
      </c>
      <c r="W235" t="s">
        <v>1761</v>
      </c>
      <c r="X235" t="s">
        <v>47</v>
      </c>
      <c r="AA235" t="s">
        <v>114</v>
      </c>
      <c r="AC235" t="s">
        <v>63</v>
      </c>
      <c r="AD235" t="b">
        <v>0</v>
      </c>
      <c r="AF235">
        <v>13</v>
      </c>
      <c r="AG235" t="s">
        <v>155</v>
      </c>
    </row>
    <row r="236" spans="1:33" x14ac:dyDescent="0.2">
      <c r="A236">
        <v>1570</v>
      </c>
      <c r="B236" t="s">
        <v>1762</v>
      </c>
      <c r="C236" t="s">
        <v>34</v>
      </c>
      <c r="D236" t="s">
        <v>35</v>
      </c>
      <c r="E236" t="s">
        <v>501</v>
      </c>
      <c r="F236" t="s">
        <v>502</v>
      </c>
      <c r="G236" t="s">
        <v>242</v>
      </c>
      <c r="H236" t="s">
        <v>243</v>
      </c>
      <c r="I236" t="s">
        <v>1003</v>
      </c>
      <c r="J236" t="s">
        <v>192</v>
      </c>
      <c r="K236">
        <v>2011</v>
      </c>
      <c r="L236">
        <v>2011</v>
      </c>
      <c r="M236">
        <v>2.1</v>
      </c>
      <c r="N236">
        <v>5.085</v>
      </c>
      <c r="O236">
        <v>169</v>
      </c>
      <c r="P236">
        <v>1.4</v>
      </c>
      <c r="Q236">
        <v>0.41699999999999998</v>
      </c>
      <c r="R236" t="s">
        <v>72</v>
      </c>
      <c r="S236" t="s">
        <v>1763</v>
      </c>
      <c r="T236" t="b">
        <v>1</v>
      </c>
      <c r="U236" t="s">
        <v>1764</v>
      </c>
      <c r="V236" t="s">
        <v>507</v>
      </c>
      <c r="W236" t="s">
        <v>1765</v>
      </c>
      <c r="X236" t="s">
        <v>47</v>
      </c>
      <c r="AA236" t="s">
        <v>1766</v>
      </c>
      <c r="AB236" t="s">
        <v>49</v>
      </c>
      <c r="AC236" t="s">
        <v>1767</v>
      </c>
      <c r="AD236" t="b">
        <v>0</v>
      </c>
      <c r="AF236">
        <v>9</v>
      </c>
      <c r="AG236" t="s">
        <v>251</v>
      </c>
    </row>
    <row r="237" spans="1:33" x14ac:dyDescent="0.2">
      <c r="A237">
        <v>872</v>
      </c>
      <c r="B237" t="s">
        <v>1768</v>
      </c>
      <c r="C237" t="s">
        <v>34</v>
      </c>
      <c r="D237" t="s">
        <v>35</v>
      </c>
      <c r="G237" t="s">
        <v>53</v>
      </c>
      <c r="H237" t="s">
        <v>54</v>
      </c>
      <c r="I237" t="s">
        <v>532</v>
      </c>
      <c r="J237" t="s">
        <v>533</v>
      </c>
      <c r="K237">
        <v>2004</v>
      </c>
      <c r="L237">
        <v>2004</v>
      </c>
      <c r="M237">
        <v>0.09</v>
      </c>
      <c r="N237">
        <v>0.377</v>
      </c>
      <c r="R237" t="s">
        <v>57</v>
      </c>
      <c r="S237" t="s">
        <v>1769</v>
      </c>
      <c r="T237" t="b">
        <v>1</v>
      </c>
      <c r="U237" t="s">
        <v>637</v>
      </c>
      <c r="V237" t="s">
        <v>274</v>
      </c>
      <c r="W237" t="s">
        <v>1770</v>
      </c>
      <c r="X237" t="s">
        <v>47</v>
      </c>
      <c r="AA237" t="s">
        <v>1771</v>
      </c>
      <c r="AC237" t="s">
        <v>1772</v>
      </c>
      <c r="AD237" t="b">
        <v>0</v>
      </c>
      <c r="AF237">
        <v>7</v>
      </c>
      <c r="AG237" t="s">
        <v>469</v>
      </c>
    </row>
    <row r="238" spans="1:33" x14ac:dyDescent="0.2">
      <c r="A238">
        <v>1048</v>
      </c>
      <c r="B238" t="s">
        <v>1773</v>
      </c>
      <c r="C238" t="s">
        <v>34</v>
      </c>
      <c r="D238" t="s">
        <v>35</v>
      </c>
      <c r="E238" t="s">
        <v>1774</v>
      </c>
      <c r="F238" t="s">
        <v>1775</v>
      </c>
      <c r="G238" t="s">
        <v>213</v>
      </c>
      <c r="H238" t="s">
        <v>83</v>
      </c>
      <c r="I238" t="s">
        <v>711</v>
      </c>
      <c r="J238" t="s">
        <v>515</v>
      </c>
      <c r="K238">
        <v>2004</v>
      </c>
      <c r="L238">
        <v>2004</v>
      </c>
      <c r="M238">
        <v>0.73499999999999999</v>
      </c>
      <c r="N238">
        <v>2.0470000000000002</v>
      </c>
      <c r="O238">
        <v>265</v>
      </c>
      <c r="P238">
        <v>0.307</v>
      </c>
      <c r="R238" t="s">
        <v>84</v>
      </c>
      <c r="S238" t="s">
        <v>1776</v>
      </c>
      <c r="T238" t="b">
        <v>1</v>
      </c>
      <c r="U238" t="s">
        <v>637</v>
      </c>
      <c r="V238" t="s">
        <v>1777</v>
      </c>
      <c r="W238" t="s">
        <v>1778</v>
      </c>
      <c r="X238" t="s">
        <v>47</v>
      </c>
      <c r="AA238" t="s">
        <v>114</v>
      </c>
      <c r="AC238" t="s">
        <v>63</v>
      </c>
      <c r="AD238" t="b">
        <v>0</v>
      </c>
      <c r="AF238">
        <v>4</v>
      </c>
      <c r="AG238" t="s">
        <v>321</v>
      </c>
    </row>
    <row r="239" spans="1:33" x14ac:dyDescent="0.2">
      <c r="A239">
        <v>67</v>
      </c>
      <c r="B239" t="s">
        <v>1779</v>
      </c>
      <c r="C239" t="s">
        <v>34</v>
      </c>
      <c r="D239" t="s">
        <v>35</v>
      </c>
      <c r="E239" t="s">
        <v>404</v>
      </c>
      <c r="F239" t="s">
        <v>405</v>
      </c>
      <c r="G239" t="s">
        <v>224</v>
      </c>
      <c r="H239" t="s">
        <v>225</v>
      </c>
      <c r="I239" t="s">
        <v>1710</v>
      </c>
      <c r="J239" t="s">
        <v>1077</v>
      </c>
      <c r="K239">
        <v>1975</v>
      </c>
      <c r="L239">
        <v>1975</v>
      </c>
      <c r="M239">
        <v>15</v>
      </c>
      <c r="N239">
        <v>111.667</v>
      </c>
      <c r="O239">
        <v>6.09</v>
      </c>
      <c r="P239">
        <v>297.61</v>
      </c>
      <c r="Q239">
        <v>1.4E-2</v>
      </c>
      <c r="R239" t="s">
        <v>97</v>
      </c>
      <c r="S239" t="s">
        <v>1780</v>
      </c>
      <c r="T239" t="b">
        <v>1</v>
      </c>
      <c r="U239" t="s">
        <v>1781</v>
      </c>
      <c r="V239" t="s">
        <v>408</v>
      </c>
      <c r="W239" t="s">
        <v>1782</v>
      </c>
      <c r="X239" t="s">
        <v>47</v>
      </c>
      <c r="AA239" t="s">
        <v>102</v>
      </c>
      <c r="AB239" t="s">
        <v>308</v>
      </c>
      <c r="AC239" t="s">
        <v>103</v>
      </c>
      <c r="AD239" t="b">
        <v>0</v>
      </c>
      <c r="AF239">
        <v>1</v>
      </c>
      <c r="AG239" t="s">
        <v>104</v>
      </c>
    </row>
    <row r="240" spans="1:33" x14ac:dyDescent="0.2">
      <c r="A240">
        <v>1285</v>
      </c>
      <c r="B240" t="s">
        <v>1783</v>
      </c>
      <c r="C240" t="s">
        <v>34</v>
      </c>
      <c r="D240" t="s">
        <v>35</v>
      </c>
      <c r="E240" t="s">
        <v>1784</v>
      </c>
      <c r="F240" t="s">
        <v>1785</v>
      </c>
      <c r="G240" t="s">
        <v>213</v>
      </c>
      <c r="H240" t="s">
        <v>83</v>
      </c>
      <c r="I240" t="s">
        <v>1786</v>
      </c>
      <c r="J240" t="s">
        <v>49</v>
      </c>
      <c r="K240">
        <v>2006</v>
      </c>
      <c r="L240">
        <v>2006</v>
      </c>
      <c r="M240">
        <v>0.2</v>
      </c>
      <c r="N240">
        <v>0.63400000000000001</v>
      </c>
      <c r="R240" t="s">
        <v>84</v>
      </c>
      <c r="S240" t="s">
        <v>1787</v>
      </c>
      <c r="T240" t="b">
        <v>1</v>
      </c>
      <c r="U240" t="s">
        <v>1788</v>
      </c>
      <c r="V240" t="s">
        <v>1789</v>
      </c>
      <c r="W240" t="s">
        <v>1790</v>
      </c>
      <c r="X240" t="s">
        <v>47</v>
      </c>
      <c r="AA240" t="s">
        <v>1791</v>
      </c>
      <c r="AC240" t="s">
        <v>63</v>
      </c>
      <c r="AD240" t="b">
        <v>0</v>
      </c>
      <c r="AF240">
        <v>4</v>
      </c>
      <c r="AG240" t="s">
        <v>321</v>
      </c>
    </row>
    <row r="241" spans="1:33" x14ac:dyDescent="0.2">
      <c r="A241">
        <v>1136</v>
      </c>
      <c r="B241" t="s">
        <v>1792</v>
      </c>
      <c r="C241" t="s">
        <v>34</v>
      </c>
      <c r="D241" t="s">
        <v>35</v>
      </c>
      <c r="E241" t="s">
        <v>1793</v>
      </c>
      <c r="F241" t="s">
        <v>1794</v>
      </c>
      <c r="G241" t="s">
        <v>312</v>
      </c>
      <c r="H241" t="s">
        <v>313</v>
      </c>
      <c r="I241" t="s">
        <v>493</v>
      </c>
      <c r="J241" t="s">
        <v>409</v>
      </c>
      <c r="K241">
        <v>2000</v>
      </c>
      <c r="L241">
        <v>2000</v>
      </c>
      <c r="M241">
        <v>0.4</v>
      </c>
      <c r="N241">
        <v>1.411</v>
      </c>
      <c r="R241" t="s">
        <v>84</v>
      </c>
      <c r="S241" t="s">
        <v>1795</v>
      </c>
      <c r="T241" t="b">
        <v>1</v>
      </c>
      <c r="U241" t="s">
        <v>754</v>
      </c>
      <c r="V241" t="s">
        <v>1796</v>
      </c>
      <c r="W241" t="s">
        <v>113</v>
      </c>
      <c r="X241" t="s">
        <v>47</v>
      </c>
      <c r="AA241" t="s">
        <v>498</v>
      </c>
      <c r="AC241" t="s">
        <v>499</v>
      </c>
      <c r="AD241" t="b">
        <v>0</v>
      </c>
      <c r="AF241">
        <v>4</v>
      </c>
      <c r="AG241" t="s">
        <v>321</v>
      </c>
    </row>
    <row r="242" spans="1:33" x14ac:dyDescent="0.2">
      <c r="A242">
        <v>1378</v>
      </c>
      <c r="B242" t="s">
        <v>1797</v>
      </c>
      <c r="C242" t="s">
        <v>34</v>
      </c>
      <c r="D242" t="s">
        <v>35</v>
      </c>
      <c r="E242" t="s">
        <v>1492</v>
      </c>
      <c r="F242" t="s">
        <v>1493</v>
      </c>
      <c r="G242" t="s">
        <v>53</v>
      </c>
      <c r="H242" t="s">
        <v>54</v>
      </c>
      <c r="I242" t="s">
        <v>1039</v>
      </c>
      <c r="J242" t="s">
        <v>243</v>
      </c>
      <c r="K242">
        <v>2007</v>
      </c>
      <c r="L242">
        <v>2007</v>
      </c>
      <c r="M242">
        <v>5</v>
      </c>
      <c r="N242">
        <v>18.95</v>
      </c>
      <c r="O242">
        <v>322</v>
      </c>
      <c r="P242">
        <v>1.8</v>
      </c>
      <c r="Q242">
        <v>0.77200000000000002</v>
      </c>
      <c r="R242" t="s">
        <v>72</v>
      </c>
      <c r="S242" t="s">
        <v>1798</v>
      </c>
      <c r="T242" t="b">
        <v>1</v>
      </c>
      <c r="U242" t="s">
        <v>1799</v>
      </c>
      <c r="V242" t="s">
        <v>1496</v>
      </c>
      <c r="W242" t="s">
        <v>1800</v>
      </c>
      <c r="X242" t="s">
        <v>47</v>
      </c>
      <c r="AA242" t="s">
        <v>400</v>
      </c>
      <c r="AB242" t="s">
        <v>192</v>
      </c>
      <c r="AC242" t="s">
        <v>402</v>
      </c>
      <c r="AD242" t="b">
        <v>0</v>
      </c>
      <c r="AF242">
        <v>13</v>
      </c>
      <c r="AG242" t="s">
        <v>155</v>
      </c>
    </row>
    <row r="243" spans="1:33" x14ac:dyDescent="0.2">
      <c r="A243">
        <v>777</v>
      </c>
      <c r="B243" t="s">
        <v>1801</v>
      </c>
      <c r="C243" t="s">
        <v>34</v>
      </c>
      <c r="D243" t="s">
        <v>35</v>
      </c>
      <c r="E243" t="s">
        <v>277</v>
      </c>
      <c r="F243" t="s">
        <v>278</v>
      </c>
      <c r="G243" t="s">
        <v>93</v>
      </c>
      <c r="H243" t="s">
        <v>94</v>
      </c>
      <c r="I243" t="s">
        <v>353</v>
      </c>
      <c r="J243" t="s">
        <v>354</v>
      </c>
      <c r="K243">
        <v>2000</v>
      </c>
      <c r="L243">
        <v>2000</v>
      </c>
      <c r="M243">
        <v>9.6</v>
      </c>
      <c r="N243">
        <v>55.207000000000001</v>
      </c>
      <c r="O243">
        <v>12.5</v>
      </c>
      <c r="P243">
        <v>85</v>
      </c>
      <c r="Q243">
        <v>3.1E-2</v>
      </c>
      <c r="R243" t="s">
        <v>97</v>
      </c>
      <c r="S243" t="s">
        <v>1802</v>
      </c>
      <c r="T243" t="b">
        <v>1</v>
      </c>
      <c r="U243" t="s">
        <v>1803</v>
      </c>
      <c r="V243" t="s">
        <v>389</v>
      </c>
      <c r="W243" t="s">
        <v>1804</v>
      </c>
      <c r="X243" t="s">
        <v>47</v>
      </c>
      <c r="AA243" t="s">
        <v>102</v>
      </c>
      <c r="AB243" t="s">
        <v>515</v>
      </c>
      <c r="AC243" t="s">
        <v>103</v>
      </c>
      <c r="AD243" t="b">
        <v>0</v>
      </c>
      <c r="AF243">
        <v>1</v>
      </c>
      <c r="AG243" t="s">
        <v>104</v>
      </c>
    </row>
    <row r="244" spans="1:33" x14ac:dyDescent="0.2">
      <c r="A244">
        <v>1553</v>
      </c>
      <c r="B244" t="s">
        <v>1805</v>
      </c>
      <c r="C244" t="s">
        <v>34</v>
      </c>
      <c r="D244" t="s">
        <v>35</v>
      </c>
      <c r="E244" t="s">
        <v>1806</v>
      </c>
      <c r="F244" t="s">
        <v>1807</v>
      </c>
      <c r="G244" t="s">
        <v>53</v>
      </c>
      <c r="H244" t="s">
        <v>54</v>
      </c>
      <c r="I244" t="s">
        <v>1808</v>
      </c>
      <c r="J244" t="s">
        <v>69</v>
      </c>
      <c r="K244">
        <v>2008</v>
      </c>
      <c r="L244">
        <v>2008</v>
      </c>
      <c r="M244">
        <v>0.09</v>
      </c>
      <c r="N244">
        <v>0.28599999999999998</v>
      </c>
      <c r="O244">
        <v>210</v>
      </c>
      <c r="P244">
        <v>5.1999999999999998E-2</v>
      </c>
      <c r="Q244">
        <v>0.48099999999999998</v>
      </c>
      <c r="R244" t="s">
        <v>84</v>
      </c>
      <c r="S244" t="s">
        <v>1809</v>
      </c>
      <c r="T244" t="b">
        <v>1</v>
      </c>
      <c r="U244" t="s">
        <v>1810</v>
      </c>
      <c r="V244" t="s">
        <v>1811</v>
      </c>
      <c r="W244" t="s">
        <v>1812</v>
      </c>
      <c r="X244" t="s">
        <v>47</v>
      </c>
      <c r="AA244" t="s">
        <v>114</v>
      </c>
      <c r="AC244" t="s">
        <v>63</v>
      </c>
      <c r="AD244" t="b">
        <v>0</v>
      </c>
      <c r="AF244">
        <v>5</v>
      </c>
      <c r="AG244" t="s">
        <v>89</v>
      </c>
    </row>
    <row r="245" spans="1:33" x14ac:dyDescent="0.2">
      <c r="A245">
        <v>68</v>
      </c>
      <c r="B245" t="s">
        <v>1813</v>
      </c>
      <c r="C245" t="s">
        <v>34</v>
      </c>
      <c r="D245" t="s">
        <v>35</v>
      </c>
      <c r="E245" t="s">
        <v>1814</v>
      </c>
      <c r="F245" t="s">
        <v>1815</v>
      </c>
      <c r="G245" t="s">
        <v>93</v>
      </c>
      <c r="H245" t="s">
        <v>94</v>
      </c>
      <c r="I245" t="s">
        <v>569</v>
      </c>
      <c r="J245" t="s">
        <v>245</v>
      </c>
      <c r="K245">
        <v>1983</v>
      </c>
      <c r="L245">
        <v>1983</v>
      </c>
      <c r="M245">
        <v>13.2</v>
      </c>
      <c r="N245">
        <v>32.396000000000001</v>
      </c>
      <c r="O245">
        <v>18.89</v>
      </c>
      <c r="P245">
        <v>93.83</v>
      </c>
      <c r="Q245">
        <v>3.9E-2</v>
      </c>
      <c r="R245" t="s">
        <v>72</v>
      </c>
      <c r="S245" t="s">
        <v>1816</v>
      </c>
      <c r="T245" t="b">
        <v>1</v>
      </c>
      <c r="U245" t="s">
        <v>1817</v>
      </c>
      <c r="V245" t="s">
        <v>1818</v>
      </c>
      <c r="W245" t="s">
        <v>1819</v>
      </c>
      <c r="X245" t="s">
        <v>47</v>
      </c>
      <c r="AA245" t="s">
        <v>340</v>
      </c>
      <c r="AB245" t="s">
        <v>280</v>
      </c>
      <c r="AC245" t="s">
        <v>1063</v>
      </c>
      <c r="AD245" t="b">
        <v>0</v>
      </c>
      <c r="AF245">
        <v>8</v>
      </c>
      <c r="AG245" t="s">
        <v>78</v>
      </c>
    </row>
    <row r="246" spans="1:33" x14ac:dyDescent="0.2">
      <c r="A246">
        <v>69</v>
      </c>
      <c r="B246" t="s">
        <v>1820</v>
      </c>
      <c r="C246" t="s">
        <v>34</v>
      </c>
      <c r="D246" t="s">
        <v>35</v>
      </c>
      <c r="E246" t="s">
        <v>1821</v>
      </c>
      <c r="F246" t="s">
        <v>1822</v>
      </c>
      <c r="G246" t="s">
        <v>53</v>
      </c>
      <c r="H246" t="s">
        <v>54</v>
      </c>
      <c r="I246" t="s">
        <v>325</v>
      </c>
      <c r="J246" t="s">
        <v>135</v>
      </c>
      <c r="K246">
        <v>1954</v>
      </c>
      <c r="L246">
        <v>1954</v>
      </c>
      <c r="M246">
        <v>3.8</v>
      </c>
      <c r="N246">
        <v>11.88</v>
      </c>
      <c r="O246">
        <v>70</v>
      </c>
      <c r="P246">
        <v>6.8</v>
      </c>
      <c r="Q246">
        <v>0.155</v>
      </c>
      <c r="R246" t="s">
        <v>57</v>
      </c>
      <c r="S246" t="s">
        <v>1823</v>
      </c>
      <c r="T246" t="b">
        <v>1</v>
      </c>
      <c r="U246" t="s">
        <v>173</v>
      </c>
      <c r="V246" t="s">
        <v>1824</v>
      </c>
      <c r="W246" t="s">
        <v>1825</v>
      </c>
      <c r="X246" t="s">
        <v>47</v>
      </c>
      <c r="AA246" t="s">
        <v>991</v>
      </c>
      <c r="AB246" t="s">
        <v>49</v>
      </c>
      <c r="AC246" t="s">
        <v>992</v>
      </c>
      <c r="AD246" t="b">
        <v>0</v>
      </c>
      <c r="AF246">
        <v>6</v>
      </c>
      <c r="AG246" t="s">
        <v>64</v>
      </c>
    </row>
    <row r="247" spans="1:33" x14ac:dyDescent="0.2">
      <c r="A247">
        <v>70</v>
      </c>
      <c r="B247" t="s">
        <v>1826</v>
      </c>
      <c r="C247" t="s">
        <v>34</v>
      </c>
      <c r="D247" t="s">
        <v>35</v>
      </c>
      <c r="E247" t="s">
        <v>91</v>
      </c>
      <c r="F247" t="s">
        <v>92</v>
      </c>
      <c r="G247" t="s">
        <v>503</v>
      </c>
      <c r="H247" t="s">
        <v>462</v>
      </c>
      <c r="I247" t="s">
        <v>578</v>
      </c>
      <c r="J247" t="s">
        <v>308</v>
      </c>
      <c r="K247">
        <v>1960</v>
      </c>
      <c r="L247">
        <v>1960</v>
      </c>
      <c r="M247">
        <v>2.2999999999999998</v>
      </c>
      <c r="N247">
        <v>15.945</v>
      </c>
      <c r="O247">
        <v>5.0199999999999996</v>
      </c>
      <c r="P247">
        <v>60</v>
      </c>
      <c r="Q247">
        <v>1.06E-2</v>
      </c>
      <c r="R247" t="s">
        <v>84</v>
      </c>
      <c r="S247" t="s">
        <v>1827</v>
      </c>
      <c r="T247" t="b">
        <v>1</v>
      </c>
      <c r="U247" t="s">
        <v>1828</v>
      </c>
      <c r="V247" t="s">
        <v>100</v>
      </c>
      <c r="W247" t="s">
        <v>1829</v>
      </c>
      <c r="X247" t="s">
        <v>47</v>
      </c>
      <c r="AA247" t="s">
        <v>583</v>
      </c>
      <c r="AB247" t="s">
        <v>49</v>
      </c>
      <c r="AC247" t="s">
        <v>585</v>
      </c>
      <c r="AD247" t="b">
        <v>0</v>
      </c>
      <c r="AF247">
        <v>3</v>
      </c>
      <c r="AG247" t="s">
        <v>332</v>
      </c>
    </row>
    <row r="248" spans="1:33" x14ac:dyDescent="0.2">
      <c r="A248">
        <v>1224</v>
      </c>
      <c r="B248" t="s">
        <v>1830</v>
      </c>
      <c r="C248" t="s">
        <v>34</v>
      </c>
      <c r="D248" t="s">
        <v>35</v>
      </c>
      <c r="E248" t="s">
        <v>1831</v>
      </c>
      <c r="F248" t="s">
        <v>1832</v>
      </c>
      <c r="G248" t="s">
        <v>68</v>
      </c>
      <c r="H248" t="s">
        <v>69</v>
      </c>
      <c r="I248" t="s">
        <v>1741</v>
      </c>
      <c r="J248" t="s">
        <v>1742</v>
      </c>
      <c r="K248">
        <v>2006</v>
      </c>
      <c r="L248">
        <v>2006</v>
      </c>
      <c r="M248">
        <v>6.085</v>
      </c>
      <c r="N248">
        <v>23.629000000000001</v>
      </c>
      <c r="O248">
        <v>196</v>
      </c>
      <c r="P248">
        <v>3.59</v>
      </c>
      <c r="Q248">
        <v>0.47099999999999997</v>
      </c>
      <c r="R248" t="s">
        <v>72</v>
      </c>
      <c r="S248" t="s">
        <v>1833</v>
      </c>
      <c r="T248" t="b">
        <v>1</v>
      </c>
      <c r="U248" t="s">
        <v>795</v>
      </c>
      <c r="V248" t="s">
        <v>1834</v>
      </c>
      <c r="W248" t="s">
        <v>1835</v>
      </c>
      <c r="X248" t="s">
        <v>47</v>
      </c>
      <c r="AA248" t="s">
        <v>1836</v>
      </c>
      <c r="AB248" t="s">
        <v>49</v>
      </c>
      <c r="AC248" t="s">
        <v>1837</v>
      </c>
      <c r="AD248" t="b">
        <v>0</v>
      </c>
      <c r="AF248">
        <v>8</v>
      </c>
      <c r="AG248" t="s">
        <v>78</v>
      </c>
    </row>
    <row r="249" spans="1:33" x14ac:dyDescent="0.2">
      <c r="A249">
        <v>1453</v>
      </c>
      <c r="B249" t="s">
        <v>1838</v>
      </c>
      <c r="C249" t="s">
        <v>34</v>
      </c>
      <c r="D249" t="s">
        <v>35</v>
      </c>
      <c r="E249" t="s">
        <v>168</v>
      </c>
      <c r="F249" t="s">
        <v>169</v>
      </c>
      <c r="G249" t="s">
        <v>68</v>
      </c>
      <c r="H249" t="s">
        <v>69</v>
      </c>
      <c r="I249" t="s">
        <v>1458</v>
      </c>
      <c r="J249" t="s">
        <v>1459</v>
      </c>
      <c r="K249">
        <v>2011</v>
      </c>
      <c r="L249">
        <v>2011</v>
      </c>
      <c r="M249">
        <v>1.8</v>
      </c>
      <c r="N249">
        <v>4.8780000000000001</v>
      </c>
      <c r="O249">
        <v>390</v>
      </c>
      <c r="P249">
        <v>0.55000000000000004</v>
      </c>
      <c r="Q249">
        <v>0.90900000000000003</v>
      </c>
      <c r="R249" t="s">
        <v>72</v>
      </c>
      <c r="S249" t="s">
        <v>1839</v>
      </c>
      <c r="T249" t="b">
        <v>1</v>
      </c>
      <c r="U249" t="s">
        <v>1840</v>
      </c>
      <c r="V249" t="s">
        <v>174</v>
      </c>
      <c r="W249" t="s">
        <v>1841</v>
      </c>
      <c r="X249" t="s">
        <v>47</v>
      </c>
      <c r="AA249" t="s">
        <v>114</v>
      </c>
      <c r="AB249" t="s">
        <v>49</v>
      </c>
      <c r="AC249" t="s">
        <v>1842</v>
      </c>
      <c r="AD249" t="b">
        <v>0</v>
      </c>
      <c r="AF249">
        <v>13</v>
      </c>
      <c r="AG249" t="s">
        <v>155</v>
      </c>
    </row>
    <row r="250" spans="1:33" x14ac:dyDescent="0.2">
      <c r="A250">
        <v>72</v>
      </c>
      <c r="B250" t="s">
        <v>1843</v>
      </c>
      <c r="C250" t="s">
        <v>34</v>
      </c>
      <c r="D250" t="s">
        <v>35</v>
      </c>
      <c r="E250" t="s">
        <v>1844</v>
      </c>
      <c r="F250" t="s">
        <v>1845</v>
      </c>
      <c r="G250" t="s">
        <v>503</v>
      </c>
      <c r="H250" t="s">
        <v>462</v>
      </c>
      <c r="I250" t="s">
        <v>1846</v>
      </c>
      <c r="J250" t="s">
        <v>135</v>
      </c>
      <c r="K250">
        <v>1964</v>
      </c>
      <c r="L250">
        <v>1964</v>
      </c>
      <c r="M250">
        <v>15</v>
      </c>
      <c r="N250">
        <v>79.861000000000004</v>
      </c>
      <c r="O250">
        <v>10</v>
      </c>
      <c r="P250">
        <v>166.66</v>
      </c>
      <c r="Q250">
        <v>2.5000000000000001E-2</v>
      </c>
      <c r="R250" t="s">
        <v>84</v>
      </c>
      <c r="S250" t="s">
        <v>1847</v>
      </c>
      <c r="T250" t="b">
        <v>1</v>
      </c>
      <c r="U250" t="s">
        <v>1848</v>
      </c>
      <c r="V250" t="s">
        <v>1849</v>
      </c>
      <c r="W250" t="s">
        <v>1850</v>
      </c>
      <c r="X250" t="s">
        <v>47</v>
      </c>
      <c r="AA250" t="s">
        <v>583</v>
      </c>
      <c r="AB250" t="s">
        <v>1131</v>
      </c>
      <c r="AC250" t="s">
        <v>585</v>
      </c>
      <c r="AD250" t="b">
        <v>0</v>
      </c>
      <c r="AF250">
        <v>3</v>
      </c>
      <c r="AG250" t="s">
        <v>332</v>
      </c>
    </row>
    <row r="251" spans="1:33" x14ac:dyDescent="0.2">
      <c r="A251">
        <v>73</v>
      </c>
      <c r="B251" t="s">
        <v>1843</v>
      </c>
      <c r="C251" t="s">
        <v>34</v>
      </c>
      <c r="D251" t="s">
        <v>35</v>
      </c>
      <c r="E251" t="s">
        <v>1851</v>
      </c>
      <c r="F251" t="s">
        <v>1852</v>
      </c>
      <c r="G251" t="s">
        <v>93</v>
      </c>
      <c r="H251" t="s">
        <v>94</v>
      </c>
      <c r="I251" t="s">
        <v>95</v>
      </c>
      <c r="J251" t="s">
        <v>96</v>
      </c>
      <c r="K251">
        <v>1956</v>
      </c>
      <c r="L251">
        <v>1956</v>
      </c>
      <c r="M251">
        <v>4.0999999999999996</v>
      </c>
      <c r="N251">
        <v>19.498000000000001</v>
      </c>
      <c r="O251">
        <v>49</v>
      </c>
      <c r="P251">
        <v>10.85</v>
      </c>
      <c r="Q251">
        <v>0.104</v>
      </c>
      <c r="R251" t="s">
        <v>97</v>
      </c>
      <c r="S251" t="s">
        <v>1853</v>
      </c>
      <c r="T251" t="b">
        <v>1</v>
      </c>
      <c r="U251" t="s">
        <v>1854</v>
      </c>
      <c r="V251" t="s">
        <v>1855</v>
      </c>
      <c r="W251" t="s">
        <v>1856</v>
      </c>
      <c r="X251" t="s">
        <v>47</v>
      </c>
      <c r="AA251" t="s">
        <v>102</v>
      </c>
      <c r="AB251" t="s">
        <v>256</v>
      </c>
      <c r="AC251" t="s">
        <v>103</v>
      </c>
      <c r="AD251" t="b">
        <v>0</v>
      </c>
      <c r="AF251">
        <v>1</v>
      </c>
      <c r="AG251" t="s">
        <v>104</v>
      </c>
    </row>
    <row r="252" spans="1:33" x14ac:dyDescent="0.2">
      <c r="A252">
        <v>1120</v>
      </c>
      <c r="B252" t="s">
        <v>1843</v>
      </c>
      <c r="C252" t="s">
        <v>34</v>
      </c>
      <c r="D252" t="s">
        <v>35</v>
      </c>
      <c r="E252" t="s">
        <v>1857</v>
      </c>
      <c r="F252" t="s">
        <v>1858</v>
      </c>
      <c r="G252" t="s">
        <v>1859</v>
      </c>
      <c r="H252" t="s">
        <v>203</v>
      </c>
      <c r="I252" t="s">
        <v>1860</v>
      </c>
      <c r="J252" t="s">
        <v>308</v>
      </c>
      <c r="K252">
        <v>1903</v>
      </c>
      <c r="L252">
        <v>1903</v>
      </c>
      <c r="M252">
        <v>0.9</v>
      </c>
      <c r="N252">
        <v>3.1739999999999999</v>
      </c>
      <c r="R252" t="s">
        <v>84</v>
      </c>
      <c r="S252" t="s">
        <v>1861</v>
      </c>
      <c r="T252" t="b">
        <v>1</v>
      </c>
      <c r="U252" t="s">
        <v>1862</v>
      </c>
      <c r="V252" t="s">
        <v>1863</v>
      </c>
      <c r="W252" t="s">
        <v>1864</v>
      </c>
      <c r="X252" t="s">
        <v>47</v>
      </c>
      <c r="AA252" t="s">
        <v>102</v>
      </c>
      <c r="AC252" t="s">
        <v>103</v>
      </c>
      <c r="AD252" t="b">
        <v>0</v>
      </c>
      <c r="AF252">
        <v>3</v>
      </c>
      <c r="AG252" t="s">
        <v>332</v>
      </c>
    </row>
    <row r="253" spans="1:33" x14ac:dyDescent="0.2">
      <c r="A253">
        <v>71</v>
      </c>
      <c r="B253" t="s">
        <v>1865</v>
      </c>
      <c r="C253" t="s">
        <v>34</v>
      </c>
      <c r="D253" t="s">
        <v>35</v>
      </c>
      <c r="E253" t="s">
        <v>1866</v>
      </c>
      <c r="F253" t="s">
        <v>1867</v>
      </c>
      <c r="G253" t="s">
        <v>53</v>
      </c>
      <c r="H253" t="s">
        <v>54</v>
      </c>
      <c r="I253" t="s">
        <v>1039</v>
      </c>
      <c r="J253" t="s">
        <v>243</v>
      </c>
      <c r="K253">
        <v>1917</v>
      </c>
      <c r="L253">
        <v>1949</v>
      </c>
      <c r="M253">
        <v>9.94</v>
      </c>
      <c r="N253">
        <v>62.677</v>
      </c>
      <c r="O253">
        <v>33.799999999999997</v>
      </c>
      <c r="P253">
        <v>34.5</v>
      </c>
      <c r="Q253">
        <v>7.9000000000000001E-2</v>
      </c>
      <c r="R253" t="s">
        <v>72</v>
      </c>
      <c r="S253" t="s">
        <v>1868</v>
      </c>
      <c r="T253" t="b">
        <v>1</v>
      </c>
      <c r="U253" t="s">
        <v>1869</v>
      </c>
      <c r="V253" t="s">
        <v>1870</v>
      </c>
      <c r="W253" t="s">
        <v>1871</v>
      </c>
      <c r="X253" t="s">
        <v>47</v>
      </c>
      <c r="AA253" t="s">
        <v>400</v>
      </c>
      <c r="AB253" t="s">
        <v>49</v>
      </c>
      <c r="AC253" t="s">
        <v>402</v>
      </c>
      <c r="AD253" t="b">
        <v>0</v>
      </c>
      <c r="AF253">
        <v>13</v>
      </c>
      <c r="AG253" t="s">
        <v>155</v>
      </c>
    </row>
    <row r="254" spans="1:33" x14ac:dyDescent="0.2">
      <c r="A254">
        <v>1828</v>
      </c>
      <c r="B254" t="s">
        <v>1872</v>
      </c>
      <c r="C254" t="s">
        <v>34</v>
      </c>
      <c r="D254" t="s">
        <v>35</v>
      </c>
      <c r="E254" t="s">
        <v>1873</v>
      </c>
      <c r="F254" t="s">
        <v>1874</v>
      </c>
      <c r="G254" t="s">
        <v>53</v>
      </c>
      <c r="H254" t="s">
        <v>54</v>
      </c>
      <c r="I254" t="s">
        <v>170</v>
      </c>
      <c r="J254" t="s">
        <v>171</v>
      </c>
      <c r="K254">
        <v>2015</v>
      </c>
      <c r="L254">
        <v>2015</v>
      </c>
      <c r="M254">
        <v>0.46</v>
      </c>
      <c r="N254">
        <v>2.0190000000000001</v>
      </c>
      <c r="O254">
        <v>123</v>
      </c>
      <c r="P254">
        <v>0.42</v>
      </c>
      <c r="Q254">
        <v>0.30399999999999999</v>
      </c>
      <c r="R254" t="s">
        <v>57</v>
      </c>
      <c r="S254" t="s">
        <v>1875</v>
      </c>
      <c r="T254" t="b">
        <v>1</v>
      </c>
      <c r="U254" t="s">
        <v>1876</v>
      </c>
      <c r="V254" t="s">
        <v>1877</v>
      </c>
      <c r="W254" t="s">
        <v>1878</v>
      </c>
      <c r="X254" t="s">
        <v>47</v>
      </c>
      <c r="AA254" t="s">
        <v>949</v>
      </c>
      <c r="AC254" t="s">
        <v>950</v>
      </c>
      <c r="AD254" t="b">
        <v>0</v>
      </c>
      <c r="AF254">
        <v>6</v>
      </c>
      <c r="AG254" t="s">
        <v>64</v>
      </c>
    </row>
    <row r="255" spans="1:33" x14ac:dyDescent="0.2">
      <c r="A255">
        <v>1964</v>
      </c>
      <c r="B255" t="s">
        <v>1879</v>
      </c>
      <c r="C255" t="s">
        <v>34</v>
      </c>
      <c r="D255" t="s">
        <v>35</v>
      </c>
      <c r="E255" t="s">
        <v>1873</v>
      </c>
      <c r="F255" t="s">
        <v>1874</v>
      </c>
      <c r="G255" t="s">
        <v>53</v>
      </c>
      <c r="H255" t="s">
        <v>54</v>
      </c>
      <c r="I255" t="s">
        <v>170</v>
      </c>
      <c r="J255" t="s">
        <v>171</v>
      </c>
      <c r="K255">
        <v>2019</v>
      </c>
      <c r="L255">
        <v>2019</v>
      </c>
      <c r="M255">
        <v>0.63</v>
      </c>
      <c r="N255">
        <v>1.3120000000000001</v>
      </c>
      <c r="O255">
        <v>243</v>
      </c>
      <c r="P255">
        <v>0.32</v>
      </c>
      <c r="Q255">
        <v>0.54700000000000004</v>
      </c>
      <c r="R255" t="s">
        <v>57</v>
      </c>
      <c r="S255" t="s">
        <v>1875</v>
      </c>
      <c r="T255" t="b">
        <v>1</v>
      </c>
      <c r="U255" t="s">
        <v>1880</v>
      </c>
      <c r="V255" t="s">
        <v>1877</v>
      </c>
      <c r="W255" t="s">
        <v>1881</v>
      </c>
      <c r="X255" t="s">
        <v>47</v>
      </c>
      <c r="AA255" t="s">
        <v>949</v>
      </c>
      <c r="AC255" t="s">
        <v>950</v>
      </c>
      <c r="AD255" t="b">
        <v>0</v>
      </c>
      <c r="AF255">
        <v>6</v>
      </c>
      <c r="AG255" t="s">
        <v>64</v>
      </c>
    </row>
    <row r="256" spans="1:33" x14ac:dyDescent="0.2">
      <c r="A256">
        <v>864</v>
      </c>
      <c r="B256" t="s">
        <v>1882</v>
      </c>
      <c r="C256" t="s">
        <v>34</v>
      </c>
      <c r="D256" t="s">
        <v>35</v>
      </c>
      <c r="G256" t="s">
        <v>68</v>
      </c>
      <c r="H256" t="s">
        <v>69</v>
      </c>
      <c r="I256" t="s">
        <v>453</v>
      </c>
      <c r="J256" t="s">
        <v>192</v>
      </c>
      <c r="K256">
        <v>1986</v>
      </c>
      <c r="L256">
        <v>1986</v>
      </c>
      <c r="M256">
        <v>3.2000000000000001E-2</v>
      </c>
      <c r="N256">
        <v>8.8999999999999996E-2</v>
      </c>
      <c r="R256" t="s">
        <v>72</v>
      </c>
      <c r="S256" t="s">
        <v>1883</v>
      </c>
      <c r="T256" t="b">
        <v>1</v>
      </c>
      <c r="U256" t="s">
        <v>1884</v>
      </c>
      <c r="V256" t="s">
        <v>274</v>
      </c>
      <c r="W256" t="s">
        <v>113</v>
      </c>
      <c r="X256" t="s">
        <v>47</v>
      </c>
      <c r="AA256" t="s">
        <v>1885</v>
      </c>
      <c r="AC256" t="s">
        <v>1886</v>
      </c>
      <c r="AD256" t="b">
        <v>0</v>
      </c>
      <c r="AF256">
        <v>8</v>
      </c>
      <c r="AG256" t="s">
        <v>78</v>
      </c>
    </row>
    <row r="257" spans="1:33" x14ac:dyDescent="0.2">
      <c r="A257">
        <v>74</v>
      </c>
      <c r="B257" t="s">
        <v>1887</v>
      </c>
      <c r="C257" t="s">
        <v>34</v>
      </c>
      <c r="D257" t="s">
        <v>35</v>
      </c>
      <c r="E257" t="s">
        <v>818</v>
      </c>
      <c r="F257" t="s">
        <v>819</v>
      </c>
      <c r="G257" t="s">
        <v>53</v>
      </c>
      <c r="H257" t="s">
        <v>54</v>
      </c>
      <c r="I257" t="s">
        <v>235</v>
      </c>
      <c r="J257" t="s">
        <v>41</v>
      </c>
      <c r="K257">
        <v>1986</v>
      </c>
      <c r="L257">
        <v>1986</v>
      </c>
      <c r="M257">
        <v>30</v>
      </c>
      <c r="N257">
        <v>94.992000000000004</v>
      </c>
      <c r="O257">
        <v>500</v>
      </c>
      <c r="P257">
        <v>7.2</v>
      </c>
      <c r="Q257">
        <v>1.1499999999999999</v>
      </c>
      <c r="R257" t="s">
        <v>84</v>
      </c>
      <c r="S257" t="s">
        <v>1888</v>
      </c>
      <c r="T257" t="b">
        <v>1</v>
      </c>
      <c r="U257" t="s">
        <v>1889</v>
      </c>
      <c r="V257" t="s">
        <v>822</v>
      </c>
      <c r="W257" t="s">
        <v>1890</v>
      </c>
      <c r="X257" t="s">
        <v>47</v>
      </c>
      <c r="AA257" t="s">
        <v>1891</v>
      </c>
      <c r="AB257" t="s">
        <v>49</v>
      </c>
      <c r="AC257" t="s">
        <v>1892</v>
      </c>
      <c r="AD257" t="b">
        <v>0</v>
      </c>
      <c r="AF257">
        <v>5</v>
      </c>
      <c r="AG257" t="s">
        <v>89</v>
      </c>
    </row>
    <row r="258" spans="1:33" x14ac:dyDescent="0.2">
      <c r="A258">
        <v>2078</v>
      </c>
      <c r="B258" t="s">
        <v>1893</v>
      </c>
      <c r="C258" t="s">
        <v>34</v>
      </c>
      <c r="D258" t="s">
        <v>35</v>
      </c>
      <c r="E258" t="s">
        <v>1492</v>
      </c>
      <c r="F258" t="s">
        <v>1493</v>
      </c>
      <c r="G258" t="s">
        <v>53</v>
      </c>
      <c r="H258" t="s">
        <v>54</v>
      </c>
      <c r="I258" t="s">
        <v>170</v>
      </c>
      <c r="J258" t="s">
        <v>171</v>
      </c>
      <c r="K258">
        <v>2023</v>
      </c>
      <c r="L258">
        <v>2023</v>
      </c>
      <c r="M258">
        <v>3.81</v>
      </c>
      <c r="N258">
        <v>11.9</v>
      </c>
      <c r="O258">
        <v>489.97</v>
      </c>
      <c r="P258">
        <v>0.94</v>
      </c>
      <c r="Q258">
        <v>1.1259999999999999</v>
      </c>
      <c r="R258" t="s">
        <v>57</v>
      </c>
      <c r="S258" t="s">
        <v>1894</v>
      </c>
      <c r="T258" t="b">
        <v>1</v>
      </c>
      <c r="U258" t="s">
        <v>1895</v>
      </c>
      <c r="V258" t="s">
        <v>1496</v>
      </c>
      <c r="W258" t="s">
        <v>1896</v>
      </c>
      <c r="X258" t="s">
        <v>47</v>
      </c>
      <c r="AA258" t="s">
        <v>949</v>
      </c>
      <c r="AB258" t="s">
        <v>83</v>
      </c>
      <c r="AC258" t="s">
        <v>950</v>
      </c>
      <c r="AD258" t="b">
        <v>0</v>
      </c>
      <c r="AF258">
        <v>6</v>
      </c>
      <c r="AG258" t="s">
        <v>64</v>
      </c>
    </row>
    <row r="259" spans="1:33" x14ac:dyDescent="0.2">
      <c r="A259">
        <v>2146</v>
      </c>
      <c r="B259" t="s">
        <v>1893</v>
      </c>
      <c r="C259" t="s">
        <v>34</v>
      </c>
      <c r="D259" t="s">
        <v>35</v>
      </c>
      <c r="E259" t="s">
        <v>757</v>
      </c>
      <c r="F259" t="s">
        <v>758</v>
      </c>
      <c r="G259" t="s">
        <v>53</v>
      </c>
      <c r="H259" t="s">
        <v>54</v>
      </c>
      <c r="I259" t="s">
        <v>82</v>
      </c>
      <c r="J259" t="s">
        <v>83</v>
      </c>
      <c r="K259">
        <v>2025</v>
      </c>
      <c r="L259">
        <v>2025</v>
      </c>
      <c r="M259">
        <v>3.01</v>
      </c>
      <c r="N259">
        <v>11</v>
      </c>
      <c r="O259">
        <v>152</v>
      </c>
      <c r="P259">
        <v>2.42</v>
      </c>
      <c r="Q259">
        <v>0.34599999999999997</v>
      </c>
      <c r="R259" t="s">
        <v>84</v>
      </c>
      <c r="S259" t="s">
        <v>1897</v>
      </c>
      <c r="T259" t="b">
        <v>1</v>
      </c>
      <c r="U259" t="s">
        <v>1898</v>
      </c>
      <c r="V259" t="s">
        <v>761</v>
      </c>
      <c r="W259" t="s">
        <v>1899</v>
      </c>
      <c r="X259" t="s">
        <v>47</v>
      </c>
      <c r="AA259" t="s">
        <v>1900</v>
      </c>
      <c r="AB259" t="s">
        <v>177</v>
      </c>
      <c r="AC259" t="s">
        <v>1901</v>
      </c>
      <c r="AD259" t="b">
        <v>0</v>
      </c>
      <c r="AF259">
        <v>5</v>
      </c>
      <c r="AG259" t="s">
        <v>89</v>
      </c>
    </row>
    <row r="260" spans="1:33" x14ac:dyDescent="0.2">
      <c r="A260">
        <v>915</v>
      </c>
      <c r="B260" t="s">
        <v>1902</v>
      </c>
      <c r="C260" t="s">
        <v>34</v>
      </c>
      <c r="D260" t="s">
        <v>35</v>
      </c>
      <c r="G260" t="s">
        <v>53</v>
      </c>
      <c r="H260" t="s">
        <v>54</v>
      </c>
      <c r="I260" t="s">
        <v>55</v>
      </c>
      <c r="J260" t="s">
        <v>56</v>
      </c>
      <c r="K260">
        <v>2002</v>
      </c>
      <c r="L260">
        <v>2002</v>
      </c>
      <c r="M260">
        <v>1.9E-2</v>
      </c>
      <c r="N260">
        <v>0.112</v>
      </c>
      <c r="R260" t="s">
        <v>57</v>
      </c>
      <c r="S260" t="s">
        <v>1903</v>
      </c>
      <c r="T260" t="b">
        <v>1</v>
      </c>
      <c r="U260" t="s">
        <v>247</v>
      </c>
      <c r="V260" t="s">
        <v>274</v>
      </c>
      <c r="W260" t="s">
        <v>1904</v>
      </c>
      <c r="X260" t="s">
        <v>47</v>
      </c>
      <c r="AA260" t="s">
        <v>741</v>
      </c>
      <c r="AC260" t="s">
        <v>742</v>
      </c>
      <c r="AD260" t="b">
        <v>0</v>
      </c>
      <c r="AF260">
        <v>6</v>
      </c>
      <c r="AG260" t="s">
        <v>64</v>
      </c>
    </row>
    <row r="261" spans="1:33" x14ac:dyDescent="0.2">
      <c r="A261">
        <v>2059</v>
      </c>
      <c r="B261" t="s">
        <v>1905</v>
      </c>
      <c r="C261" t="s">
        <v>34</v>
      </c>
      <c r="D261" t="s">
        <v>35</v>
      </c>
      <c r="E261" t="s">
        <v>1906</v>
      </c>
      <c r="F261" t="s">
        <v>1907</v>
      </c>
      <c r="G261" t="s">
        <v>53</v>
      </c>
      <c r="H261" t="s">
        <v>54</v>
      </c>
      <c r="I261" t="s">
        <v>325</v>
      </c>
      <c r="J261" t="s">
        <v>135</v>
      </c>
      <c r="K261">
        <v>2023</v>
      </c>
      <c r="L261">
        <v>2023</v>
      </c>
      <c r="M261">
        <v>2.8</v>
      </c>
      <c r="N261">
        <v>8.6999999999999993</v>
      </c>
      <c r="O261">
        <v>174.95</v>
      </c>
      <c r="P261">
        <v>1.85</v>
      </c>
      <c r="Q261">
        <v>0.42</v>
      </c>
      <c r="R261" t="s">
        <v>84</v>
      </c>
      <c r="S261" t="s">
        <v>1908</v>
      </c>
      <c r="T261" t="b">
        <v>1</v>
      </c>
      <c r="U261" t="s">
        <v>1909</v>
      </c>
      <c r="V261" t="s">
        <v>1910</v>
      </c>
      <c r="W261" t="s">
        <v>1911</v>
      </c>
      <c r="X261" t="s">
        <v>47</v>
      </c>
      <c r="AA261" t="s">
        <v>958</v>
      </c>
      <c r="AC261" t="s">
        <v>959</v>
      </c>
      <c r="AD261" t="b">
        <v>0</v>
      </c>
      <c r="AF261">
        <v>3</v>
      </c>
      <c r="AG261" t="s">
        <v>332</v>
      </c>
    </row>
    <row r="262" spans="1:33" x14ac:dyDescent="0.2">
      <c r="A262">
        <v>75</v>
      </c>
      <c r="B262" t="s">
        <v>1912</v>
      </c>
      <c r="C262" t="s">
        <v>34</v>
      </c>
      <c r="D262" t="s">
        <v>35</v>
      </c>
      <c r="E262" t="s">
        <v>1913</v>
      </c>
      <c r="F262" t="s">
        <v>1914</v>
      </c>
      <c r="G262" t="s">
        <v>93</v>
      </c>
      <c r="H262" t="s">
        <v>94</v>
      </c>
      <c r="I262" t="s">
        <v>1915</v>
      </c>
      <c r="J262" t="s">
        <v>1242</v>
      </c>
      <c r="K262">
        <v>1955</v>
      </c>
      <c r="L262">
        <v>2019</v>
      </c>
      <c r="M262">
        <v>9</v>
      </c>
      <c r="N262">
        <v>56.500999999999998</v>
      </c>
      <c r="O262">
        <v>123</v>
      </c>
      <c r="P262">
        <v>9.6</v>
      </c>
      <c r="Q262">
        <v>0.26</v>
      </c>
      <c r="R262" t="s">
        <v>97</v>
      </c>
      <c r="S262" t="s">
        <v>1916</v>
      </c>
      <c r="T262" t="b">
        <v>1</v>
      </c>
      <c r="U262" t="s">
        <v>1917</v>
      </c>
      <c r="V262" t="s">
        <v>1918</v>
      </c>
      <c r="W262" t="s">
        <v>1919</v>
      </c>
      <c r="X262" t="s">
        <v>47</v>
      </c>
      <c r="AA262" t="s">
        <v>340</v>
      </c>
      <c r="AB262" t="s">
        <v>1742</v>
      </c>
      <c r="AC262" t="s">
        <v>341</v>
      </c>
      <c r="AD262" t="b">
        <v>0</v>
      </c>
      <c r="AF262">
        <v>1</v>
      </c>
      <c r="AG262" t="s">
        <v>104</v>
      </c>
    </row>
    <row r="263" spans="1:33" x14ac:dyDescent="0.2">
      <c r="A263">
        <v>1739</v>
      </c>
      <c r="B263" t="s">
        <v>1920</v>
      </c>
      <c r="C263" t="s">
        <v>34</v>
      </c>
      <c r="D263" t="s">
        <v>35</v>
      </c>
      <c r="E263" t="s">
        <v>36</v>
      </c>
      <c r="F263" t="s">
        <v>37</v>
      </c>
      <c r="G263" t="s">
        <v>53</v>
      </c>
      <c r="H263" t="s">
        <v>54</v>
      </c>
      <c r="I263" t="s">
        <v>604</v>
      </c>
      <c r="J263" t="s">
        <v>426</v>
      </c>
      <c r="K263">
        <v>2013</v>
      </c>
      <c r="L263">
        <v>2013</v>
      </c>
      <c r="M263">
        <v>80</v>
      </c>
      <c r="N263">
        <v>298.92399999999998</v>
      </c>
      <c r="O263">
        <v>570.4</v>
      </c>
      <c r="P263">
        <v>16</v>
      </c>
      <c r="Q263">
        <v>1.389</v>
      </c>
      <c r="R263" t="s">
        <v>72</v>
      </c>
      <c r="S263" t="s">
        <v>1921</v>
      </c>
      <c r="T263" t="b">
        <v>1</v>
      </c>
      <c r="U263" t="s">
        <v>1922</v>
      </c>
      <c r="V263" t="s">
        <v>45</v>
      </c>
      <c r="W263" t="s">
        <v>1923</v>
      </c>
      <c r="X263" t="s">
        <v>47</v>
      </c>
      <c r="AA263" t="s">
        <v>1924</v>
      </c>
      <c r="AB263" t="s">
        <v>192</v>
      </c>
      <c r="AC263" t="s">
        <v>1925</v>
      </c>
      <c r="AD263" t="b">
        <v>0</v>
      </c>
      <c r="AF263">
        <v>13</v>
      </c>
      <c r="AG263" t="s">
        <v>155</v>
      </c>
    </row>
    <row r="264" spans="1:33" x14ac:dyDescent="0.2">
      <c r="A264">
        <v>1752</v>
      </c>
      <c r="B264" t="s">
        <v>1926</v>
      </c>
      <c r="C264" t="s">
        <v>34</v>
      </c>
      <c r="D264" t="s">
        <v>35</v>
      </c>
      <c r="E264" t="s">
        <v>1927</v>
      </c>
      <c r="F264" t="s">
        <v>1928</v>
      </c>
      <c r="G264" t="s">
        <v>53</v>
      </c>
      <c r="H264" t="s">
        <v>54</v>
      </c>
      <c r="I264" t="s">
        <v>235</v>
      </c>
      <c r="J264" t="s">
        <v>41</v>
      </c>
      <c r="K264">
        <v>2013</v>
      </c>
      <c r="L264">
        <v>2013</v>
      </c>
      <c r="M264">
        <v>4.0999999999999996</v>
      </c>
      <c r="N264">
        <v>8.93</v>
      </c>
      <c r="O264">
        <v>510.4</v>
      </c>
      <c r="P264">
        <v>0.95</v>
      </c>
      <c r="Q264">
        <v>1.1990000000000001</v>
      </c>
      <c r="R264" t="s">
        <v>84</v>
      </c>
      <c r="S264" t="s">
        <v>996</v>
      </c>
      <c r="T264" t="b">
        <v>1</v>
      </c>
      <c r="U264" t="s">
        <v>1929</v>
      </c>
      <c r="V264" t="s">
        <v>1930</v>
      </c>
      <c r="W264" t="s">
        <v>1931</v>
      </c>
      <c r="X264" t="s">
        <v>47</v>
      </c>
      <c r="AA264" t="s">
        <v>1000</v>
      </c>
      <c r="AB264" t="s">
        <v>308</v>
      </c>
      <c r="AC264" t="s">
        <v>1001</v>
      </c>
      <c r="AD264" t="b">
        <v>0</v>
      </c>
      <c r="AF264">
        <v>5</v>
      </c>
      <c r="AG264" t="s">
        <v>89</v>
      </c>
    </row>
    <row r="265" spans="1:33" x14ac:dyDescent="0.2">
      <c r="A265">
        <v>1418</v>
      </c>
      <c r="B265" t="s">
        <v>1932</v>
      </c>
      <c r="C265" t="s">
        <v>34</v>
      </c>
      <c r="D265" t="s">
        <v>35</v>
      </c>
      <c r="E265" t="s">
        <v>168</v>
      </c>
      <c r="F265" t="s">
        <v>169</v>
      </c>
      <c r="G265" t="s">
        <v>53</v>
      </c>
      <c r="H265" t="s">
        <v>54</v>
      </c>
      <c r="I265" t="s">
        <v>325</v>
      </c>
      <c r="J265" t="s">
        <v>135</v>
      </c>
      <c r="K265">
        <v>2009</v>
      </c>
      <c r="L265">
        <v>2009</v>
      </c>
      <c r="M265">
        <v>4</v>
      </c>
      <c r="N265">
        <v>13.481999999999999</v>
      </c>
      <c r="O265">
        <v>463</v>
      </c>
      <c r="P265">
        <v>0.98</v>
      </c>
      <c r="Q265">
        <v>1.1339999999999999</v>
      </c>
      <c r="R265" t="s">
        <v>84</v>
      </c>
      <c r="S265" t="s">
        <v>1933</v>
      </c>
      <c r="T265" t="b">
        <v>1</v>
      </c>
      <c r="U265" t="s">
        <v>1934</v>
      </c>
      <c r="V265" t="s">
        <v>174</v>
      </c>
      <c r="W265" t="s">
        <v>1935</v>
      </c>
      <c r="X265" t="s">
        <v>47</v>
      </c>
      <c r="AA265" t="s">
        <v>958</v>
      </c>
      <c r="AB265" t="s">
        <v>109</v>
      </c>
      <c r="AC265" t="s">
        <v>959</v>
      </c>
      <c r="AD265" t="b">
        <v>0</v>
      </c>
      <c r="AF265">
        <v>3</v>
      </c>
      <c r="AG265" t="s">
        <v>332</v>
      </c>
    </row>
    <row r="266" spans="1:33" x14ac:dyDescent="0.2">
      <c r="A266">
        <v>1907</v>
      </c>
      <c r="B266" t="s">
        <v>1936</v>
      </c>
      <c r="C266" t="s">
        <v>34</v>
      </c>
      <c r="D266" t="s">
        <v>35</v>
      </c>
      <c r="E266" t="s">
        <v>1937</v>
      </c>
      <c r="F266" t="s">
        <v>1938</v>
      </c>
      <c r="G266" t="s">
        <v>53</v>
      </c>
      <c r="H266" t="s">
        <v>54</v>
      </c>
      <c r="I266" t="s">
        <v>532</v>
      </c>
      <c r="J266" t="s">
        <v>533</v>
      </c>
      <c r="K266">
        <v>2018</v>
      </c>
      <c r="L266">
        <v>2018</v>
      </c>
      <c r="M266">
        <v>9.8000000000000007</v>
      </c>
      <c r="N266">
        <v>29.010999999999999</v>
      </c>
      <c r="O266">
        <v>201</v>
      </c>
      <c r="P266">
        <v>5.8</v>
      </c>
      <c r="Q266">
        <v>0.46899999999999997</v>
      </c>
      <c r="R266" t="s">
        <v>57</v>
      </c>
      <c r="S266" t="s">
        <v>1939</v>
      </c>
      <c r="T266" t="b">
        <v>1</v>
      </c>
      <c r="U266" t="s">
        <v>1940</v>
      </c>
      <c r="V266" t="s">
        <v>1941</v>
      </c>
      <c r="W266" t="s">
        <v>1942</v>
      </c>
      <c r="X266" t="s">
        <v>47</v>
      </c>
      <c r="AA266" t="s">
        <v>1943</v>
      </c>
      <c r="AB266" t="s">
        <v>227</v>
      </c>
      <c r="AC266" t="s">
        <v>1944</v>
      </c>
      <c r="AD266" t="b">
        <v>0</v>
      </c>
      <c r="AF266">
        <v>7</v>
      </c>
      <c r="AG266" t="s">
        <v>469</v>
      </c>
    </row>
    <row r="267" spans="1:33" x14ac:dyDescent="0.2">
      <c r="A267">
        <v>2079</v>
      </c>
      <c r="B267" t="s">
        <v>1945</v>
      </c>
      <c r="C267" t="s">
        <v>34</v>
      </c>
      <c r="D267" t="s">
        <v>35</v>
      </c>
      <c r="E267" t="s">
        <v>1946</v>
      </c>
      <c r="F267" t="s">
        <v>1947</v>
      </c>
      <c r="G267" t="s">
        <v>53</v>
      </c>
      <c r="H267" t="s">
        <v>54</v>
      </c>
      <c r="I267" t="s">
        <v>730</v>
      </c>
      <c r="J267" t="s">
        <v>731</v>
      </c>
      <c r="K267">
        <v>2022</v>
      </c>
      <c r="L267">
        <v>2022</v>
      </c>
      <c r="M267">
        <v>1.4</v>
      </c>
      <c r="N267">
        <v>4.508</v>
      </c>
      <c r="O267">
        <v>105</v>
      </c>
      <c r="P267">
        <v>1.8</v>
      </c>
      <c r="Q267">
        <v>0.216</v>
      </c>
      <c r="R267" t="s">
        <v>72</v>
      </c>
      <c r="S267" t="s">
        <v>1948</v>
      </c>
      <c r="T267" t="b">
        <v>1</v>
      </c>
      <c r="U267" t="s">
        <v>1949</v>
      </c>
      <c r="V267" t="s">
        <v>1950</v>
      </c>
      <c r="W267" t="s">
        <v>1951</v>
      </c>
      <c r="X267" t="s">
        <v>47</v>
      </c>
      <c r="AA267" t="s">
        <v>1952</v>
      </c>
      <c r="AC267" t="s">
        <v>63</v>
      </c>
      <c r="AD267" t="b">
        <v>0</v>
      </c>
      <c r="AF267">
        <v>13</v>
      </c>
      <c r="AG267" t="s">
        <v>155</v>
      </c>
    </row>
    <row r="268" spans="1:33" x14ac:dyDescent="0.2">
      <c r="A268">
        <v>1571</v>
      </c>
      <c r="B268" t="s">
        <v>1953</v>
      </c>
      <c r="C268" t="s">
        <v>34</v>
      </c>
      <c r="D268" t="s">
        <v>35</v>
      </c>
      <c r="E268" t="s">
        <v>899</v>
      </c>
      <c r="F268" t="s">
        <v>900</v>
      </c>
      <c r="G268" t="s">
        <v>53</v>
      </c>
      <c r="H268" t="s">
        <v>54</v>
      </c>
      <c r="I268" t="s">
        <v>901</v>
      </c>
      <c r="J268" t="s">
        <v>313</v>
      </c>
      <c r="K268">
        <v>2013</v>
      </c>
      <c r="L268">
        <v>2013</v>
      </c>
      <c r="M268">
        <v>4.9000000000000004</v>
      </c>
      <c r="N268">
        <v>24.251999999999999</v>
      </c>
      <c r="O268">
        <v>141.4</v>
      </c>
      <c r="P268">
        <v>3.9</v>
      </c>
      <c r="Q268">
        <v>0.34899999999999998</v>
      </c>
      <c r="R268" t="s">
        <v>57</v>
      </c>
      <c r="S268" t="s">
        <v>1954</v>
      </c>
      <c r="T268" t="b">
        <v>1</v>
      </c>
      <c r="U268" t="s">
        <v>1955</v>
      </c>
      <c r="V268" t="s">
        <v>904</v>
      </c>
      <c r="W268" t="s">
        <v>1956</v>
      </c>
      <c r="X268" t="s">
        <v>47</v>
      </c>
      <c r="AA268" t="s">
        <v>906</v>
      </c>
      <c r="AB268" t="s">
        <v>227</v>
      </c>
      <c r="AC268" t="s">
        <v>907</v>
      </c>
      <c r="AD268" t="b">
        <v>0</v>
      </c>
      <c r="AF268">
        <v>2</v>
      </c>
      <c r="AG268" t="s">
        <v>287</v>
      </c>
    </row>
    <row r="269" spans="1:33" x14ac:dyDescent="0.2">
      <c r="A269">
        <v>1622</v>
      </c>
      <c r="B269" t="s">
        <v>1957</v>
      </c>
      <c r="C269" t="s">
        <v>34</v>
      </c>
      <c r="D269" t="s">
        <v>35</v>
      </c>
      <c r="E269" t="s">
        <v>523</v>
      </c>
      <c r="F269" t="s">
        <v>524</v>
      </c>
      <c r="G269" t="s">
        <v>377</v>
      </c>
      <c r="H269" t="s">
        <v>378</v>
      </c>
      <c r="I269" t="s">
        <v>1958</v>
      </c>
      <c r="J269" t="s">
        <v>49</v>
      </c>
      <c r="K269">
        <v>2012</v>
      </c>
      <c r="L269">
        <v>2012</v>
      </c>
      <c r="M269">
        <v>4.8</v>
      </c>
      <c r="N269">
        <v>11.286</v>
      </c>
      <c r="O269">
        <v>176</v>
      </c>
      <c r="P269">
        <v>3.3</v>
      </c>
      <c r="Q269">
        <v>0.40400000000000003</v>
      </c>
      <c r="R269" t="s">
        <v>42</v>
      </c>
      <c r="S269" t="s">
        <v>1959</v>
      </c>
      <c r="T269" t="b">
        <v>1</v>
      </c>
      <c r="U269" t="s">
        <v>1960</v>
      </c>
      <c r="V269" t="s">
        <v>527</v>
      </c>
      <c r="W269" t="s">
        <v>1961</v>
      </c>
      <c r="X269" t="s">
        <v>47</v>
      </c>
      <c r="AA269" t="s">
        <v>1962</v>
      </c>
      <c r="AB269" t="s">
        <v>49</v>
      </c>
      <c r="AC269" t="s">
        <v>1963</v>
      </c>
      <c r="AD269" t="b">
        <v>0</v>
      </c>
      <c r="AF269">
        <v>11</v>
      </c>
      <c r="AG269" t="s">
        <v>198</v>
      </c>
    </row>
    <row r="270" spans="1:33" x14ac:dyDescent="0.2">
      <c r="A270">
        <v>1167</v>
      </c>
      <c r="B270" t="s">
        <v>1964</v>
      </c>
      <c r="C270" t="s">
        <v>34</v>
      </c>
      <c r="D270" t="s">
        <v>35</v>
      </c>
      <c r="E270" t="s">
        <v>1965</v>
      </c>
      <c r="F270" t="s">
        <v>1966</v>
      </c>
      <c r="G270" t="s">
        <v>93</v>
      </c>
      <c r="H270" t="s">
        <v>94</v>
      </c>
      <c r="I270" t="s">
        <v>1967</v>
      </c>
      <c r="J270" t="s">
        <v>1697</v>
      </c>
      <c r="K270">
        <v>2005</v>
      </c>
      <c r="L270">
        <v>2005</v>
      </c>
      <c r="M270">
        <v>3.6999999999999998E-2</v>
      </c>
      <c r="N270">
        <v>8.5999999999999993E-2</v>
      </c>
      <c r="O270">
        <v>24</v>
      </c>
      <c r="P270">
        <v>0.2</v>
      </c>
      <c r="R270" t="s">
        <v>97</v>
      </c>
      <c r="S270" t="s">
        <v>1968</v>
      </c>
      <c r="T270" t="b">
        <v>1</v>
      </c>
      <c r="U270" t="s">
        <v>237</v>
      </c>
      <c r="V270" t="s">
        <v>1969</v>
      </c>
      <c r="W270" t="s">
        <v>1970</v>
      </c>
      <c r="X270" t="s">
        <v>47</v>
      </c>
      <c r="AA270" t="s">
        <v>340</v>
      </c>
      <c r="AC270" t="s">
        <v>341</v>
      </c>
      <c r="AD270" t="b">
        <v>0</v>
      </c>
      <c r="AF270">
        <v>1</v>
      </c>
      <c r="AG270" t="s">
        <v>104</v>
      </c>
    </row>
    <row r="271" spans="1:33" x14ac:dyDescent="0.2">
      <c r="A271">
        <v>1655</v>
      </c>
      <c r="B271" t="s">
        <v>1971</v>
      </c>
      <c r="C271" t="s">
        <v>34</v>
      </c>
      <c r="D271" t="s">
        <v>35</v>
      </c>
      <c r="E271" t="s">
        <v>1972</v>
      </c>
      <c r="F271" t="s">
        <v>1973</v>
      </c>
      <c r="G271" t="s">
        <v>68</v>
      </c>
      <c r="H271" t="s">
        <v>69</v>
      </c>
      <c r="I271" t="s">
        <v>1974</v>
      </c>
      <c r="J271" t="s">
        <v>1975</v>
      </c>
      <c r="K271">
        <v>2012</v>
      </c>
      <c r="L271">
        <v>2012</v>
      </c>
      <c r="M271">
        <v>4.9000000000000004</v>
      </c>
      <c r="N271">
        <v>11.226000000000001</v>
      </c>
      <c r="O271">
        <v>411.65</v>
      </c>
      <c r="P271">
        <v>1.5</v>
      </c>
      <c r="Q271">
        <v>0.90700000000000003</v>
      </c>
      <c r="R271" t="s">
        <v>72</v>
      </c>
      <c r="S271" t="s">
        <v>1976</v>
      </c>
      <c r="T271" t="b">
        <v>1</v>
      </c>
      <c r="U271" t="s">
        <v>1977</v>
      </c>
      <c r="V271" t="s">
        <v>1978</v>
      </c>
      <c r="W271" t="s">
        <v>1979</v>
      </c>
      <c r="X271" t="s">
        <v>47</v>
      </c>
      <c r="AA271" t="s">
        <v>479</v>
      </c>
      <c r="AB271" t="s">
        <v>227</v>
      </c>
      <c r="AC271" t="s">
        <v>1980</v>
      </c>
      <c r="AD271" t="b">
        <v>0</v>
      </c>
      <c r="AF271">
        <v>8</v>
      </c>
      <c r="AG271" t="s">
        <v>78</v>
      </c>
    </row>
    <row r="272" spans="1:33" x14ac:dyDescent="0.2">
      <c r="A272">
        <v>76</v>
      </c>
      <c r="B272" t="s">
        <v>1981</v>
      </c>
      <c r="C272" t="s">
        <v>34</v>
      </c>
      <c r="D272" t="s">
        <v>35</v>
      </c>
      <c r="E272" t="s">
        <v>1982</v>
      </c>
      <c r="F272" t="s">
        <v>1983</v>
      </c>
      <c r="G272" t="s">
        <v>224</v>
      </c>
      <c r="H272" t="s">
        <v>225</v>
      </c>
      <c r="I272" t="s">
        <v>1710</v>
      </c>
      <c r="J272" t="s">
        <v>1077</v>
      </c>
      <c r="K272">
        <v>1916</v>
      </c>
      <c r="L272">
        <v>1954</v>
      </c>
      <c r="M272">
        <v>71</v>
      </c>
      <c r="N272">
        <v>337.22800000000001</v>
      </c>
      <c r="O272">
        <v>16.3</v>
      </c>
      <c r="P272">
        <v>475</v>
      </c>
      <c r="Q272">
        <v>4.2000000000000003E-2</v>
      </c>
      <c r="R272" t="s">
        <v>97</v>
      </c>
      <c r="S272" t="s">
        <v>1984</v>
      </c>
      <c r="T272" t="b">
        <v>1</v>
      </c>
      <c r="U272" t="s">
        <v>173</v>
      </c>
      <c r="V272" t="s">
        <v>1985</v>
      </c>
      <c r="W272" t="s">
        <v>1986</v>
      </c>
      <c r="X272" t="s">
        <v>47</v>
      </c>
      <c r="AA272" t="s">
        <v>102</v>
      </c>
      <c r="AB272" t="s">
        <v>401</v>
      </c>
      <c r="AC272" t="s">
        <v>103</v>
      </c>
      <c r="AD272" t="b">
        <v>0</v>
      </c>
      <c r="AF272">
        <v>1</v>
      </c>
      <c r="AG272" t="s">
        <v>104</v>
      </c>
    </row>
    <row r="273" spans="1:33" x14ac:dyDescent="0.2">
      <c r="A273">
        <v>1318</v>
      </c>
      <c r="B273" t="s">
        <v>1987</v>
      </c>
      <c r="C273" t="s">
        <v>34</v>
      </c>
      <c r="D273" t="s">
        <v>35</v>
      </c>
      <c r="E273" t="s">
        <v>1988</v>
      </c>
      <c r="F273" t="s">
        <v>1989</v>
      </c>
      <c r="G273" t="s">
        <v>68</v>
      </c>
      <c r="H273" t="s">
        <v>69</v>
      </c>
      <c r="I273" t="s">
        <v>1974</v>
      </c>
      <c r="J273" t="s">
        <v>1975</v>
      </c>
      <c r="K273">
        <v>2007</v>
      </c>
      <c r="L273">
        <v>2007</v>
      </c>
      <c r="M273">
        <v>5.0999999999999996</v>
      </c>
      <c r="N273">
        <v>16.062999999999999</v>
      </c>
      <c r="O273">
        <v>129</v>
      </c>
      <c r="P273">
        <v>4.5999999999999996</v>
      </c>
      <c r="Q273">
        <v>0.308</v>
      </c>
      <c r="R273" t="s">
        <v>72</v>
      </c>
      <c r="S273" t="s">
        <v>1990</v>
      </c>
      <c r="T273" t="b">
        <v>1</v>
      </c>
      <c r="U273" t="s">
        <v>1991</v>
      </c>
      <c r="V273" t="s">
        <v>1992</v>
      </c>
      <c r="W273" t="s">
        <v>1993</v>
      </c>
      <c r="X273" t="s">
        <v>47</v>
      </c>
      <c r="AA273" t="s">
        <v>479</v>
      </c>
      <c r="AB273" t="s">
        <v>177</v>
      </c>
      <c r="AC273" t="s">
        <v>1980</v>
      </c>
      <c r="AD273" t="b">
        <v>0</v>
      </c>
      <c r="AF273">
        <v>8</v>
      </c>
      <c r="AG273" t="s">
        <v>78</v>
      </c>
    </row>
    <row r="274" spans="1:33" x14ac:dyDescent="0.2">
      <c r="A274">
        <v>2039</v>
      </c>
      <c r="B274" t="s">
        <v>1994</v>
      </c>
      <c r="C274" t="s">
        <v>34</v>
      </c>
      <c r="D274" t="s">
        <v>35</v>
      </c>
      <c r="E274" t="s">
        <v>1320</v>
      </c>
      <c r="F274" t="s">
        <v>1321</v>
      </c>
      <c r="G274" t="s">
        <v>53</v>
      </c>
      <c r="H274" t="s">
        <v>54</v>
      </c>
      <c r="I274" t="s">
        <v>1678</v>
      </c>
      <c r="J274" t="s">
        <v>245</v>
      </c>
      <c r="K274">
        <v>2021</v>
      </c>
      <c r="L274">
        <v>2021</v>
      </c>
      <c r="M274">
        <v>3.24</v>
      </c>
      <c r="N274">
        <v>9.6310000000000002</v>
      </c>
      <c r="O274">
        <v>318.5</v>
      </c>
      <c r="P274">
        <v>1.2</v>
      </c>
      <c r="Q274">
        <v>0.75</v>
      </c>
      <c r="R274" t="s">
        <v>57</v>
      </c>
      <c r="S274" t="s">
        <v>1995</v>
      </c>
      <c r="T274" t="b">
        <v>1</v>
      </c>
      <c r="U274" t="s">
        <v>1996</v>
      </c>
      <c r="V274" t="s">
        <v>1324</v>
      </c>
      <c r="W274" t="s">
        <v>1997</v>
      </c>
      <c r="X274" t="s">
        <v>47</v>
      </c>
      <c r="AA274" t="s">
        <v>479</v>
      </c>
      <c r="AC274" t="s">
        <v>63</v>
      </c>
      <c r="AD274" t="b">
        <v>0</v>
      </c>
      <c r="AF274">
        <v>6</v>
      </c>
      <c r="AG274" t="s">
        <v>64</v>
      </c>
    </row>
    <row r="275" spans="1:33" x14ac:dyDescent="0.2">
      <c r="A275">
        <v>1083</v>
      </c>
      <c r="B275" t="s">
        <v>1998</v>
      </c>
      <c r="C275" t="s">
        <v>34</v>
      </c>
      <c r="D275" t="s">
        <v>35</v>
      </c>
      <c r="E275" t="s">
        <v>1999</v>
      </c>
      <c r="F275" t="s">
        <v>2000</v>
      </c>
      <c r="G275" t="s">
        <v>53</v>
      </c>
      <c r="H275" t="s">
        <v>54</v>
      </c>
      <c r="I275" t="s">
        <v>1663</v>
      </c>
      <c r="J275" t="s">
        <v>973</v>
      </c>
      <c r="K275">
        <v>2005</v>
      </c>
      <c r="L275">
        <v>2005</v>
      </c>
      <c r="M275">
        <v>0.72499999999999998</v>
      </c>
      <c r="N275">
        <v>3.7730000000000001</v>
      </c>
      <c r="O275">
        <v>132</v>
      </c>
      <c r="P275">
        <v>0.7</v>
      </c>
      <c r="Q275">
        <v>0.28799999999999998</v>
      </c>
      <c r="R275" t="s">
        <v>57</v>
      </c>
      <c r="S275" t="s">
        <v>2001</v>
      </c>
      <c r="T275" t="b">
        <v>1</v>
      </c>
      <c r="U275" t="s">
        <v>2002</v>
      </c>
      <c r="V275" t="s">
        <v>2003</v>
      </c>
      <c r="W275" t="s">
        <v>2004</v>
      </c>
      <c r="X275" t="s">
        <v>47</v>
      </c>
      <c r="AA275" t="s">
        <v>2005</v>
      </c>
      <c r="AC275" t="s">
        <v>63</v>
      </c>
      <c r="AD275" t="b">
        <v>0</v>
      </c>
      <c r="AF275">
        <v>2</v>
      </c>
      <c r="AG275" t="s">
        <v>287</v>
      </c>
    </row>
    <row r="276" spans="1:33" x14ac:dyDescent="0.2">
      <c r="A276">
        <v>1554</v>
      </c>
      <c r="B276" t="s">
        <v>2006</v>
      </c>
      <c r="C276" t="s">
        <v>34</v>
      </c>
      <c r="D276" t="s">
        <v>35</v>
      </c>
      <c r="E276" t="s">
        <v>2007</v>
      </c>
      <c r="F276" t="s">
        <v>2008</v>
      </c>
      <c r="G276" t="s">
        <v>213</v>
      </c>
      <c r="H276" t="s">
        <v>83</v>
      </c>
      <c r="I276" t="s">
        <v>635</v>
      </c>
      <c r="J276" t="s">
        <v>94</v>
      </c>
      <c r="K276">
        <v>2008</v>
      </c>
      <c r="L276">
        <v>2008</v>
      </c>
      <c r="M276">
        <v>0.09</v>
      </c>
      <c r="N276">
        <v>0.17</v>
      </c>
      <c r="O276">
        <v>45</v>
      </c>
      <c r="P276">
        <v>0.08</v>
      </c>
      <c r="R276" t="s">
        <v>84</v>
      </c>
      <c r="S276" t="s">
        <v>865</v>
      </c>
      <c r="T276" t="b">
        <v>1</v>
      </c>
      <c r="U276" t="s">
        <v>2009</v>
      </c>
      <c r="V276" t="s">
        <v>2010</v>
      </c>
      <c r="W276" t="s">
        <v>2011</v>
      </c>
      <c r="X276" t="s">
        <v>47</v>
      </c>
      <c r="AA276" t="s">
        <v>114</v>
      </c>
      <c r="AC276" t="s">
        <v>63</v>
      </c>
      <c r="AD276" t="b">
        <v>0</v>
      </c>
      <c r="AF276">
        <v>3</v>
      </c>
      <c r="AG276" t="s">
        <v>332</v>
      </c>
    </row>
    <row r="277" spans="1:33" x14ac:dyDescent="0.2">
      <c r="A277">
        <v>933</v>
      </c>
      <c r="B277" t="s">
        <v>2012</v>
      </c>
      <c r="C277" t="s">
        <v>34</v>
      </c>
      <c r="D277" t="s">
        <v>35</v>
      </c>
      <c r="G277" t="s">
        <v>68</v>
      </c>
      <c r="H277" t="s">
        <v>69</v>
      </c>
      <c r="I277" t="s">
        <v>1458</v>
      </c>
      <c r="J277" t="s">
        <v>1459</v>
      </c>
      <c r="K277">
        <v>1997</v>
      </c>
      <c r="L277">
        <v>1997</v>
      </c>
      <c r="M277">
        <v>1.2E-2</v>
      </c>
      <c r="N277">
        <v>2.9000000000000001E-2</v>
      </c>
      <c r="R277" t="s">
        <v>72</v>
      </c>
      <c r="S277" t="s">
        <v>2013</v>
      </c>
      <c r="T277" t="b">
        <v>1</v>
      </c>
      <c r="U277" t="s">
        <v>111</v>
      </c>
      <c r="V277" t="s">
        <v>274</v>
      </c>
      <c r="W277" t="s">
        <v>2014</v>
      </c>
      <c r="X277" t="s">
        <v>47</v>
      </c>
      <c r="AA277" t="s">
        <v>114</v>
      </c>
      <c r="AC277" t="s">
        <v>63</v>
      </c>
      <c r="AD277" t="b">
        <v>0</v>
      </c>
      <c r="AF277">
        <v>8</v>
      </c>
      <c r="AG277" t="s">
        <v>78</v>
      </c>
    </row>
    <row r="278" spans="1:33" x14ac:dyDescent="0.2">
      <c r="A278">
        <v>2098</v>
      </c>
      <c r="B278" t="s">
        <v>2015</v>
      </c>
      <c r="C278" t="s">
        <v>34</v>
      </c>
      <c r="D278" t="s">
        <v>35</v>
      </c>
      <c r="E278" t="s">
        <v>2016</v>
      </c>
      <c r="F278" t="s">
        <v>2017</v>
      </c>
      <c r="G278" t="s">
        <v>53</v>
      </c>
      <c r="H278" t="s">
        <v>54</v>
      </c>
      <c r="I278" t="s">
        <v>147</v>
      </c>
      <c r="J278" t="s">
        <v>148</v>
      </c>
      <c r="K278">
        <v>2024</v>
      </c>
      <c r="L278">
        <v>2024</v>
      </c>
      <c r="M278">
        <v>5.5</v>
      </c>
      <c r="N278">
        <v>16.7</v>
      </c>
      <c r="O278">
        <v>177.17</v>
      </c>
      <c r="P278">
        <v>3.7</v>
      </c>
      <c r="Q278">
        <v>0.41299999999999998</v>
      </c>
      <c r="R278" t="s">
        <v>72</v>
      </c>
      <c r="S278" t="s">
        <v>2018</v>
      </c>
      <c r="T278" t="b">
        <v>1</v>
      </c>
      <c r="U278" t="s">
        <v>2019</v>
      </c>
      <c r="V278" t="s">
        <v>2020</v>
      </c>
      <c r="W278" t="s">
        <v>2021</v>
      </c>
      <c r="X278" t="s">
        <v>47</v>
      </c>
      <c r="AA278" t="s">
        <v>2022</v>
      </c>
      <c r="AC278" t="s">
        <v>63</v>
      </c>
      <c r="AD278" t="b">
        <v>0</v>
      </c>
      <c r="AF278">
        <v>13</v>
      </c>
      <c r="AG278" t="s">
        <v>155</v>
      </c>
    </row>
    <row r="279" spans="1:33" x14ac:dyDescent="0.2">
      <c r="A279">
        <v>1930</v>
      </c>
      <c r="B279" t="s">
        <v>2023</v>
      </c>
      <c r="C279" t="s">
        <v>34</v>
      </c>
      <c r="D279" t="s">
        <v>35</v>
      </c>
      <c r="E279" t="s">
        <v>2024</v>
      </c>
      <c r="F279" t="s">
        <v>2025</v>
      </c>
      <c r="G279" t="s">
        <v>53</v>
      </c>
      <c r="H279" t="s">
        <v>54</v>
      </c>
      <c r="I279" t="s">
        <v>325</v>
      </c>
      <c r="J279" t="s">
        <v>135</v>
      </c>
      <c r="K279">
        <v>2018</v>
      </c>
      <c r="L279">
        <v>2018</v>
      </c>
      <c r="M279">
        <v>4.5599999999999996</v>
      </c>
      <c r="N279">
        <v>12.022</v>
      </c>
      <c r="O279">
        <v>615</v>
      </c>
      <c r="P279">
        <v>0.85</v>
      </c>
      <c r="Q279">
        <v>1.49</v>
      </c>
      <c r="R279" t="s">
        <v>57</v>
      </c>
      <c r="S279" t="s">
        <v>2026</v>
      </c>
      <c r="T279" t="b">
        <v>1</v>
      </c>
      <c r="U279" t="s">
        <v>2027</v>
      </c>
      <c r="V279" t="s">
        <v>2028</v>
      </c>
      <c r="W279" t="s">
        <v>2029</v>
      </c>
      <c r="X279" t="s">
        <v>47</v>
      </c>
      <c r="AA279" t="s">
        <v>2023</v>
      </c>
      <c r="AC279" t="s">
        <v>63</v>
      </c>
      <c r="AD279" t="b">
        <v>0</v>
      </c>
      <c r="AF279">
        <v>6</v>
      </c>
      <c r="AG279" t="s">
        <v>64</v>
      </c>
    </row>
    <row r="280" spans="1:33" x14ac:dyDescent="0.2">
      <c r="A280">
        <v>1831</v>
      </c>
      <c r="B280" t="s">
        <v>2030</v>
      </c>
      <c r="C280" t="s">
        <v>34</v>
      </c>
      <c r="D280" t="s">
        <v>35</v>
      </c>
      <c r="E280" t="s">
        <v>2031</v>
      </c>
      <c r="F280" t="s">
        <v>2032</v>
      </c>
      <c r="G280" t="s">
        <v>53</v>
      </c>
      <c r="H280" t="s">
        <v>54</v>
      </c>
      <c r="I280" t="s">
        <v>2033</v>
      </c>
      <c r="J280" t="s">
        <v>1303</v>
      </c>
      <c r="K280">
        <v>2015</v>
      </c>
      <c r="L280">
        <v>2015</v>
      </c>
      <c r="M280">
        <v>0.27</v>
      </c>
      <c r="N280">
        <v>0.72499999999999998</v>
      </c>
      <c r="O280">
        <v>113</v>
      </c>
      <c r="P280">
        <v>0.2</v>
      </c>
      <c r="Q280">
        <v>0.25</v>
      </c>
      <c r="R280" t="s">
        <v>72</v>
      </c>
      <c r="S280" t="s">
        <v>2034</v>
      </c>
      <c r="T280" t="b">
        <v>1</v>
      </c>
      <c r="U280" t="s">
        <v>2035</v>
      </c>
      <c r="V280" t="s">
        <v>2036</v>
      </c>
      <c r="W280" t="s">
        <v>2037</v>
      </c>
      <c r="X280" t="s">
        <v>47</v>
      </c>
      <c r="AA280" t="s">
        <v>2038</v>
      </c>
      <c r="AC280" t="s">
        <v>2039</v>
      </c>
      <c r="AD280" t="b">
        <v>0</v>
      </c>
      <c r="AF280">
        <v>13</v>
      </c>
      <c r="AG280" t="s">
        <v>155</v>
      </c>
    </row>
    <row r="281" spans="1:33" x14ac:dyDescent="0.2">
      <c r="A281">
        <v>77</v>
      </c>
      <c r="B281" t="s">
        <v>2040</v>
      </c>
      <c r="C281" t="s">
        <v>34</v>
      </c>
      <c r="D281" t="s">
        <v>35</v>
      </c>
      <c r="E281" t="s">
        <v>1200</v>
      </c>
      <c r="F281" t="s">
        <v>1201</v>
      </c>
      <c r="G281" t="s">
        <v>53</v>
      </c>
      <c r="H281" t="s">
        <v>54</v>
      </c>
      <c r="I281" t="s">
        <v>55</v>
      </c>
      <c r="J281" t="s">
        <v>56</v>
      </c>
      <c r="K281">
        <v>1969</v>
      </c>
      <c r="L281">
        <v>1969</v>
      </c>
      <c r="M281">
        <v>330</v>
      </c>
      <c r="N281">
        <v>1303.1990000000001</v>
      </c>
      <c r="O281">
        <v>770</v>
      </c>
      <c r="P281">
        <v>53.8</v>
      </c>
      <c r="Q281">
        <v>1.704</v>
      </c>
      <c r="R281" t="s">
        <v>57</v>
      </c>
      <c r="S281" t="s">
        <v>2041</v>
      </c>
      <c r="T281" t="b">
        <v>1</v>
      </c>
      <c r="U281" t="s">
        <v>2042</v>
      </c>
      <c r="V281" t="s">
        <v>1204</v>
      </c>
      <c r="W281" t="s">
        <v>2043</v>
      </c>
      <c r="X281" t="s">
        <v>47</v>
      </c>
      <c r="AA281" t="s">
        <v>741</v>
      </c>
      <c r="AB281" t="s">
        <v>83</v>
      </c>
      <c r="AC281" t="s">
        <v>742</v>
      </c>
      <c r="AD281" t="b">
        <v>0</v>
      </c>
      <c r="AF281">
        <v>6</v>
      </c>
      <c r="AG281" t="s">
        <v>64</v>
      </c>
    </row>
    <row r="282" spans="1:33" x14ac:dyDescent="0.2">
      <c r="A282">
        <v>1340</v>
      </c>
      <c r="B282" t="s">
        <v>2044</v>
      </c>
      <c r="C282" t="s">
        <v>34</v>
      </c>
      <c r="D282" t="s">
        <v>35</v>
      </c>
      <c r="E282" t="s">
        <v>1866</v>
      </c>
      <c r="F282" t="s">
        <v>1867</v>
      </c>
      <c r="G282" t="s">
        <v>53</v>
      </c>
      <c r="H282" t="s">
        <v>54</v>
      </c>
      <c r="I282" t="s">
        <v>1039</v>
      </c>
      <c r="J282" t="s">
        <v>243</v>
      </c>
      <c r="K282">
        <v>1910</v>
      </c>
      <c r="L282">
        <v>1910</v>
      </c>
      <c r="M282">
        <v>0.38</v>
      </c>
      <c r="N282">
        <v>2.0779999999999998</v>
      </c>
      <c r="O282">
        <v>6</v>
      </c>
      <c r="P282">
        <v>8</v>
      </c>
      <c r="Q282">
        <v>1.32E-2</v>
      </c>
      <c r="R282" t="s">
        <v>72</v>
      </c>
      <c r="S282" t="s">
        <v>2045</v>
      </c>
      <c r="T282" t="b">
        <v>1</v>
      </c>
      <c r="U282" t="s">
        <v>919</v>
      </c>
      <c r="V282" t="s">
        <v>1870</v>
      </c>
      <c r="W282" t="s">
        <v>113</v>
      </c>
      <c r="X282" t="s">
        <v>47</v>
      </c>
      <c r="AA282" t="s">
        <v>400</v>
      </c>
      <c r="AB282" t="s">
        <v>515</v>
      </c>
      <c r="AC282" t="s">
        <v>402</v>
      </c>
      <c r="AD282" t="b">
        <v>0</v>
      </c>
      <c r="AF282">
        <v>13</v>
      </c>
      <c r="AG282" t="s">
        <v>155</v>
      </c>
    </row>
    <row r="283" spans="1:33" x14ac:dyDescent="0.2">
      <c r="A283">
        <v>78</v>
      </c>
      <c r="B283" t="s">
        <v>2046</v>
      </c>
      <c r="C283" t="s">
        <v>34</v>
      </c>
      <c r="D283" t="s">
        <v>35</v>
      </c>
      <c r="E283" t="s">
        <v>404</v>
      </c>
      <c r="F283" t="s">
        <v>405</v>
      </c>
      <c r="G283" t="s">
        <v>312</v>
      </c>
      <c r="H283" t="s">
        <v>313</v>
      </c>
      <c r="I283" t="s">
        <v>1385</v>
      </c>
      <c r="J283" t="s">
        <v>337</v>
      </c>
      <c r="K283">
        <v>1904</v>
      </c>
      <c r="L283">
        <v>1939</v>
      </c>
      <c r="M283">
        <v>23.5</v>
      </c>
      <c r="N283">
        <v>121.355</v>
      </c>
      <c r="O283">
        <v>17.3</v>
      </c>
      <c r="P283">
        <v>175.92</v>
      </c>
      <c r="Q283">
        <v>3.9E-2</v>
      </c>
      <c r="R283" t="s">
        <v>84</v>
      </c>
      <c r="S283" t="s">
        <v>2047</v>
      </c>
      <c r="T283" t="b">
        <v>1</v>
      </c>
      <c r="U283" t="s">
        <v>2048</v>
      </c>
      <c r="V283" t="s">
        <v>408</v>
      </c>
      <c r="W283" t="s">
        <v>2049</v>
      </c>
      <c r="X283" t="s">
        <v>47</v>
      </c>
      <c r="AA283" t="s">
        <v>509</v>
      </c>
      <c r="AB283" t="s">
        <v>308</v>
      </c>
      <c r="AC283" t="s">
        <v>510</v>
      </c>
      <c r="AD283" t="b">
        <v>0</v>
      </c>
      <c r="AF283">
        <v>4</v>
      </c>
      <c r="AG283" t="s">
        <v>321</v>
      </c>
    </row>
    <row r="284" spans="1:33" x14ac:dyDescent="0.2">
      <c r="A284">
        <v>1604</v>
      </c>
      <c r="B284" t="s">
        <v>2050</v>
      </c>
      <c r="C284" t="s">
        <v>34</v>
      </c>
      <c r="D284" t="s">
        <v>35</v>
      </c>
      <c r="E284" t="s">
        <v>2051</v>
      </c>
      <c r="F284" t="s">
        <v>2052</v>
      </c>
      <c r="G284" t="s">
        <v>53</v>
      </c>
      <c r="H284" t="s">
        <v>54</v>
      </c>
      <c r="I284" t="s">
        <v>170</v>
      </c>
      <c r="J284" t="s">
        <v>171</v>
      </c>
      <c r="K284">
        <v>2007</v>
      </c>
      <c r="L284">
        <v>2007</v>
      </c>
      <c r="M284">
        <v>0.8</v>
      </c>
      <c r="N284">
        <v>3.34</v>
      </c>
      <c r="R284" t="s">
        <v>57</v>
      </c>
      <c r="S284" t="s">
        <v>2053</v>
      </c>
      <c r="T284" t="b">
        <v>1</v>
      </c>
      <c r="U284" t="s">
        <v>2054</v>
      </c>
      <c r="V284" t="s">
        <v>2055</v>
      </c>
      <c r="W284" t="s">
        <v>2056</v>
      </c>
      <c r="X284" t="s">
        <v>47</v>
      </c>
      <c r="AA284" t="s">
        <v>949</v>
      </c>
      <c r="AC284" t="s">
        <v>950</v>
      </c>
      <c r="AD284" t="b">
        <v>0</v>
      </c>
      <c r="AF284">
        <v>6</v>
      </c>
      <c r="AG284" t="s">
        <v>64</v>
      </c>
    </row>
    <row r="285" spans="1:33" x14ac:dyDescent="0.2">
      <c r="A285">
        <v>1283</v>
      </c>
      <c r="B285" t="s">
        <v>2057</v>
      </c>
      <c r="C285" t="s">
        <v>34</v>
      </c>
      <c r="D285" t="s">
        <v>35</v>
      </c>
      <c r="G285" t="s">
        <v>53</v>
      </c>
      <c r="H285" t="s">
        <v>54</v>
      </c>
      <c r="I285" t="s">
        <v>2058</v>
      </c>
      <c r="J285" t="s">
        <v>354</v>
      </c>
      <c r="K285">
        <v>2001</v>
      </c>
      <c r="L285">
        <v>2001</v>
      </c>
      <c r="M285">
        <v>3.5000000000000003E-2</v>
      </c>
      <c r="N285">
        <v>0.11600000000000001</v>
      </c>
      <c r="R285" t="s">
        <v>72</v>
      </c>
      <c r="S285" t="s">
        <v>2059</v>
      </c>
      <c r="T285" t="b">
        <v>1</v>
      </c>
      <c r="U285" t="s">
        <v>1103</v>
      </c>
      <c r="V285" t="s">
        <v>274</v>
      </c>
      <c r="W285" t="s">
        <v>2060</v>
      </c>
      <c r="X285" t="s">
        <v>47</v>
      </c>
      <c r="AA285" t="s">
        <v>114</v>
      </c>
      <c r="AC285" t="s">
        <v>63</v>
      </c>
      <c r="AD285" t="b">
        <v>0</v>
      </c>
      <c r="AF285">
        <v>13</v>
      </c>
      <c r="AG285" t="s">
        <v>155</v>
      </c>
    </row>
    <row r="286" spans="1:33" x14ac:dyDescent="0.2">
      <c r="A286">
        <v>79</v>
      </c>
      <c r="B286" t="s">
        <v>2061</v>
      </c>
      <c r="C286" t="s">
        <v>34</v>
      </c>
      <c r="D286" t="s">
        <v>35</v>
      </c>
      <c r="E286" t="s">
        <v>1085</v>
      </c>
      <c r="F286" t="s">
        <v>1086</v>
      </c>
      <c r="G286" t="s">
        <v>134</v>
      </c>
      <c r="H286" t="s">
        <v>135</v>
      </c>
      <c r="I286" t="s">
        <v>1431</v>
      </c>
      <c r="J286" t="s">
        <v>280</v>
      </c>
      <c r="K286">
        <v>1975</v>
      </c>
      <c r="L286">
        <v>1975</v>
      </c>
      <c r="M286">
        <v>48</v>
      </c>
      <c r="N286">
        <v>282.48899999999998</v>
      </c>
      <c r="O286">
        <v>231.69</v>
      </c>
      <c r="P286">
        <v>24</v>
      </c>
      <c r="Q286">
        <v>0.55600000000000005</v>
      </c>
      <c r="R286" t="s">
        <v>42</v>
      </c>
      <c r="S286" t="s">
        <v>2062</v>
      </c>
      <c r="T286" t="b">
        <v>1</v>
      </c>
      <c r="U286" t="s">
        <v>2063</v>
      </c>
      <c r="V286" t="s">
        <v>1089</v>
      </c>
      <c r="W286" t="s">
        <v>2064</v>
      </c>
      <c r="X286" t="s">
        <v>47</v>
      </c>
      <c r="AA286" t="s">
        <v>1434</v>
      </c>
      <c r="AB286" t="s">
        <v>83</v>
      </c>
      <c r="AC286" t="s">
        <v>1435</v>
      </c>
      <c r="AD286" t="b">
        <v>0</v>
      </c>
      <c r="AF286">
        <v>10</v>
      </c>
      <c r="AG286" t="s">
        <v>143</v>
      </c>
    </row>
    <row r="287" spans="1:33" x14ac:dyDescent="0.2">
      <c r="A287">
        <v>1504</v>
      </c>
      <c r="B287" t="s">
        <v>2065</v>
      </c>
      <c r="C287" t="s">
        <v>34</v>
      </c>
      <c r="D287" t="s">
        <v>35</v>
      </c>
      <c r="E287" t="s">
        <v>2066</v>
      </c>
      <c r="F287" t="s">
        <v>2067</v>
      </c>
      <c r="G287" t="s">
        <v>53</v>
      </c>
      <c r="H287" t="s">
        <v>54</v>
      </c>
      <c r="I287" t="s">
        <v>2058</v>
      </c>
      <c r="J287" t="s">
        <v>354</v>
      </c>
      <c r="K287">
        <v>2008</v>
      </c>
      <c r="L287">
        <v>2008</v>
      </c>
      <c r="M287">
        <v>0.32</v>
      </c>
      <c r="N287">
        <v>0.79100000000000004</v>
      </c>
      <c r="R287" t="s">
        <v>72</v>
      </c>
      <c r="S287" t="s">
        <v>2068</v>
      </c>
      <c r="T287" t="b">
        <v>1</v>
      </c>
      <c r="U287" t="s">
        <v>2069</v>
      </c>
      <c r="V287" t="s">
        <v>2070</v>
      </c>
      <c r="W287" t="s">
        <v>2071</v>
      </c>
      <c r="X287" t="s">
        <v>47</v>
      </c>
      <c r="AA287" t="s">
        <v>2072</v>
      </c>
      <c r="AC287" t="s">
        <v>63</v>
      </c>
      <c r="AD287" t="b">
        <v>0</v>
      </c>
      <c r="AF287">
        <v>13</v>
      </c>
      <c r="AG287" t="s">
        <v>155</v>
      </c>
    </row>
    <row r="288" spans="1:33" x14ac:dyDescent="0.2">
      <c r="A288">
        <v>538</v>
      </c>
      <c r="B288" t="s">
        <v>2073</v>
      </c>
      <c r="C288" t="s">
        <v>34</v>
      </c>
      <c r="D288" t="s">
        <v>35</v>
      </c>
      <c r="E288" t="s">
        <v>132</v>
      </c>
      <c r="F288" t="s">
        <v>133</v>
      </c>
      <c r="G288" t="s">
        <v>134</v>
      </c>
      <c r="H288" t="s">
        <v>135</v>
      </c>
      <c r="I288" t="s">
        <v>2074</v>
      </c>
      <c r="J288" t="s">
        <v>225</v>
      </c>
      <c r="K288">
        <v>1990</v>
      </c>
      <c r="L288">
        <v>1990</v>
      </c>
      <c r="M288">
        <v>21</v>
      </c>
      <c r="N288">
        <v>66.084000000000003</v>
      </c>
      <c r="O288">
        <v>227</v>
      </c>
      <c r="P288">
        <v>7.4</v>
      </c>
      <c r="Q288">
        <v>0.69</v>
      </c>
      <c r="R288" t="s">
        <v>42</v>
      </c>
      <c r="S288" t="s">
        <v>2075</v>
      </c>
      <c r="T288" t="b">
        <v>1</v>
      </c>
      <c r="U288" t="s">
        <v>2076</v>
      </c>
      <c r="V288" t="s">
        <v>139</v>
      </c>
      <c r="W288" t="s">
        <v>2077</v>
      </c>
      <c r="X288" t="s">
        <v>47</v>
      </c>
      <c r="AA288" t="s">
        <v>2078</v>
      </c>
      <c r="AB288" t="s">
        <v>177</v>
      </c>
      <c r="AC288" t="s">
        <v>2079</v>
      </c>
      <c r="AD288" t="b">
        <v>0</v>
      </c>
      <c r="AF288">
        <v>10</v>
      </c>
      <c r="AG288" t="s">
        <v>143</v>
      </c>
    </row>
    <row r="289" spans="1:33" x14ac:dyDescent="0.2">
      <c r="A289">
        <v>1500</v>
      </c>
      <c r="B289" t="s">
        <v>2080</v>
      </c>
      <c r="C289" t="s">
        <v>34</v>
      </c>
      <c r="D289" t="s">
        <v>35</v>
      </c>
      <c r="E289" t="s">
        <v>1055</v>
      </c>
      <c r="F289" t="s">
        <v>1056</v>
      </c>
      <c r="G289" t="s">
        <v>93</v>
      </c>
      <c r="H289" t="s">
        <v>94</v>
      </c>
      <c r="I289" t="s">
        <v>1603</v>
      </c>
      <c r="J289" t="s">
        <v>148</v>
      </c>
      <c r="K289">
        <v>2009</v>
      </c>
      <c r="L289">
        <v>2009</v>
      </c>
      <c r="M289">
        <v>5.5</v>
      </c>
      <c r="N289">
        <v>22.311</v>
      </c>
      <c r="O289">
        <v>237</v>
      </c>
      <c r="P289">
        <v>3</v>
      </c>
      <c r="Q289">
        <v>0.50900000000000001</v>
      </c>
      <c r="R289" t="s">
        <v>97</v>
      </c>
      <c r="S289" t="s">
        <v>2081</v>
      </c>
      <c r="T289" t="b">
        <v>1</v>
      </c>
      <c r="U289" t="s">
        <v>1262</v>
      </c>
      <c r="V289" t="s">
        <v>1060</v>
      </c>
      <c r="W289" t="s">
        <v>2082</v>
      </c>
      <c r="X289" t="s">
        <v>47</v>
      </c>
      <c r="AA289" t="s">
        <v>102</v>
      </c>
      <c r="AB289" t="s">
        <v>337</v>
      </c>
      <c r="AC289" t="s">
        <v>103</v>
      </c>
      <c r="AD289" t="b">
        <v>0</v>
      </c>
      <c r="AF289">
        <v>1</v>
      </c>
      <c r="AG289" t="s">
        <v>104</v>
      </c>
    </row>
    <row r="290" spans="1:33" x14ac:dyDescent="0.2">
      <c r="A290">
        <v>80</v>
      </c>
      <c r="B290" t="s">
        <v>2083</v>
      </c>
      <c r="C290" t="s">
        <v>34</v>
      </c>
      <c r="D290" t="s">
        <v>35</v>
      </c>
      <c r="E290" t="s">
        <v>277</v>
      </c>
      <c r="F290" t="s">
        <v>278</v>
      </c>
      <c r="G290" t="s">
        <v>93</v>
      </c>
      <c r="H290" t="s">
        <v>94</v>
      </c>
      <c r="I290" t="s">
        <v>2084</v>
      </c>
      <c r="J290" t="s">
        <v>1166</v>
      </c>
      <c r="K290">
        <v>1980</v>
      </c>
      <c r="L290">
        <v>1980</v>
      </c>
      <c r="M290">
        <v>17.8</v>
      </c>
      <c r="N290">
        <v>79.641000000000005</v>
      </c>
      <c r="O290">
        <v>37.5</v>
      </c>
      <c r="P290">
        <v>60.29</v>
      </c>
      <c r="Q290">
        <v>8.2000000000000003E-2</v>
      </c>
      <c r="R290" t="s">
        <v>97</v>
      </c>
      <c r="S290" t="s">
        <v>2085</v>
      </c>
      <c r="T290" t="b">
        <v>1</v>
      </c>
      <c r="U290" t="s">
        <v>2086</v>
      </c>
      <c r="V290" t="s">
        <v>389</v>
      </c>
      <c r="W290" t="s">
        <v>2087</v>
      </c>
      <c r="X290" t="s">
        <v>47</v>
      </c>
      <c r="AA290" t="s">
        <v>102</v>
      </c>
      <c r="AB290" t="s">
        <v>485</v>
      </c>
      <c r="AC290" t="s">
        <v>103</v>
      </c>
      <c r="AD290" t="b">
        <v>0</v>
      </c>
      <c r="AF290">
        <v>1</v>
      </c>
      <c r="AG290" t="s">
        <v>104</v>
      </c>
    </row>
    <row r="291" spans="1:33" x14ac:dyDescent="0.2">
      <c r="A291">
        <v>1788</v>
      </c>
      <c r="B291" t="s">
        <v>2088</v>
      </c>
      <c r="C291" t="s">
        <v>34</v>
      </c>
      <c r="D291" t="s">
        <v>35</v>
      </c>
      <c r="E291" t="s">
        <v>2089</v>
      </c>
      <c r="F291" t="s">
        <v>2090</v>
      </c>
      <c r="G291" t="s">
        <v>53</v>
      </c>
      <c r="H291" t="s">
        <v>54</v>
      </c>
      <c r="I291" t="s">
        <v>118</v>
      </c>
      <c r="J291" t="s">
        <v>119</v>
      </c>
      <c r="K291">
        <v>2014</v>
      </c>
      <c r="L291">
        <v>2014</v>
      </c>
      <c r="M291">
        <v>0.97499999999999998</v>
      </c>
      <c r="N291">
        <v>2.88</v>
      </c>
      <c r="O291">
        <v>156.80000000000001</v>
      </c>
      <c r="P291">
        <v>0.88</v>
      </c>
      <c r="Q291">
        <v>0.308</v>
      </c>
      <c r="R291" t="s">
        <v>84</v>
      </c>
      <c r="S291" t="s">
        <v>120</v>
      </c>
      <c r="T291" t="b">
        <v>1</v>
      </c>
      <c r="U291" t="s">
        <v>2091</v>
      </c>
      <c r="V291" t="s">
        <v>2092</v>
      </c>
      <c r="W291" t="s">
        <v>2093</v>
      </c>
      <c r="X291" t="s">
        <v>47</v>
      </c>
      <c r="AA291" t="s">
        <v>124</v>
      </c>
      <c r="AC291" t="s">
        <v>63</v>
      </c>
      <c r="AD291" t="b">
        <v>0</v>
      </c>
      <c r="AF291">
        <v>5</v>
      </c>
      <c r="AG291" t="s">
        <v>89</v>
      </c>
    </row>
    <row r="292" spans="1:33" x14ac:dyDescent="0.2">
      <c r="A292">
        <v>1041</v>
      </c>
      <c r="B292" t="s">
        <v>2094</v>
      </c>
      <c r="C292" t="s">
        <v>34</v>
      </c>
      <c r="D292" t="s">
        <v>35</v>
      </c>
      <c r="E292" t="s">
        <v>682</v>
      </c>
      <c r="F292" t="s">
        <v>683</v>
      </c>
      <c r="G292" t="s">
        <v>68</v>
      </c>
      <c r="H292" t="s">
        <v>69</v>
      </c>
      <c r="I292" t="s">
        <v>1974</v>
      </c>
      <c r="J292" t="s">
        <v>1975</v>
      </c>
      <c r="K292">
        <v>1929</v>
      </c>
      <c r="L292">
        <v>1929</v>
      </c>
      <c r="M292">
        <v>0.78</v>
      </c>
      <c r="N292">
        <v>3.2909999999999999</v>
      </c>
      <c r="R292" t="s">
        <v>72</v>
      </c>
      <c r="S292" t="s">
        <v>2095</v>
      </c>
      <c r="T292" t="b">
        <v>1</v>
      </c>
      <c r="U292" t="s">
        <v>2096</v>
      </c>
      <c r="V292" t="s">
        <v>686</v>
      </c>
      <c r="W292" t="s">
        <v>113</v>
      </c>
      <c r="X292" t="s">
        <v>47</v>
      </c>
      <c r="AA292" t="s">
        <v>2097</v>
      </c>
      <c r="AC292" t="s">
        <v>2098</v>
      </c>
      <c r="AD292" t="b">
        <v>0</v>
      </c>
      <c r="AF292">
        <v>8</v>
      </c>
      <c r="AG292" t="s">
        <v>78</v>
      </c>
    </row>
    <row r="293" spans="1:33" x14ac:dyDescent="0.2">
      <c r="A293">
        <v>81</v>
      </c>
      <c r="B293" t="s">
        <v>2099</v>
      </c>
      <c r="C293" t="s">
        <v>34</v>
      </c>
      <c r="D293" t="s">
        <v>35</v>
      </c>
      <c r="E293" t="s">
        <v>682</v>
      </c>
      <c r="F293" t="s">
        <v>683</v>
      </c>
      <c r="G293" t="s">
        <v>68</v>
      </c>
      <c r="H293" t="s">
        <v>69</v>
      </c>
      <c r="I293" t="s">
        <v>1974</v>
      </c>
      <c r="J293" t="s">
        <v>1975</v>
      </c>
      <c r="K293">
        <v>1952</v>
      </c>
      <c r="L293">
        <v>1952</v>
      </c>
      <c r="M293">
        <v>7</v>
      </c>
      <c r="N293">
        <v>40.536000000000001</v>
      </c>
      <c r="O293">
        <v>330</v>
      </c>
      <c r="P293">
        <v>2.5</v>
      </c>
      <c r="Q293">
        <v>0.67800000000000005</v>
      </c>
      <c r="R293" t="s">
        <v>72</v>
      </c>
      <c r="S293" t="s">
        <v>2095</v>
      </c>
      <c r="T293" t="b">
        <v>1</v>
      </c>
      <c r="U293" t="s">
        <v>776</v>
      </c>
      <c r="V293" t="s">
        <v>686</v>
      </c>
      <c r="W293" t="s">
        <v>2100</v>
      </c>
      <c r="X293" t="s">
        <v>47</v>
      </c>
      <c r="AA293" t="s">
        <v>2097</v>
      </c>
      <c r="AB293" t="s">
        <v>49</v>
      </c>
      <c r="AC293" t="s">
        <v>2098</v>
      </c>
      <c r="AD293" t="b">
        <v>0</v>
      </c>
      <c r="AF293">
        <v>8</v>
      </c>
      <c r="AG293" t="s">
        <v>78</v>
      </c>
    </row>
    <row r="294" spans="1:33" x14ac:dyDescent="0.2">
      <c r="A294">
        <v>2132</v>
      </c>
      <c r="B294" t="s">
        <v>2101</v>
      </c>
      <c r="C294" t="s">
        <v>34</v>
      </c>
      <c r="D294" t="s">
        <v>35</v>
      </c>
      <c r="E294" t="s">
        <v>2102</v>
      </c>
      <c r="F294" t="s">
        <v>2103</v>
      </c>
      <c r="G294" t="s">
        <v>53</v>
      </c>
      <c r="H294" t="s">
        <v>54</v>
      </c>
      <c r="I294" t="s">
        <v>2104</v>
      </c>
      <c r="J294" t="s">
        <v>203</v>
      </c>
      <c r="K294">
        <v>2025</v>
      </c>
      <c r="L294">
        <v>2025</v>
      </c>
      <c r="M294">
        <v>28.8</v>
      </c>
      <c r="N294">
        <v>98</v>
      </c>
      <c r="O294">
        <v>432.3</v>
      </c>
      <c r="P294">
        <v>7.94</v>
      </c>
      <c r="Q294">
        <v>1.008</v>
      </c>
      <c r="R294" t="s">
        <v>57</v>
      </c>
      <c r="S294" t="s">
        <v>2105</v>
      </c>
      <c r="T294" t="b">
        <v>1</v>
      </c>
      <c r="U294" t="s">
        <v>2106</v>
      </c>
      <c r="V294" t="s">
        <v>2107</v>
      </c>
      <c r="W294" t="s">
        <v>2108</v>
      </c>
      <c r="X294" t="s">
        <v>47</v>
      </c>
      <c r="AA294" t="s">
        <v>2109</v>
      </c>
      <c r="AB294" t="s">
        <v>49</v>
      </c>
      <c r="AC294" t="s">
        <v>2110</v>
      </c>
      <c r="AD294" t="b">
        <v>0</v>
      </c>
      <c r="AF294">
        <v>7</v>
      </c>
      <c r="AG294" t="s">
        <v>469</v>
      </c>
    </row>
    <row r="295" spans="1:33" x14ac:dyDescent="0.2">
      <c r="A295">
        <v>228</v>
      </c>
      <c r="B295" t="s">
        <v>2111</v>
      </c>
      <c r="C295" t="s">
        <v>34</v>
      </c>
      <c r="D295" t="s">
        <v>35</v>
      </c>
      <c r="E295" t="s">
        <v>277</v>
      </c>
      <c r="F295" t="s">
        <v>278</v>
      </c>
      <c r="G295" t="s">
        <v>916</v>
      </c>
      <c r="H295" t="s">
        <v>567</v>
      </c>
      <c r="I295" t="s">
        <v>2112</v>
      </c>
      <c r="J295" t="s">
        <v>135</v>
      </c>
      <c r="K295">
        <v>1963</v>
      </c>
      <c r="L295">
        <v>1963</v>
      </c>
      <c r="M295">
        <v>230</v>
      </c>
      <c r="N295">
        <v>1233.0260000000001</v>
      </c>
      <c r="O295">
        <v>27</v>
      </c>
      <c r="P295">
        <v>1025</v>
      </c>
      <c r="Q295">
        <v>6.2300000000000001E-2</v>
      </c>
      <c r="R295" t="s">
        <v>97</v>
      </c>
      <c r="S295" t="s">
        <v>2113</v>
      </c>
      <c r="T295" t="b">
        <v>1</v>
      </c>
      <c r="U295" t="s">
        <v>2114</v>
      </c>
      <c r="V295" t="s">
        <v>2115</v>
      </c>
      <c r="W295" t="s">
        <v>2116</v>
      </c>
      <c r="X295" t="s">
        <v>47</v>
      </c>
      <c r="AA295" t="s">
        <v>340</v>
      </c>
      <c r="AB295" t="s">
        <v>119</v>
      </c>
      <c r="AC295" t="s">
        <v>341</v>
      </c>
      <c r="AD295" t="b">
        <v>0</v>
      </c>
      <c r="AF295">
        <v>1</v>
      </c>
      <c r="AG295" t="s">
        <v>104</v>
      </c>
    </row>
    <row r="296" spans="1:33" x14ac:dyDescent="0.2">
      <c r="A296">
        <v>2115</v>
      </c>
      <c r="B296" t="s">
        <v>2117</v>
      </c>
      <c r="C296" t="s">
        <v>34</v>
      </c>
      <c r="D296" t="s">
        <v>35</v>
      </c>
      <c r="E296" t="s">
        <v>2118</v>
      </c>
      <c r="F296" t="s">
        <v>2119</v>
      </c>
      <c r="G296" t="s">
        <v>53</v>
      </c>
      <c r="H296" t="s">
        <v>54</v>
      </c>
      <c r="I296" t="s">
        <v>235</v>
      </c>
      <c r="J296" t="s">
        <v>41</v>
      </c>
      <c r="K296">
        <v>2022</v>
      </c>
      <c r="L296">
        <v>2022</v>
      </c>
      <c r="M296">
        <v>0.05</v>
      </c>
      <c r="N296">
        <v>0.3</v>
      </c>
      <c r="R296" t="s">
        <v>84</v>
      </c>
      <c r="S296" t="s">
        <v>2120</v>
      </c>
      <c r="T296" t="b">
        <v>1</v>
      </c>
      <c r="U296" t="s">
        <v>2121</v>
      </c>
      <c r="V296" t="s">
        <v>2122</v>
      </c>
      <c r="W296" t="s">
        <v>113</v>
      </c>
      <c r="X296" t="s">
        <v>47</v>
      </c>
      <c r="AA296" t="s">
        <v>2123</v>
      </c>
      <c r="AC296" t="s">
        <v>63</v>
      </c>
      <c r="AD296" t="b">
        <v>0</v>
      </c>
      <c r="AF296">
        <v>5</v>
      </c>
      <c r="AG296" t="s">
        <v>89</v>
      </c>
    </row>
    <row r="297" spans="1:33" x14ac:dyDescent="0.2">
      <c r="A297">
        <v>2104</v>
      </c>
      <c r="B297" t="s">
        <v>2124</v>
      </c>
      <c r="C297" t="s">
        <v>34</v>
      </c>
      <c r="D297" t="s">
        <v>35</v>
      </c>
      <c r="E297" t="s">
        <v>404</v>
      </c>
      <c r="F297" t="s">
        <v>405</v>
      </c>
      <c r="G297" t="s">
        <v>312</v>
      </c>
      <c r="H297" t="s">
        <v>313</v>
      </c>
      <c r="I297" t="s">
        <v>2125</v>
      </c>
      <c r="J297" t="s">
        <v>973</v>
      </c>
      <c r="K297">
        <v>2023</v>
      </c>
      <c r="L297">
        <v>2023</v>
      </c>
      <c r="M297">
        <v>9.5</v>
      </c>
      <c r="N297">
        <v>59</v>
      </c>
      <c r="O297">
        <v>7.93</v>
      </c>
      <c r="P297">
        <v>135</v>
      </c>
      <c r="Q297">
        <v>0.02</v>
      </c>
      <c r="R297" t="s">
        <v>84</v>
      </c>
      <c r="S297" t="s">
        <v>2126</v>
      </c>
      <c r="T297" t="b">
        <v>1</v>
      </c>
      <c r="U297" t="s">
        <v>2127</v>
      </c>
      <c r="V297" t="s">
        <v>408</v>
      </c>
      <c r="W297" t="s">
        <v>2128</v>
      </c>
      <c r="X297" t="s">
        <v>47</v>
      </c>
      <c r="AA297" t="s">
        <v>319</v>
      </c>
      <c r="AB297" t="s">
        <v>231</v>
      </c>
      <c r="AC297" t="s">
        <v>320</v>
      </c>
      <c r="AD297" t="b">
        <v>0</v>
      </c>
      <c r="AF297">
        <v>4</v>
      </c>
      <c r="AG297" t="s">
        <v>321</v>
      </c>
    </row>
    <row r="298" spans="1:33" x14ac:dyDescent="0.2">
      <c r="A298">
        <v>82</v>
      </c>
      <c r="B298" t="s">
        <v>2129</v>
      </c>
      <c r="C298" t="s">
        <v>34</v>
      </c>
      <c r="D298" t="s">
        <v>35</v>
      </c>
      <c r="E298" t="s">
        <v>2130</v>
      </c>
      <c r="F298" t="s">
        <v>2131</v>
      </c>
      <c r="G298" t="s">
        <v>503</v>
      </c>
      <c r="H298" t="s">
        <v>462</v>
      </c>
      <c r="I298" t="s">
        <v>504</v>
      </c>
      <c r="J298" t="s">
        <v>109</v>
      </c>
      <c r="K298">
        <v>1972</v>
      </c>
      <c r="L298">
        <v>1972</v>
      </c>
      <c r="M298">
        <v>108</v>
      </c>
      <c r="N298">
        <v>296.52499999999998</v>
      </c>
      <c r="O298">
        <v>298</v>
      </c>
      <c r="P298">
        <v>42.97</v>
      </c>
      <c r="Q298">
        <v>0.69799999999999995</v>
      </c>
      <c r="R298" t="s">
        <v>84</v>
      </c>
      <c r="S298" t="s">
        <v>2132</v>
      </c>
      <c r="T298" t="b">
        <v>1</v>
      </c>
      <c r="U298" t="s">
        <v>2133</v>
      </c>
      <c r="V298" t="s">
        <v>2134</v>
      </c>
      <c r="W298" t="s">
        <v>2135</v>
      </c>
      <c r="X298" t="s">
        <v>47</v>
      </c>
      <c r="AA298" t="s">
        <v>509</v>
      </c>
      <c r="AB298" t="s">
        <v>485</v>
      </c>
      <c r="AC298" t="s">
        <v>510</v>
      </c>
      <c r="AD298" t="b">
        <v>0</v>
      </c>
      <c r="AF298">
        <v>3</v>
      </c>
      <c r="AG298" t="s">
        <v>332</v>
      </c>
    </row>
    <row r="299" spans="1:33" x14ac:dyDescent="0.2">
      <c r="A299">
        <v>1469</v>
      </c>
      <c r="B299" t="s">
        <v>2136</v>
      </c>
      <c r="C299" t="s">
        <v>34</v>
      </c>
      <c r="D299" t="s">
        <v>35</v>
      </c>
      <c r="E299" t="s">
        <v>180</v>
      </c>
      <c r="F299" t="s">
        <v>181</v>
      </c>
      <c r="G299" t="s">
        <v>224</v>
      </c>
      <c r="H299" t="s">
        <v>225</v>
      </c>
      <c r="I299" t="s">
        <v>2137</v>
      </c>
      <c r="J299" t="s">
        <v>676</v>
      </c>
      <c r="K299">
        <v>2011</v>
      </c>
      <c r="L299">
        <v>2011</v>
      </c>
      <c r="M299">
        <v>1.4279999999999999</v>
      </c>
      <c r="N299">
        <v>2.9510000000000001</v>
      </c>
      <c r="O299">
        <v>299.10000000000002</v>
      </c>
      <c r="P299">
        <v>0.54</v>
      </c>
      <c r="Q299">
        <v>0.73499999999999999</v>
      </c>
      <c r="R299" t="s">
        <v>57</v>
      </c>
      <c r="S299" t="s">
        <v>2138</v>
      </c>
      <c r="T299" t="b">
        <v>1</v>
      </c>
      <c r="U299" t="s">
        <v>2139</v>
      </c>
      <c r="V299" t="s">
        <v>429</v>
      </c>
      <c r="W299" t="s">
        <v>2140</v>
      </c>
      <c r="X299" t="s">
        <v>47</v>
      </c>
      <c r="AA299" t="s">
        <v>102</v>
      </c>
      <c r="AB299" t="s">
        <v>2141</v>
      </c>
      <c r="AC299" t="s">
        <v>103</v>
      </c>
      <c r="AD299" t="b">
        <v>0</v>
      </c>
      <c r="AF299">
        <v>2</v>
      </c>
      <c r="AG299" t="s">
        <v>287</v>
      </c>
    </row>
    <row r="300" spans="1:33" x14ac:dyDescent="0.2">
      <c r="A300">
        <v>83</v>
      </c>
      <c r="B300" t="s">
        <v>2142</v>
      </c>
      <c r="C300" t="s">
        <v>34</v>
      </c>
      <c r="D300" t="s">
        <v>35</v>
      </c>
      <c r="E300" t="s">
        <v>404</v>
      </c>
      <c r="F300" t="s">
        <v>405</v>
      </c>
      <c r="G300" t="s">
        <v>312</v>
      </c>
      <c r="H300" t="s">
        <v>313</v>
      </c>
      <c r="I300" t="s">
        <v>1049</v>
      </c>
      <c r="J300" t="s">
        <v>171</v>
      </c>
      <c r="K300">
        <v>1963</v>
      </c>
      <c r="L300">
        <v>1963</v>
      </c>
      <c r="M300">
        <v>23</v>
      </c>
      <c r="N300">
        <v>160.642</v>
      </c>
      <c r="O300">
        <v>298</v>
      </c>
      <c r="P300">
        <v>8.9</v>
      </c>
      <c r="Q300">
        <v>0.67100000000000004</v>
      </c>
      <c r="R300" t="s">
        <v>84</v>
      </c>
      <c r="S300" t="s">
        <v>2143</v>
      </c>
      <c r="T300" t="b">
        <v>1</v>
      </c>
      <c r="U300" t="s">
        <v>2114</v>
      </c>
      <c r="V300" t="s">
        <v>408</v>
      </c>
      <c r="W300" t="s">
        <v>2144</v>
      </c>
      <c r="X300" t="s">
        <v>47</v>
      </c>
      <c r="AA300" t="s">
        <v>615</v>
      </c>
      <c r="AB300" t="s">
        <v>280</v>
      </c>
      <c r="AC300" t="s">
        <v>616</v>
      </c>
      <c r="AD300" t="b">
        <v>0</v>
      </c>
      <c r="AF300">
        <v>4</v>
      </c>
      <c r="AG300" t="s">
        <v>321</v>
      </c>
    </row>
    <row r="301" spans="1:33" x14ac:dyDescent="0.2">
      <c r="A301">
        <v>84</v>
      </c>
      <c r="B301" t="s">
        <v>2145</v>
      </c>
      <c r="C301" t="s">
        <v>34</v>
      </c>
      <c r="D301" t="s">
        <v>35</v>
      </c>
      <c r="E301" t="s">
        <v>2146</v>
      </c>
      <c r="F301" t="s">
        <v>2147</v>
      </c>
      <c r="G301" t="s">
        <v>134</v>
      </c>
      <c r="H301" t="s">
        <v>135</v>
      </c>
      <c r="I301" t="s">
        <v>2148</v>
      </c>
      <c r="J301" t="s">
        <v>414</v>
      </c>
      <c r="K301">
        <v>1979</v>
      </c>
      <c r="L301">
        <v>1979</v>
      </c>
      <c r="M301">
        <v>1.5</v>
      </c>
      <c r="N301">
        <v>4.0789999999999997</v>
      </c>
      <c r="O301">
        <v>60</v>
      </c>
      <c r="P301">
        <v>2.89</v>
      </c>
      <c r="Q301">
        <v>0.14299999999999999</v>
      </c>
      <c r="R301" t="s">
        <v>42</v>
      </c>
      <c r="S301" t="s">
        <v>2149</v>
      </c>
      <c r="T301" t="b">
        <v>1</v>
      </c>
      <c r="U301" t="s">
        <v>2150</v>
      </c>
      <c r="V301" t="s">
        <v>2151</v>
      </c>
      <c r="W301" t="s">
        <v>113</v>
      </c>
      <c r="X301" t="s">
        <v>47</v>
      </c>
      <c r="AA301" t="s">
        <v>2152</v>
      </c>
      <c r="AB301" t="s">
        <v>177</v>
      </c>
      <c r="AC301" t="s">
        <v>2153</v>
      </c>
      <c r="AD301" t="b">
        <v>0</v>
      </c>
      <c r="AF301">
        <v>11</v>
      </c>
      <c r="AG301" t="s">
        <v>198</v>
      </c>
    </row>
    <row r="302" spans="1:33" x14ac:dyDescent="0.2">
      <c r="A302">
        <v>1936</v>
      </c>
      <c r="B302" t="s">
        <v>2154</v>
      </c>
      <c r="C302" t="s">
        <v>34</v>
      </c>
      <c r="D302" t="s">
        <v>35</v>
      </c>
      <c r="E302" t="s">
        <v>1492</v>
      </c>
      <c r="F302" t="s">
        <v>1493</v>
      </c>
      <c r="G302" t="s">
        <v>242</v>
      </c>
      <c r="H302" t="s">
        <v>243</v>
      </c>
      <c r="I302" t="s">
        <v>2155</v>
      </c>
      <c r="J302" t="s">
        <v>313</v>
      </c>
      <c r="K302">
        <v>2018</v>
      </c>
      <c r="L302">
        <v>2018</v>
      </c>
      <c r="M302">
        <v>5.0999999999999996</v>
      </c>
      <c r="N302">
        <v>18.594999999999999</v>
      </c>
      <c r="O302">
        <v>187.1</v>
      </c>
      <c r="P302">
        <v>3.25</v>
      </c>
      <c r="Q302">
        <v>0.436</v>
      </c>
      <c r="R302" t="s">
        <v>42</v>
      </c>
      <c r="S302" t="s">
        <v>2156</v>
      </c>
      <c r="T302" t="b">
        <v>1</v>
      </c>
      <c r="U302" t="s">
        <v>2157</v>
      </c>
      <c r="V302" t="s">
        <v>1496</v>
      </c>
      <c r="W302" t="s">
        <v>2158</v>
      </c>
      <c r="X302" t="s">
        <v>47</v>
      </c>
      <c r="AA302" t="s">
        <v>2159</v>
      </c>
      <c r="AC302" t="s">
        <v>2160</v>
      </c>
      <c r="AD302" t="b">
        <v>0</v>
      </c>
      <c r="AF302">
        <v>10</v>
      </c>
      <c r="AG302" t="s">
        <v>143</v>
      </c>
    </row>
    <row r="303" spans="1:33" x14ac:dyDescent="0.2">
      <c r="A303">
        <v>1063</v>
      </c>
      <c r="B303" t="s">
        <v>2161</v>
      </c>
      <c r="C303" t="s">
        <v>34</v>
      </c>
      <c r="D303" t="s">
        <v>35</v>
      </c>
      <c r="G303" t="s">
        <v>213</v>
      </c>
      <c r="H303" t="s">
        <v>83</v>
      </c>
      <c r="I303" t="s">
        <v>711</v>
      </c>
      <c r="J303" t="s">
        <v>515</v>
      </c>
      <c r="K303">
        <v>1984</v>
      </c>
      <c r="L303">
        <v>1984</v>
      </c>
      <c r="M303">
        <v>0.1</v>
      </c>
      <c r="N303">
        <v>0.47299999999999998</v>
      </c>
      <c r="R303" t="s">
        <v>84</v>
      </c>
      <c r="S303" t="s">
        <v>2162</v>
      </c>
      <c r="T303" t="b">
        <v>1</v>
      </c>
      <c r="U303" t="s">
        <v>2163</v>
      </c>
      <c r="V303" t="s">
        <v>274</v>
      </c>
      <c r="W303" t="s">
        <v>113</v>
      </c>
      <c r="X303" t="s">
        <v>47</v>
      </c>
      <c r="AA303" t="s">
        <v>2164</v>
      </c>
      <c r="AC303" t="s">
        <v>63</v>
      </c>
      <c r="AD303" t="b">
        <v>0</v>
      </c>
      <c r="AF303">
        <v>4</v>
      </c>
      <c r="AG303" t="s">
        <v>321</v>
      </c>
    </row>
    <row r="304" spans="1:33" x14ac:dyDescent="0.2">
      <c r="A304">
        <v>2021</v>
      </c>
      <c r="B304" t="s">
        <v>2165</v>
      </c>
      <c r="C304" t="s">
        <v>34</v>
      </c>
      <c r="D304" t="s">
        <v>35</v>
      </c>
      <c r="E304" t="s">
        <v>892</v>
      </c>
      <c r="F304" t="s">
        <v>893</v>
      </c>
      <c r="G304" t="s">
        <v>213</v>
      </c>
      <c r="H304" t="s">
        <v>83</v>
      </c>
      <c r="I304" t="s">
        <v>1527</v>
      </c>
      <c r="J304" t="s">
        <v>245</v>
      </c>
      <c r="K304">
        <v>2020</v>
      </c>
      <c r="L304">
        <v>2020</v>
      </c>
      <c r="M304">
        <v>3.06</v>
      </c>
      <c r="N304">
        <v>9.125</v>
      </c>
      <c r="O304">
        <v>244.74</v>
      </c>
      <c r="P304">
        <v>1.5</v>
      </c>
      <c r="Q304">
        <v>0.56699999999999995</v>
      </c>
      <c r="R304" t="s">
        <v>84</v>
      </c>
      <c r="S304" t="s">
        <v>2166</v>
      </c>
      <c r="T304" t="b">
        <v>1</v>
      </c>
      <c r="U304" t="s">
        <v>2167</v>
      </c>
      <c r="V304" t="s">
        <v>896</v>
      </c>
      <c r="W304" t="s">
        <v>2168</v>
      </c>
      <c r="X304" t="s">
        <v>47</v>
      </c>
      <c r="AA304" t="s">
        <v>1532</v>
      </c>
      <c r="AC304" t="s">
        <v>1533</v>
      </c>
      <c r="AD304" t="b">
        <v>0</v>
      </c>
      <c r="AF304">
        <v>5</v>
      </c>
      <c r="AG304" t="s">
        <v>89</v>
      </c>
    </row>
    <row r="305" spans="1:33" x14ac:dyDescent="0.2">
      <c r="A305">
        <v>85</v>
      </c>
      <c r="B305" t="s">
        <v>2169</v>
      </c>
      <c r="C305" t="s">
        <v>34</v>
      </c>
      <c r="D305" t="s">
        <v>35</v>
      </c>
      <c r="E305" t="s">
        <v>2170</v>
      </c>
      <c r="F305" t="s">
        <v>2171</v>
      </c>
      <c r="G305" t="s">
        <v>53</v>
      </c>
      <c r="H305" t="s">
        <v>54</v>
      </c>
      <c r="I305" t="s">
        <v>532</v>
      </c>
      <c r="J305" t="s">
        <v>533</v>
      </c>
      <c r="K305">
        <v>1962</v>
      </c>
      <c r="L305">
        <v>1962</v>
      </c>
      <c r="M305">
        <v>2</v>
      </c>
      <c r="N305">
        <v>8.4109999999999996</v>
      </c>
      <c r="O305">
        <v>230</v>
      </c>
      <c r="P305">
        <v>1.1000000000000001</v>
      </c>
      <c r="Q305">
        <v>0.505</v>
      </c>
      <c r="R305" t="s">
        <v>57</v>
      </c>
      <c r="S305" t="s">
        <v>2172</v>
      </c>
      <c r="T305" t="b">
        <v>1</v>
      </c>
      <c r="U305" t="s">
        <v>2173</v>
      </c>
      <c r="V305" t="s">
        <v>2174</v>
      </c>
      <c r="W305" t="s">
        <v>2175</v>
      </c>
      <c r="X305" t="s">
        <v>47</v>
      </c>
      <c r="AA305" t="s">
        <v>538</v>
      </c>
      <c r="AB305" t="s">
        <v>308</v>
      </c>
      <c r="AC305" t="s">
        <v>540</v>
      </c>
      <c r="AD305" t="b">
        <v>0</v>
      </c>
      <c r="AF305">
        <v>7</v>
      </c>
      <c r="AG305" t="s">
        <v>469</v>
      </c>
    </row>
    <row r="306" spans="1:33" x14ac:dyDescent="0.2">
      <c r="A306">
        <v>1327</v>
      </c>
      <c r="B306" t="s">
        <v>2176</v>
      </c>
      <c r="C306" t="s">
        <v>34</v>
      </c>
      <c r="D306" t="s">
        <v>35</v>
      </c>
      <c r="E306" t="s">
        <v>2177</v>
      </c>
      <c r="F306" t="s">
        <v>2178</v>
      </c>
      <c r="G306" t="s">
        <v>53</v>
      </c>
      <c r="H306" t="s">
        <v>54</v>
      </c>
      <c r="I306" t="s">
        <v>170</v>
      </c>
      <c r="J306" t="s">
        <v>171</v>
      </c>
      <c r="K306">
        <v>2006</v>
      </c>
      <c r="L306">
        <v>2006</v>
      </c>
      <c r="M306">
        <v>0.8</v>
      </c>
      <c r="N306">
        <v>3.4159999999999999</v>
      </c>
      <c r="O306">
        <v>100</v>
      </c>
      <c r="R306" t="s">
        <v>57</v>
      </c>
      <c r="S306" t="s">
        <v>2053</v>
      </c>
      <c r="T306" t="b">
        <v>1</v>
      </c>
      <c r="U306" t="s">
        <v>2179</v>
      </c>
      <c r="V306" t="s">
        <v>2180</v>
      </c>
      <c r="W306" t="s">
        <v>2181</v>
      </c>
      <c r="X306" t="s">
        <v>47</v>
      </c>
      <c r="AA306" t="s">
        <v>949</v>
      </c>
      <c r="AC306" t="s">
        <v>63</v>
      </c>
      <c r="AD306" t="b">
        <v>0</v>
      </c>
      <c r="AF306">
        <v>6</v>
      </c>
      <c r="AG306" t="s">
        <v>64</v>
      </c>
    </row>
    <row r="307" spans="1:33" x14ac:dyDescent="0.2">
      <c r="A307">
        <v>1801</v>
      </c>
      <c r="B307" t="s">
        <v>2182</v>
      </c>
      <c r="C307" t="s">
        <v>34</v>
      </c>
      <c r="D307" t="s">
        <v>35</v>
      </c>
      <c r="E307" t="s">
        <v>576</v>
      </c>
      <c r="F307" t="s">
        <v>577</v>
      </c>
      <c r="G307" t="s">
        <v>503</v>
      </c>
      <c r="H307" t="s">
        <v>462</v>
      </c>
      <c r="I307" t="s">
        <v>578</v>
      </c>
      <c r="J307" t="s">
        <v>308</v>
      </c>
      <c r="K307">
        <v>2015</v>
      </c>
      <c r="L307">
        <v>2015</v>
      </c>
      <c r="M307">
        <v>4.3</v>
      </c>
      <c r="N307">
        <v>11.363</v>
      </c>
      <c r="O307">
        <v>183</v>
      </c>
      <c r="P307">
        <v>2.7</v>
      </c>
      <c r="Q307">
        <v>0.442</v>
      </c>
      <c r="R307" t="s">
        <v>84</v>
      </c>
      <c r="S307" t="s">
        <v>2183</v>
      </c>
      <c r="T307" t="b">
        <v>1</v>
      </c>
      <c r="U307" t="s">
        <v>2184</v>
      </c>
      <c r="V307" t="s">
        <v>581</v>
      </c>
      <c r="W307" t="s">
        <v>582</v>
      </c>
      <c r="X307" t="s">
        <v>47</v>
      </c>
      <c r="AA307" t="s">
        <v>583</v>
      </c>
      <c r="AB307" t="s">
        <v>227</v>
      </c>
      <c r="AC307" t="s">
        <v>585</v>
      </c>
      <c r="AD307" t="b">
        <v>0</v>
      </c>
      <c r="AF307">
        <v>3</v>
      </c>
      <c r="AG307" t="s">
        <v>332</v>
      </c>
    </row>
    <row r="308" spans="1:33" x14ac:dyDescent="0.2">
      <c r="A308">
        <v>1546</v>
      </c>
      <c r="B308" t="s">
        <v>2185</v>
      </c>
      <c r="C308" t="s">
        <v>34</v>
      </c>
      <c r="D308" t="s">
        <v>35</v>
      </c>
      <c r="E308" t="s">
        <v>2186</v>
      </c>
      <c r="F308" t="s">
        <v>2187</v>
      </c>
      <c r="G308" t="s">
        <v>53</v>
      </c>
      <c r="H308" t="s">
        <v>54</v>
      </c>
      <c r="I308" t="s">
        <v>118</v>
      </c>
      <c r="J308" t="s">
        <v>119</v>
      </c>
      <c r="K308">
        <v>2008</v>
      </c>
      <c r="L308">
        <v>2008</v>
      </c>
      <c r="M308">
        <v>0.16</v>
      </c>
      <c r="N308">
        <v>0.43099999999999999</v>
      </c>
      <c r="R308" t="s">
        <v>84</v>
      </c>
      <c r="S308" t="s">
        <v>2188</v>
      </c>
      <c r="T308" t="b">
        <v>1</v>
      </c>
      <c r="U308" t="s">
        <v>2189</v>
      </c>
      <c r="V308" t="s">
        <v>2190</v>
      </c>
      <c r="W308" t="s">
        <v>2191</v>
      </c>
      <c r="X308" t="s">
        <v>47</v>
      </c>
      <c r="AA308" t="s">
        <v>824</v>
      </c>
      <c r="AC308" t="s">
        <v>825</v>
      </c>
      <c r="AD308" t="b">
        <v>0</v>
      </c>
      <c r="AF308">
        <v>5</v>
      </c>
      <c r="AG308" t="s">
        <v>89</v>
      </c>
    </row>
    <row r="309" spans="1:33" x14ac:dyDescent="0.2">
      <c r="A309">
        <v>1764</v>
      </c>
      <c r="B309" t="s">
        <v>2192</v>
      </c>
      <c r="C309" t="s">
        <v>34</v>
      </c>
      <c r="D309" t="s">
        <v>35</v>
      </c>
      <c r="E309" t="s">
        <v>523</v>
      </c>
      <c r="F309" t="s">
        <v>524</v>
      </c>
      <c r="G309" t="s">
        <v>242</v>
      </c>
      <c r="H309" t="s">
        <v>243</v>
      </c>
      <c r="I309" t="s">
        <v>2193</v>
      </c>
      <c r="J309" t="s">
        <v>378</v>
      </c>
      <c r="K309">
        <v>2015</v>
      </c>
      <c r="L309">
        <v>2015</v>
      </c>
      <c r="M309">
        <v>4.83</v>
      </c>
      <c r="N309">
        <v>12.305999999999999</v>
      </c>
      <c r="O309">
        <v>82.5</v>
      </c>
      <c r="P309">
        <v>7.5</v>
      </c>
      <c r="Q309">
        <v>0.17899999999999999</v>
      </c>
      <c r="R309" t="s">
        <v>72</v>
      </c>
      <c r="S309" t="s">
        <v>2194</v>
      </c>
      <c r="T309" t="b">
        <v>1</v>
      </c>
      <c r="U309" t="s">
        <v>2195</v>
      </c>
      <c r="V309" t="s">
        <v>527</v>
      </c>
      <c r="W309" t="s">
        <v>2196</v>
      </c>
      <c r="X309" t="s">
        <v>47</v>
      </c>
      <c r="AA309" t="s">
        <v>2192</v>
      </c>
      <c r="AB309" t="s">
        <v>308</v>
      </c>
      <c r="AC309" t="s">
        <v>2197</v>
      </c>
      <c r="AD309" t="b">
        <v>0</v>
      </c>
      <c r="AF309">
        <v>8</v>
      </c>
      <c r="AG309" t="s">
        <v>78</v>
      </c>
    </row>
    <row r="310" spans="1:33" x14ac:dyDescent="0.2">
      <c r="A310">
        <v>2045</v>
      </c>
      <c r="B310" t="s">
        <v>2198</v>
      </c>
      <c r="C310" t="s">
        <v>34</v>
      </c>
      <c r="D310" t="s">
        <v>35</v>
      </c>
      <c r="E310" t="s">
        <v>2199</v>
      </c>
      <c r="F310" t="s">
        <v>2200</v>
      </c>
      <c r="G310" t="s">
        <v>242</v>
      </c>
      <c r="H310" t="s">
        <v>243</v>
      </c>
      <c r="I310" t="s">
        <v>255</v>
      </c>
      <c r="J310" t="s">
        <v>256</v>
      </c>
      <c r="K310">
        <v>2022</v>
      </c>
      <c r="L310">
        <v>2022</v>
      </c>
      <c r="M310">
        <v>5.0999999999999996</v>
      </c>
      <c r="N310">
        <v>17.024999999999999</v>
      </c>
      <c r="O310">
        <v>88</v>
      </c>
      <c r="P310">
        <v>6.82</v>
      </c>
      <c r="Q310">
        <v>0.20699999999999999</v>
      </c>
      <c r="R310" t="s">
        <v>42</v>
      </c>
      <c r="S310" t="s">
        <v>2201</v>
      </c>
      <c r="T310" t="b">
        <v>1</v>
      </c>
      <c r="U310" t="s">
        <v>2202</v>
      </c>
      <c r="V310" t="s">
        <v>2203</v>
      </c>
      <c r="W310" t="s">
        <v>2204</v>
      </c>
      <c r="X310" t="s">
        <v>47</v>
      </c>
      <c r="AA310" t="s">
        <v>261</v>
      </c>
      <c r="AB310" t="s">
        <v>243</v>
      </c>
      <c r="AC310" t="s">
        <v>263</v>
      </c>
      <c r="AD310" t="b">
        <v>0</v>
      </c>
      <c r="AF310">
        <v>10</v>
      </c>
      <c r="AG310" t="s">
        <v>143</v>
      </c>
    </row>
    <row r="311" spans="1:33" x14ac:dyDescent="0.2">
      <c r="A311">
        <v>86</v>
      </c>
      <c r="B311" t="s">
        <v>2205</v>
      </c>
      <c r="C311" t="s">
        <v>34</v>
      </c>
      <c r="D311" t="s">
        <v>35</v>
      </c>
      <c r="E311" t="s">
        <v>91</v>
      </c>
      <c r="F311" t="s">
        <v>92</v>
      </c>
      <c r="G311" t="s">
        <v>503</v>
      </c>
      <c r="H311" t="s">
        <v>462</v>
      </c>
      <c r="I311" t="s">
        <v>564</v>
      </c>
      <c r="J311" t="s">
        <v>515</v>
      </c>
      <c r="K311">
        <v>1970</v>
      </c>
      <c r="L311">
        <v>1970</v>
      </c>
      <c r="M311">
        <v>50</v>
      </c>
      <c r="N311">
        <v>128.70699999999999</v>
      </c>
      <c r="O311">
        <v>258</v>
      </c>
      <c r="P311">
        <v>22.51</v>
      </c>
      <c r="Q311">
        <v>0.61599999999999999</v>
      </c>
      <c r="R311" t="s">
        <v>84</v>
      </c>
      <c r="S311" t="s">
        <v>2206</v>
      </c>
      <c r="T311" t="b">
        <v>1</v>
      </c>
      <c r="U311" t="s">
        <v>2207</v>
      </c>
      <c r="V311" t="s">
        <v>100</v>
      </c>
      <c r="W311" t="s">
        <v>2208</v>
      </c>
      <c r="X311" t="s">
        <v>47</v>
      </c>
      <c r="AA311" t="s">
        <v>509</v>
      </c>
      <c r="AB311" t="s">
        <v>56</v>
      </c>
      <c r="AC311" t="s">
        <v>510</v>
      </c>
      <c r="AD311" t="b">
        <v>0</v>
      </c>
      <c r="AF311">
        <v>3</v>
      </c>
      <c r="AG311" t="s">
        <v>332</v>
      </c>
    </row>
    <row r="312" spans="1:33" x14ac:dyDescent="0.2">
      <c r="A312">
        <v>87</v>
      </c>
      <c r="B312" t="s">
        <v>2209</v>
      </c>
      <c r="C312" t="s">
        <v>34</v>
      </c>
      <c r="D312" t="s">
        <v>35</v>
      </c>
      <c r="E312" t="s">
        <v>36</v>
      </c>
      <c r="F312" t="s">
        <v>37</v>
      </c>
      <c r="G312" t="s">
        <v>242</v>
      </c>
      <c r="H312" t="s">
        <v>243</v>
      </c>
      <c r="I312" t="s">
        <v>978</v>
      </c>
      <c r="J312" t="s">
        <v>49</v>
      </c>
      <c r="K312">
        <v>1957</v>
      </c>
      <c r="L312">
        <v>1957</v>
      </c>
      <c r="M312">
        <v>18.8</v>
      </c>
      <c r="N312">
        <v>99.066000000000003</v>
      </c>
      <c r="O312">
        <v>27</v>
      </c>
      <c r="P312">
        <v>80.33</v>
      </c>
      <c r="Q312">
        <v>6.4000000000000001E-2</v>
      </c>
      <c r="R312" t="s">
        <v>72</v>
      </c>
      <c r="S312" t="s">
        <v>2210</v>
      </c>
      <c r="T312" t="b">
        <v>1</v>
      </c>
      <c r="U312" t="s">
        <v>1583</v>
      </c>
      <c r="V312" t="s">
        <v>45</v>
      </c>
      <c r="W312" t="s">
        <v>113</v>
      </c>
      <c r="X312" t="s">
        <v>47</v>
      </c>
      <c r="AA312" t="s">
        <v>982</v>
      </c>
      <c r="AB312" t="s">
        <v>308</v>
      </c>
      <c r="AC312" t="s">
        <v>983</v>
      </c>
      <c r="AD312" t="b">
        <v>0</v>
      </c>
      <c r="AF312">
        <v>9</v>
      </c>
      <c r="AG312" t="s">
        <v>251</v>
      </c>
    </row>
    <row r="313" spans="1:33" x14ac:dyDescent="0.2">
      <c r="A313">
        <v>1358</v>
      </c>
      <c r="B313" t="s">
        <v>2211</v>
      </c>
      <c r="C313" t="s">
        <v>34</v>
      </c>
      <c r="D313" t="s">
        <v>35</v>
      </c>
      <c r="G313" t="s">
        <v>483</v>
      </c>
      <c r="H313" t="s">
        <v>109</v>
      </c>
      <c r="I313" t="s">
        <v>2212</v>
      </c>
      <c r="J313" t="s">
        <v>313</v>
      </c>
      <c r="K313">
        <v>2006</v>
      </c>
      <c r="L313">
        <v>2006</v>
      </c>
      <c r="M313">
        <v>2.1000000000000001E-2</v>
      </c>
      <c r="N313">
        <v>1.7999999999999999E-2</v>
      </c>
      <c r="R313" t="s">
        <v>97</v>
      </c>
      <c r="S313" t="s">
        <v>2213</v>
      </c>
      <c r="T313" t="b">
        <v>1</v>
      </c>
      <c r="U313" t="s">
        <v>1305</v>
      </c>
      <c r="V313" t="s">
        <v>60</v>
      </c>
      <c r="W313" t="s">
        <v>2214</v>
      </c>
      <c r="X313" t="s">
        <v>47</v>
      </c>
      <c r="AA313" t="s">
        <v>340</v>
      </c>
      <c r="AC313" t="s">
        <v>341</v>
      </c>
      <c r="AD313" t="b">
        <v>0</v>
      </c>
      <c r="AF313">
        <v>1</v>
      </c>
      <c r="AG313" t="s">
        <v>104</v>
      </c>
    </row>
    <row r="314" spans="1:33" x14ac:dyDescent="0.2">
      <c r="A314">
        <v>2067</v>
      </c>
      <c r="B314" t="s">
        <v>2215</v>
      </c>
      <c r="C314" t="s">
        <v>34</v>
      </c>
      <c r="D314" t="s">
        <v>35</v>
      </c>
      <c r="E314" t="s">
        <v>2216</v>
      </c>
      <c r="F314" t="s">
        <v>2217</v>
      </c>
      <c r="G314" t="s">
        <v>312</v>
      </c>
      <c r="H314" t="s">
        <v>313</v>
      </c>
      <c r="I314" t="s">
        <v>2218</v>
      </c>
      <c r="J314" t="s">
        <v>1077</v>
      </c>
      <c r="K314">
        <v>2024</v>
      </c>
      <c r="L314">
        <v>2024</v>
      </c>
      <c r="M314">
        <v>9.9</v>
      </c>
      <c r="N314">
        <v>47</v>
      </c>
      <c r="O314">
        <v>150.33000000000001</v>
      </c>
      <c r="P314">
        <v>7.5</v>
      </c>
      <c r="Q314">
        <v>0.36699999999999999</v>
      </c>
      <c r="R314" t="s">
        <v>84</v>
      </c>
      <c r="S314" t="s">
        <v>2219</v>
      </c>
      <c r="T314" t="b">
        <v>1</v>
      </c>
      <c r="U314" t="s">
        <v>2220</v>
      </c>
      <c r="V314" t="s">
        <v>2221</v>
      </c>
      <c r="W314" t="s">
        <v>2222</v>
      </c>
      <c r="X314" t="s">
        <v>47</v>
      </c>
      <c r="AA314" t="s">
        <v>860</v>
      </c>
      <c r="AB314" t="s">
        <v>676</v>
      </c>
      <c r="AC314" t="s">
        <v>861</v>
      </c>
      <c r="AD314" t="b">
        <v>0</v>
      </c>
      <c r="AF314">
        <v>4</v>
      </c>
      <c r="AG314" t="s">
        <v>321</v>
      </c>
    </row>
    <row r="315" spans="1:33" x14ac:dyDescent="0.2">
      <c r="A315">
        <v>88</v>
      </c>
      <c r="B315" t="s">
        <v>2223</v>
      </c>
      <c r="C315" t="s">
        <v>34</v>
      </c>
      <c r="D315" t="s">
        <v>35</v>
      </c>
      <c r="E315" t="s">
        <v>1383</v>
      </c>
      <c r="F315" t="s">
        <v>1384</v>
      </c>
      <c r="G315" t="s">
        <v>312</v>
      </c>
      <c r="H315" t="s">
        <v>313</v>
      </c>
      <c r="I315" t="s">
        <v>2224</v>
      </c>
      <c r="J315" t="s">
        <v>119</v>
      </c>
      <c r="K315">
        <v>1927</v>
      </c>
      <c r="L315">
        <v>2009</v>
      </c>
      <c r="M315">
        <v>12.6</v>
      </c>
      <c r="N315">
        <v>67.849999999999994</v>
      </c>
      <c r="O315">
        <v>10.38</v>
      </c>
      <c r="P315">
        <v>140</v>
      </c>
      <c r="Q315">
        <v>2.47E-2</v>
      </c>
      <c r="R315" t="s">
        <v>84</v>
      </c>
      <c r="S315" t="s">
        <v>2225</v>
      </c>
      <c r="T315" t="b">
        <v>1</v>
      </c>
      <c r="U315" t="s">
        <v>2226</v>
      </c>
      <c r="V315" t="s">
        <v>1388</v>
      </c>
      <c r="W315" t="s">
        <v>2227</v>
      </c>
      <c r="X315" t="s">
        <v>47</v>
      </c>
      <c r="AA315" t="s">
        <v>509</v>
      </c>
      <c r="AB315" t="s">
        <v>227</v>
      </c>
      <c r="AC315" t="s">
        <v>510</v>
      </c>
      <c r="AD315" t="b">
        <v>0</v>
      </c>
      <c r="AF315">
        <v>4</v>
      </c>
      <c r="AG315" t="s">
        <v>321</v>
      </c>
    </row>
    <row r="316" spans="1:33" x14ac:dyDescent="0.2">
      <c r="A316">
        <v>2086</v>
      </c>
      <c r="B316" t="s">
        <v>2228</v>
      </c>
      <c r="C316" t="s">
        <v>34</v>
      </c>
      <c r="D316" t="s">
        <v>35</v>
      </c>
      <c r="E316" t="s">
        <v>2229</v>
      </c>
      <c r="F316" t="s">
        <v>2230</v>
      </c>
      <c r="G316" t="s">
        <v>213</v>
      </c>
      <c r="H316" t="s">
        <v>83</v>
      </c>
      <c r="I316" t="s">
        <v>611</v>
      </c>
      <c r="J316" t="s">
        <v>612</v>
      </c>
      <c r="K316">
        <v>2022</v>
      </c>
      <c r="L316">
        <v>2022</v>
      </c>
      <c r="M316">
        <v>2.0699999999999998</v>
      </c>
      <c r="N316">
        <v>7.0149999999999997</v>
      </c>
      <c r="O316">
        <v>49.55</v>
      </c>
      <c r="P316">
        <v>4.5999999999999996</v>
      </c>
      <c r="Q316">
        <v>0.125</v>
      </c>
      <c r="R316" t="s">
        <v>84</v>
      </c>
      <c r="S316" t="s">
        <v>2231</v>
      </c>
      <c r="T316" t="b">
        <v>1</v>
      </c>
      <c r="U316" t="s">
        <v>2232</v>
      </c>
      <c r="V316" t="s">
        <v>2233</v>
      </c>
      <c r="W316" t="s">
        <v>2234</v>
      </c>
      <c r="X316" t="s">
        <v>47</v>
      </c>
      <c r="AA316" t="s">
        <v>615</v>
      </c>
      <c r="AC316" t="s">
        <v>616</v>
      </c>
      <c r="AD316" t="b">
        <v>0</v>
      </c>
      <c r="AF316">
        <v>4</v>
      </c>
      <c r="AG316" t="s">
        <v>321</v>
      </c>
    </row>
    <row r="317" spans="1:33" x14ac:dyDescent="0.2">
      <c r="A317">
        <v>1241</v>
      </c>
      <c r="B317" t="s">
        <v>2235</v>
      </c>
      <c r="C317" t="s">
        <v>34</v>
      </c>
      <c r="D317" t="s">
        <v>35</v>
      </c>
      <c r="E317" t="s">
        <v>2236</v>
      </c>
      <c r="F317" t="s">
        <v>2237</v>
      </c>
      <c r="G317" t="s">
        <v>503</v>
      </c>
      <c r="H317" t="s">
        <v>462</v>
      </c>
      <c r="I317" t="s">
        <v>2238</v>
      </c>
      <c r="J317" t="s">
        <v>171</v>
      </c>
      <c r="K317">
        <v>2006</v>
      </c>
      <c r="L317">
        <v>2006</v>
      </c>
      <c r="M317">
        <v>1.3</v>
      </c>
      <c r="N317">
        <v>4.88</v>
      </c>
      <c r="O317">
        <v>348</v>
      </c>
      <c r="P317">
        <v>0.45</v>
      </c>
      <c r="Q317">
        <v>0.80200000000000005</v>
      </c>
      <c r="R317" t="s">
        <v>84</v>
      </c>
      <c r="S317" t="s">
        <v>2239</v>
      </c>
      <c r="T317" t="b">
        <v>1</v>
      </c>
      <c r="U317" t="s">
        <v>2240</v>
      </c>
      <c r="V317" t="s">
        <v>2241</v>
      </c>
      <c r="W317" t="s">
        <v>2242</v>
      </c>
      <c r="X317" t="s">
        <v>47</v>
      </c>
      <c r="AA317" t="s">
        <v>509</v>
      </c>
      <c r="AB317" t="s">
        <v>1975</v>
      </c>
      <c r="AC317" t="s">
        <v>510</v>
      </c>
      <c r="AD317" t="b">
        <v>0</v>
      </c>
      <c r="AF317">
        <v>3</v>
      </c>
      <c r="AG317" t="s">
        <v>332</v>
      </c>
    </row>
    <row r="318" spans="1:33" x14ac:dyDescent="0.2">
      <c r="A318">
        <v>1093</v>
      </c>
      <c r="B318" t="s">
        <v>2243</v>
      </c>
      <c r="C318" t="s">
        <v>34</v>
      </c>
      <c r="D318" t="s">
        <v>35</v>
      </c>
      <c r="G318" t="s">
        <v>53</v>
      </c>
      <c r="H318" t="s">
        <v>54</v>
      </c>
      <c r="I318" t="s">
        <v>2244</v>
      </c>
      <c r="J318" t="s">
        <v>1077</v>
      </c>
      <c r="K318">
        <v>2003</v>
      </c>
      <c r="L318">
        <v>2003</v>
      </c>
      <c r="M318">
        <v>0.9</v>
      </c>
      <c r="N318">
        <v>3.7</v>
      </c>
      <c r="R318" t="s">
        <v>84</v>
      </c>
      <c r="S318" t="s">
        <v>2245</v>
      </c>
      <c r="T318" t="b">
        <v>1</v>
      </c>
      <c r="U318" t="s">
        <v>2246</v>
      </c>
      <c r="V318" t="s">
        <v>274</v>
      </c>
      <c r="W318" t="s">
        <v>2247</v>
      </c>
      <c r="X318" t="s">
        <v>47</v>
      </c>
      <c r="AA318" t="s">
        <v>2248</v>
      </c>
      <c r="AC318" t="s">
        <v>63</v>
      </c>
      <c r="AD318" t="b">
        <v>0</v>
      </c>
      <c r="AF318">
        <v>5</v>
      </c>
      <c r="AG318" t="s">
        <v>89</v>
      </c>
    </row>
    <row r="319" spans="1:33" x14ac:dyDescent="0.2">
      <c r="A319">
        <v>2025</v>
      </c>
      <c r="B319" t="s">
        <v>2249</v>
      </c>
      <c r="C319" t="s">
        <v>34</v>
      </c>
      <c r="D319" t="s">
        <v>35</v>
      </c>
      <c r="E319" t="s">
        <v>1047</v>
      </c>
      <c r="F319" t="s">
        <v>1048</v>
      </c>
      <c r="G319" t="s">
        <v>312</v>
      </c>
      <c r="H319" t="s">
        <v>313</v>
      </c>
      <c r="I319" t="s">
        <v>2250</v>
      </c>
      <c r="J319" t="s">
        <v>836</v>
      </c>
      <c r="K319">
        <v>2021</v>
      </c>
      <c r="L319">
        <v>2021</v>
      </c>
      <c r="M319">
        <v>1.93</v>
      </c>
      <c r="N319">
        <v>6.0579999999999998</v>
      </c>
      <c r="O319">
        <v>117.8</v>
      </c>
      <c r="P319">
        <v>1.9390000000000001</v>
      </c>
      <c r="Q319">
        <v>0.27600000000000002</v>
      </c>
      <c r="R319" t="s">
        <v>84</v>
      </c>
      <c r="S319" t="s">
        <v>2251</v>
      </c>
      <c r="T319" t="b">
        <v>1</v>
      </c>
      <c r="U319" t="s">
        <v>2252</v>
      </c>
      <c r="V319" t="s">
        <v>1052</v>
      </c>
      <c r="W319" t="s">
        <v>2253</v>
      </c>
      <c r="X319" t="s">
        <v>47</v>
      </c>
      <c r="AA319" t="s">
        <v>2254</v>
      </c>
      <c r="AC319" t="s">
        <v>63</v>
      </c>
      <c r="AD319" t="b">
        <v>0</v>
      </c>
      <c r="AF319">
        <v>4</v>
      </c>
      <c r="AG319" t="s">
        <v>321</v>
      </c>
    </row>
    <row r="320" spans="1:33" x14ac:dyDescent="0.2">
      <c r="A320">
        <v>89</v>
      </c>
      <c r="B320" t="s">
        <v>2255</v>
      </c>
      <c r="C320" t="s">
        <v>34</v>
      </c>
      <c r="D320" t="s">
        <v>35</v>
      </c>
      <c r="E320" t="s">
        <v>2256</v>
      </c>
      <c r="F320" t="s">
        <v>2257</v>
      </c>
      <c r="G320" t="s">
        <v>503</v>
      </c>
      <c r="H320" t="s">
        <v>462</v>
      </c>
      <c r="I320" t="s">
        <v>578</v>
      </c>
      <c r="J320" t="s">
        <v>308</v>
      </c>
      <c r="K320">
        <v>1962</v>
      </c>
      <c r="L320">
        <v>2017</v>
      </c>
      <c r="M320">
        <v>6.5</v>
      </c>
      <c r="N320">
        <v>39.104999999999997</v>
      </c>
      <c r="O320">
        <v>146.94999999999999</v>
      </c>
      <c r="P320">
        <v>5.2</v>
      </c>
      <c r="Q320">
        <v>0.35799999999999998</v>
      </c>
      <c r="R320" t="s">
        <v>84</v>
      </c>
      <c r="S320" t="s">
        <v>2258</v>
      </c>
      <c r="T320" t="b">
        <v>1</v>
      </c>
      <c r="U320" t="s">
        <v>2259</v>
      </c>
      <c r="V320" t="s">
        <v>2260</v>
      </c>
      <c r="W320" t="s">
        <v>2261</v>
      </c>
      <c r="X320" t="s">
        <v>47</v>
      </c>
      <c r="AA320" t="s">
        <v>583</v>
      </c>
      <c r="AB320" t="s">
        <v>401</v>
      </c>
      <c r="AC320" t="s">
        <v>585</v>
      </c>
      <c r="AD320" t="b">
        <v>0</v>
      </c>
      <c r="AF320">
        <v>3</v>
      </c>
      <c r="AG320" t="s">
        <v>332</v>
      </c>
    </row>
    <row r="321" spans="1:33" x14ac:dyDescent="0.2">
      <c r="A321">
        <v>769</v>
      </c>
      <c r="B321" t="s">
        <v>2262</v>
      </c>
      <c r="C321" t="s">
        <v>34</v>
      </c>
      <c r="D321" t="s">
        <v>35</v>
      </c>
      <c r="E321" t="s">
        <v>1027</v>
      </c>
      <c r="F321" t="s">
        <v>1028</v>
      </c>
      <c r="G321" t="s">
        <v>213</v>
      </c>
      <c r="H321" t="s">
        <v>83</v>
      </c>
      <c r="I321" t="s">
        <v>1672</v>
      </c>
      <c r="J321" t="s">
        <v>231</v>
      </c>
      <c r="K321">
        <v>1999</v>
      </c>
      <c r="L321">
        <v>1999</v>
      </c>
      <c r="M321">
        <v>80</v>
      </c>
      <c r="N321">
        <v>262.185</v>
      </c>
      <c r="O321">
        <v>755</v>
      </c>
      <c r="P321">
        <v>12</v>
      </c>
      <c r="Q321">
        <v>1.8520000000000001</v>
      </c>
      <c r="R321" t="s">
        <v>84</v>
      </c>
      <c r="S321" t="s">
        <v>2263</v>
      </c>
      <c r="T321" t="b">
        <v>1</v>
      </c>
      <c r="U321" t="s">
        <v>571</v>
      </c>
      <c r="V321" t="s">
        <v>1032</v>
      </c>
      <c r="W321" t="s">
        <v>2264</v>
      </c>
      <c r="X321" t="s">
        <v>47</v>
      </c>
      <c r="AA321" t="s">
        <v>2265</v>
      </c>
      <c r="AB321" t="s">
        <v>49</v>
      </c>
      <c r="AC321" t="s">
        <v>2266</v>
      </c>
      <c r="AD321" t="b">
        <v>0</v>
      </c>
      <c r="AF321">
        <v>4</v>
      </c>
      <c r="AG321" t="s">
        <v>321</v>
      </c>
    </row>
    <row r="322" spans="1:33" x14ac:dyDescent="0.2">
      <c r="A322">
        <v>908</v>
      </c>
      <c r="B322" t="s">
        <v>2267</v>
      </c>
      <c r="C322" t="s">
        <v>34</v>
      </c>
      <c r="D322" t="s">
        <v>35</v>
      </c>
      <c r="E322" t="s">
        <v>2268</v>
      </c>
      <c r="F322" t="s">
        <v>2269</v>
      </c>
      <c r="G322" t="s">
        <v>53</v>
      </c>
      <c r="H322" t="s">
        <v>54</v>
      </c>
      <c r="I322" t="s">
        <v>1039</v>
      </c>
      <c r="J322" t="s">
        <v>243</v>
      </c>
      <c r="K322">
        <v>2000</v>
      </c>
      <c r="L322">
        <v>2000</v>
      </c>
      <c r="M322">
        <v>0.05</v>
      </c>
      <c r="N322">
        <v>0.20899999999999999</v>
      </c>
      <c r="O322">
        <v>55</v>
      </c>
      <c r="R322" t="s">
        <v>72</v>
      </c>
      <c r="S322" t="s">
        <v>2270</v>
      </c>
      <c r="T322" t="b">
        <v>1</v>
      </c>
      <c r="U322" t="s">
        <v>754</v>
      </c>
      <c r="V322" t="s">
        <v>2271</v>
      </c>
      <c r="W322" t="s">
        <v>2272</v>
      </c>
      <c r="X322" t="s">
        <v>47</v>
      </c>
      <c r="AA322" t="s">
        <v>400</v>
      </c>
      <c r="AB322" t="s">
        <v>71</v>
      </c>
      <c r="AC322" t="s">
        <v>402</v>
      </c>
      <c r="AD322" t="b">
        <v>0</v>
      </c>
      <c r="AF322">
        <v>13</v>
      </c>
      <c r="AG322" t="s">
        <v>155</v>
      </c>
    </row>
    <row r="323" spans="1:33" x14ac:dyDescent="0.2">
      <c r="A323">
        <v>1728</v>
      </c>
      <c r="B323" t="s">
        <v>2273</v>
      </c>
      <c r="C323" t="s">
        <v>34</v>
      </c>
      <c r="D323" t="s">
        <v>35</v>
      </c>
      <c r="E323" t="s">
        <v>1821</v>
      </c>
      <c r="F323" t="s">
        <v>1822</v>
      </c>
      <c r="G323" t="s">
        <v>53</v>
      </c>
      <c r="H323" t="s">
        <v>54</v>
      </c>
      <c r="I323" t="s">
        <v>55</v>
      </c>
      <c r="J323" t="s">
        <v>56</v>
      </c>
      <c r="K323">
        <v>2013</v>
      </c>
      <c r="L323">
        <v>2013</v>
      </c>
      <c r="M323">
        <v>4.99</v>
      </c>
      <c r="N323">
        <v>20.106999999999999</v>
      </c>
      <c r="O323">
        <v>369.3</v>
      </c>
      <c r="P323">
        <v>1.75</v>
      </c>
      <c r="Q323">
        <v>0.79200000000000004</v>
      </c>
      <c r="R323" t="s">
        <v>57</v>
      </c>
      <c r="S323" t="s">
        <v>2274</v>
      </c>
      <c r="T323" t="b">
        <v>1</v>
      </c>
      <c r="U323" t="s">
        <v>2275</v>
      </c>
      <c r="V323" t="s">
        <v>1824</v>
      </c>
      <c r="W323" t="s">
        <v>2276</v>
      </c>
      <c r="X323" t="s">
        <v>47</v>
      </c>
      <c r="AA323" t="s">
        <v>2277</v>
      </c>
      <c r="AB323" t="s">
        <v>49</v>
      </c>
      <c r="AC323" t="s">
        <v>2278</v>
      </c>
      <c r="AD323" t="b">
        <v>0</v>
      </c>
      <c r="AF323">
        <v>6</v>
      </c>
      <c r="AG323" t="s">
        <v>64</v>
      </c>
    </row>
    <row r="324" spans="1:33" x14ac:dyDescent="0.2">
      <c r="A324">
        <v>1233</v>
      </c>
      <c r="B324" t="s">
        <v>2279</v>
      </c>
      <c r="C324" t="s">
        <v>34</v>
      </c>
      <c r="D324" t="s">
        <v>35</v>
      </c>
      <c r="E324" t="s">
        <v>2280</v>
      </c>
      <c r="F324" t="s">
        <v>2281</v>
      </c>
      <c r="G324" t="s">
        <v>68</v>
      </c>
      <c r="H324" t="s">
        <v>69</v>
      </c>
      <c r="I324" t="s">
        <v>1458</v>
      </c>
      <c r="J324" t="s">
        <v>1459</v>
      </c>
      <c r="K324">
        <v>2006</v>
      </c>
      <c r="L324">
        <v>2006</v>
      </c>
      <c r="M324">
        <v>1.85</v>
      </c>
      <c r="N324">
        <v>6.5460000000000003</v>
      </c>
      <c r="O324">
        <v>210</v>
      </c>
      <c r="P324">
        <v>1</v>
      </c>
      <c r="Q324">
        <v>0.48599999999999999</v>
      </c>
      <c r="R324" t="s">
        <v>72</v>
      </c>
      <c r="S324" t="s">
        <v>2282</v>
      </c>
      <c r="T324" t="b">
        <v>1</v>
      </c>
      <c r="U324" t="s">
        <v>2283</v>
      </c>
      <c r="V324" t="s">
        <v>2284</v>
      </c>
      <c r="W324" t="s">
        <v>2285</v>
      </c>
      <c r="X324" t="s">
        <v>47</v>
      </c>
      <c r="AA324" t="s">
        <v>2286</v>
      </c>
      <c r="AB324" t="s">
        <v>49</v>
      </c>
      <c r="AC324" t="s">
        <v>2287</v>
      </c>
      <c r="AD324" t="b">
        <v>0</v>
      </c>
      <c r="AF324">
        <v>13</v>
      </c>
      <c r="AG324" t="s">
        <v>155</v>
      </c>
    </row>
    <row r="325" spans="1:33" x14ac:dyDescent="0.2">
      <c r="A325">
        <v>92</v>
      </c>
      <c r="B325" t="s">
        <v>2288</v>
      </c>
      <c r="C325" t="s">
        <v>34</v>
      </c>
      <c r="D325" t="s">
        <v>35</v>
      </c>
      <c r="E325" t="s">
        <v>253</v>
      </c>
      <c r="F325" t="s">
        <v>254</v>
      </c>
      <c r="G325" t="s">
        <v>242</v>
      </c>
      <c r="H325" t="s">
        <v>243</v>
      </c>
      <c r="I325" t="s">
        <v>1003</v>
      </c>
      <c r="J325" t="s">
        <v>192</v>
      </c>
      <c r="K325">
        <v>1923</v>
      </c>
      <c r="L325">
        <v>2005</v>
      </c>
      <c r="M325">
        <v>48.1</v>
      </c>
      <c r="N325">
        <v>200.20400000000001</v>
      </c>
      <c r="O325">
        <v>175.3</v>
      </c>
      <c r="P325">
        <v>29</v>
      </c>
      <c r="Q325">
        <v>0.45200000000000001</v>
      </c>
      <c r="R325" t="s">
        <v>72</v>
      </c>
      <c r="S325" t="s">
        <v>2289</v>
      </c>
      <c r="T325" t="b">
        <v>1</v>
      </c>
      <c r="U325" t="s">
        <v>2290</v>
      </c>
      <c r="V325" t="s">
        <v>259</v>
      </c>
      <c r="W325" t="s">
        <v>2291</v>
      </c>
      <c r="X325" t="s">
        <v>47</v>
      </c>
      <c r="AA325" t="s">
        <v>1007</v>
      </c>
      <c r="AB325" t="s">
        <v>49</v>
      </c>
      <c r="AC325" t="s">
        <v>1008</v>
      </c>
      <c r="AD325" t="b">
        <v>0</v>
      </c>
      <c r="AF325">
        <v>9</v>
      </c>
      <c r="AG325" t="s">
        <v>251</v>
      </c>
    </row>
    <row r="326" spans="1:33" x14ac:dyDescent="0.2">
      <c r="A326">
        <v>1175</v>
      </c>
      <c r="B326" t="s">
        <v>2292</v>
      </c>
      <c r="C326" t="s">
        <v>34</v>
      </c>
      <c r="D326" t="s">
        <v>35</v>
      </c>
      <c r="E326" t="s">
        <v>2293</v>
      </c>
      <c r="F326" t="s">
        <v>2294</v>
      </c>
      <c r="G326" t="s">
        <v>93</v>
      </c>
      <c r="H326" t="s">
        <v>94</v>
      </c>
      <c r="I326" t="s">
        <v>2295</v>
      </c>
      <c r="J326" t="s">
        <v>280</v>
      </c>
      <c r="K326">
        <v>1950</v>
      </c>
      <c r="L326">
        <v>2004</v>
      </c>
      <c r="M326">
        <v>0.4</v>
      </c>
      <c r="N326">
        <v>1.641</v>
      </c>
      <c r="O326">
        <v>9.5</v>
      </c>
      <c r="P326">
        <v>7.5</v>
      </c>
      <c r="Q326">
        <v>0.02</v>
      </c>
      <c r="R326" t="s">
        <v>97</v>
      </c>
      <c r="S326" t="s">
        <v>2296</v>
      </c>
      <c r="T326" t="b">
        <v>1</v>
      </c>
      <c r="U326" t="s">
        <v>637</v>
      </c>
      <c r="V326" t="s">
        <v>2297</v>
      </c>
      <c r="W326" t="s">
        <v>2298</v>
      </c>
      <c r="X326" t="s">
        <v>47</v>
      </c>
      <c r="AA326" t="s">
        <v>340</v>
      </c>
      <c r="AC326" t="s">
        <v>1063</v>
      </c>
      <c r="AD326" t="b">
        <v>0</v>
      </c>
      <c r="AF326">
        <v>1</v>
      </c>
      <c r="AG326" t="s">
        <v>104</v>
      </c>
    </row>
    <row r="327" spans="1:33" x14ac:dyDescent="0.2">
      <c r="A327">
        <v>1795</v>
      </c>
      <c r="B327" t="s">
        <v>2299</v>
      </c>
      <c r="C327" t="s">
        <v>34</v>
      </c>
      <c r="D327" t="s">
        <v>35</v>
      </c>
      <c r="E327" t="s">
        <v>2300</v>
      </c>
      <c r="F327" t="s">
        <v>2301</v>
      </c>
      <c r="G327" t="s">
        <v>503</v>
      </c>
      <c r="H327" t="s">
        <v>462</v>
      </c>
      <c r="I327" t="s">
        <v>2302</v>
      </c>
      <c r="J327" t="s">
        <v>227</v>
      </c>
      <c r="K327">
        <v>2015</v>
      </c>
      <c r="L327">
        <v>2015</v>
      </c>
      <c r="M327">
        <v>2.9</v>
      </c>
      <c r="N327">
        <v>12.173</v>
      </c>
      <c r="O327">
        <v>99.7</v>
      </c>
      <c r="P327">
        <v>3.2</v>
      </c>
      <c r="Q327">
        <v>0.252</v>
      </c>
      <c r="R327" t="s">
        <v>84</v>
      </c>
      <c r="S327" t="s">
        <v>2303</v>
      </c>
      <c r="T327" t="b">
        <v>1</v>
      </c>
      <c r="U327" t="s">
        <v>2184</v>
      </c>
      <c r="V327" t="s">
        <v>2304</v>
      </c>
      <c r="W327" t="s">
        <v>2305</v>
      </c>
      <c r="X327" t="s">
        <v>47</v>
      </c>
      <c r="AA327" t="s">
        <v>583</v>
      </c>
      <c r="AB327" t="s">
        <v>1077</v>
      </c>
      <c r="AC327" t="s">
        <v>585</v>
      </c>
      <c r="AD327" t="b">
        <v>0</v>
      </c>
      <c r="AF327">
        <v>3</v>
      </c>
      <c r="AG327" t="s">
        <v>332</v>
      </c>
    </row>
    <row r="328" spans="1:33" x14ac:dyDescent="0.2">
      <c r="A328">
        <v>1763</v>
      </c>
      <c r="B328" t="s">
        <v>2306</v>
      </c>
      <c r="C328" t="s">
        <v>34</v>
      </c>
      <c r="D328" t="s">
        <v>35</v>
      </c>
      <c r="E328" t="s">
        <v>523</v>
      </c>
      <c r="F328" t="s">
        <v>524</v>
      </c>
      <c r="G328" t="s">
        <v>377</v>
      </c>
      <c r="H328" t="s">
        <v>378</v>
      </c>
      <c r="I328" t="s">
        <v>1958</v>
      </c>
      <c r="J328" t="s">
        <v>49</v>
      </c>
      <c r="K328">
        <v>2014</v>
      </c>
      <c r="L328">
        <v>2014</v>
      </c>
      <c r="M328">
        <v>5.2</v>
      </c>
      <c r="N328">
        <v>10.009</v>
      </c>
      <c r="O328">
        <v>114</v>
      </c>
      <c r="P328">
        <v>5.13</v>
      </c>
      <c r="Q328">
        <v>0.28199999999999997</v>
      </c>
      <c r="R328" t="s">
        <v>42</v>
      </c>
      <c r="S328" t="s">
        <v>2307</v>
      </c>
      <c r="T328" t="b">
        <v>1</v>
      </c>
      <c r="U328" t="s">
        <v>2308</v>
      </c>
      <c r="V328" t="s">
        <v>527</v>
      </c>
      <c r="W328" t="s">
        <v>2309</v>
      </c>
      <c r="X328" t="s">
        <v>47</v>
      </c>
      <c r="AA328" t="s">
        <v>2306</v>
      </c>
      <c r="AC328" t="s">
        <v>63</v>
      </c>
      <c r="AD328" t="b">
        <v>0</v>
      </c>
      <c r="AF328">
        <v>11</v>
      </c>
      <c r="AG328" t="s">
        <v>198</v>
      </c>
    </row>
    <row r="329" spans="1:33" x14ac:dyDescent="0.2">
      <c r="A329">
        <v>1708</v>
      </c>
      <c r="B329" t="s">
        <v>2310</v>
      </c>
      <c r="C329" t="s">
        <v>34</v>
      </c>
      <c r="D329" t="s">
        <v>35</v>
      </c>
      <c r="E329" t="s">
        <v>2311</v>
      </c>
      <c r="F329" t="s">
        <v>2312</v>
      </c>
      <c r="G329" t="s">
        <v>134</v>
      </c>
      <c r="H329" t="s">
        <v>135</v>
      </c>
      <c r="I329" t="s">
        <v>1404</v>
      </c>
      <c r="J329" t="s">
        <v>731</v>
      </c>
      <c r="K329">
        <v>2013</v>
      </c>
      <c r="L329">
        <v>2013</v>
      </c>
      <c r="M329">
        <v>8.8000000000000007</v>
      </c>
      <c r="N329">
        <v>21.152999999999999</v>
      </c>
      <c r="O329">
        <v>253.6</v>
      </c>
      <c r="P329">
        <v>4</v>
      </c>
      <c r="Q329">
        <v>0.61099999999999999</v>
      </c>
      <c r="R329" t="s">
        <v>42</v>
      </c>
      <c r="S329" t="s">
        <v>2313</v>
      </c>
      <c r="T329" t="b">
        <v>1</v>
      </c>
      <c r="U329" t="s">
        <v>2314</v>
      </c>
      <c r="V329" t="s">
        <v>2315</v>
      </c>
      <c r="W329" t="s">
        <v>2316</v>
      </c>
      <c r="X329" t="s">
        <v>47</v>
      </c>
      <c r="AA329" t="s">
        <v>520</v>
      </c>
      <c r="AB329" t="s">
        <v>49</v>
      </c>
      <c r="AC329" t="s">
        <v>2317</v>
      </c>
      <c r="AD329" t="b">
        <v>0</v>
      </c>
      <c r="AF329">
        <v>10</v>
      </c>
      <c r="AG329" t="s">
        <v>143</v>
      </c>
    </row>
    <row r="330" spans="1:33" x14ac:dyDescent="0.2">
      <c r="A330">
        <v>1710</v>
      </c>
      <c r="B330" t="s">
        <v>2318</v>
      </c>
      <c r="C330" t="s">
        <v>34</v>
      </c>
      <c r="D330" t="s">
        <v>35</v>
      </c>
      <c r="E330" t="s">
        <v>2311</v>
      </c>
      <c r="F330" t="s">
        <v>2312</v>
      </c>
      <c r="G330" t="s">
        <v>134</v>
      </c>
      <c r="H330" t="s">
        <v>135</v>
      </c>
      <c r="I330" t="s">
        <v>1404</v>
      </c>
      <c r="J330" t="s">
        <v>731</v>
      </c>
      <c r="K330">
        <v>2013</v>
      </c>
      <c r="L330">
        <v>2013</v>
      </c>
      <c r="M330">
        <v>0.72299999999999998</v>
      </c>
      <c r="N330">
        <v>4.2249999999999996</v>
      </c>
      <c r="O330">
        <v>202.91200000000001</v>
      </c>
      <c r="P330">
        <v>0.4</v>
      </c>
      <c r="Q330">
        <v>0.502</v>
      </c>
      <c r="R330" t="s">
        <v>42</v>
      </c>
      <c r="S330" t="s">
        <v>2313</v>
      </c>
      <c r="T330" t="b">
        <v>1</v>
      </c>
      <c r="U330" t="s">
        <v>2319</v>
      </c>
      <c r="V330" t="s">
        <v>2315</v>
      </c>
      <c r="W330" t="s">
        <v>2320</v>
      </c>
      <c r="X330" t="s">
        <v>47</v>
      </c>
      <c r="AA330" t="s">
        <v>520</v>
      </c>
      <c r="AC330" t="s">
        <v>2317</v>
      </c>
      <c r="AD330" t="b">
        <v>0</v>
      </c>
      <c r="AF330">
        <v>10</v>
      </c>
      <c r="AG330" t="s">
        <v>143</v>
      </c>
    </row>
    <row r="331" spans="1:33" x14ac:dyDescent="0.2">
      <c r="A331">
        <v>791</v>
      </c>
      <c r="B331" t="s">
        <v>2321</v>
      </c>
      <c r="C331" t="s">
        <v>34</v>
      </c>
      <c r="D331" t="s">
        <v>35</v>
      </c>
      <c r="E331" t="s">
        <v>132</v>
      </c>
      <c r="F331" t="s">
        <v>133</v>
      </c>
      <c r="G331" t="s">
        <v>134</v>
      </c>
      <c r="H331" t="s">
        <v>135</v>
      </c>
      <c r="I331" t="s">
        <v>1418</v>
      </c>
      <c r="J331" t="s">
        <v>676</v>
      </c>
      <c r="K331">
        <v>2003</v>
      </c>
      <c r="L331">
        <v>2003</v>
      </c>
      <c r="M331">
        <v>7</v>
      </c>
      <c r="N331">
        <v>24.035</v>
      </c>
      <c r="O331">
        <v>80</v>
      </c>
      <c r="P331">
        <v>10</v>
      </c>
      <c r="Q331">
        <v>0.19</v>
      </c>
      <c r="R331" t="s">
        <v>42</v>
      </c>
      <c r="S331" t="s">
        <v>2322</v>
      </c>
      <c r="T331" t="b">
        <v>1</v>
      </c>
      <c r="U331" t="s">
        <v>2323</v>
      </c>
      <c r="V331" t="s">
        <v>139</v>
      </c>
      <c r="W331" t="s">
        <v>2324</v>
      </c>
      <c r="X331" t="s">
        <v>47</v>
      </c>
      <c r="AA331" t="s">
        <v>2325</v>
      </c>
      <c r="AB331" t="s">
        <v>49</v>
      </c>
      <c r="AC331" t="s">
        <v>2326</v>
      </c>
      <c r="AD331" t="b">
        <v>0</v>
      </c>
      <c r="AF331">
        <v>10</v>
      </c>
      <c r="AG331" t="s">
        <v>143</v>
      </c>
    </row>
    <row r="332" spans="1:33" x14ac:dyDescent="0.2">
      <c r="A332">
        <v>93</v>
      </c>
      <c r="B332" t="s">
        <v>2327</v>
      </c>
      <c r="C332" t="s">
        <v>34</v>
      </c>
      <c r="D332" t="s">
        <v>35</v>
      </c>
      <c r="E332" t="s">
        <v>1085</v>
      </c>
      <c r="F332" t="s">
        <v>1086</v>
      </c>
      <c r="G332" t="s">
        <v>134</v>
      </c>
      <c r="H332" t="s">
        <v>135</v>
      </c>
      <c r="I332" t="s">
        <v>1094</v>
      </c>
      <c r="J332" t="s">
        <v>426</v>
      </c>
      <c r="K332">
        <v>1963</v>
      </c>
      <c r="L332">
        <v>1963</v>
      </c>
      <c r="M332">
        <v>12</v>
      </c>
      <c r="N332">
        <v>49.540999999999997</v>
      </c>
      <c r="O332">
        <v>295</v>
      </c>
      <c r="P332">
        <v>4.59</v>
      </c>
      <c r="Q332">
        <v>0.72499999999999998</v>
      </c>
      <c r="R332" t="s">
        <v>42</v>
      </c>
      <c r="S332" t="s">
        <v>2328</v>
      </c>
      <c r="T332" t="b">
        <v>1</v>
      </c>
      <c r="U332" t="s">
        <v>2329</v>
      </c>
      <c r="V332" t="s">
        <v>1089</v>
      </c>
      <c r="W332" t="s">
        <v>2330</v>
      </c>
      <c r="X332" t="s">
        <v>47</v>
      </c>
      <c r="AA332" t="s">
        <v>2331</v>
      </c>
      <c r="AB332" t="s">
        <v>308</v>
      </c>
      <c r="AC332" t="s">
        <v>2332</v>
      </c>
      <c r="AD332" t="b">
        <v>0</v>
      </c>
      <c r="AF332">
        <v>10</v>
      </c>
      <c r="AG332" t="s">
        <v>143</v>
      </c>
    </row>
    <row r="333" spans="1:33" x14ac:dyDescent="0.2">
      <c r="A333">
        <v>1047</v>
      </c>
      <c r="B333" t="s">
        <v>2333</v>
      </c>
      <c r="C333" t="s">
        <v>34</v>
      </c>
      <c r="D333" t="s">
        <v>35</v>
      </c>
      <c r="E333" t="s">
        <v>2334</v>
      </c>
      <c r="F333" t="s">
        <v>2335</v>
      </c>
      <c r="G333" t="s">
        <v>213</v>
      </c>
      <c r="H333" t="s">
        <v>83</v>
      </c>
      <c r="I333" t="s">
        <v>1029</v>
      </c>
      <c r="J333" t="s">
        <v>225</v>
      </c>
      <c r="K333">
        <v>2003</v>
      </c>
      <c r="L333">
        <v>2003</v>
      </c>
      <c r="M333">
        <v>0.113</v>
      </c>
      <c r="N333">
        <v>0.68</v>
      </c>
      <c r="R333" t="s">
        <v>84</v>
      </c>
      <c r="S333" t="s">
        <v>2336</v>
      </c>
      <c r="T333" t="b">
        <v>1</v>
      </c>
      <c r="U333" t="s">
        <v>2246</v>
      </c>
      <c r="V333" t="s">
        <v>2337</v>
      </c>
      <c r="W333" t="s">
        <v>2338</v>
      </c>
      <c r="X333" t="s">
        <v>47</v>
      </c>
      <c r="AA333" t="s">
        <v>2339</v>
      </c>
      <c r="AC333" t="s">
        <v>63</v>
      </c>
      <c r="AD333" t="b">
        <v>0</v>
      </c>
      <c r="AF333">
        <v>3</v>
      </c>
      <c r="AG333" t="s">
        <v>332</v>
      </c>
    </row>
    <row r="334" spans="1:33" x14ac:dyDescent="0.2">
      <c r="A334">
        <v>1637</v>
      </c>
      <c r="B334" t="s">
        <v>2340</v>
      </c>
      <c r="C334" t="s">
        <v>34</v>
      </c>
      <c r="D334" t="s">
        <v>35</v>
      </c>
      <c r="E334" t="s">
        <v>2341</v>
      </c>
      <c r="F334" t="s">
        <v>2342</v>
      </c>
      <c r="G334" t="s">
        <v>53</v>
      </c>
      <c r="H334" t="s">
        <v>54</v>
      </c>
      <c r="I334" t="s">
        <v>118</v>
      </c>
      <c r="J334" t="s">
        <v>119</v>
      </c>
      <c r="K334">
        <v>2011</v>
      </c>
      <c r="L334">
        <v>2011</v>
      </c>
      <c r="M334">
        <v>0.45</v>
      </c>
      <c r="N334">
        <v>0.65800000000000003</v>
      </c>
      <c r="O334">
        <v>262</v>
      </c>
      <c r="P334">
        <v>0.19</v>
      </c>
      <c r="Q334">
        <v>0.65800000000000003</v>
      </c>
      <c r="R334" t="s">
        <v>84</v>
      </c>
      <c r="S334" t="s">
        <v>2343</v>
      </c>
      <c r="T334" t="b">
        <v>1</v>
      </c>
      <c r="U334" t="s">
        <v>2344</v>
      </c>
      <c r="V334" t="s">
        <v>2345</v>
      </c>
      <c r="W334" t="s">
        <v>2346</v>
      </c>
      <c r="X334" t="s">
        <v>47</v>
      </c>
      <c r="AA334" t="s">
        <v>114</v>
      </c>
      <c r="AC334" t="s">
        <v>63</v>
      </c>
      <c r="AD334" t="b">
        <v>0</v>
      </c>
      <c r="AF334">
        <v>5</v>
      </c>
      <c r="AG334" t="s">
        <v>89</v>
      </c>
    </row>
    <row r="335" spans="1:33" x14ac:dyDescent="0.2">
      <c r="A335">
        <v>780</v>
      </c>
      <c r="B335" t="s">
        <v>2347</v>
      </c>
      <c r="C335" t="s">
        <v>34</v>
      </c>
      <c r="D335" t="s">
        <v>35</v>
      </c>
      <c r="E335" t="s">
        <v>36</v>
      </c>
      <c r="F335" t="s">
        <v>37</v>
      </c>
      <c r="G335" t="s">
        <v>242</v>
      </c>
      <c r="H335" t="s">
        <v>243</v>
      </c>
      <c r="I335" t="s">
        <v>2348</v>
      </c>
      <c r="J335" t="s">
        <v>225</v>
      </c>
      <c r="K335">
        <v>2000</v>
      </c>
      <c r="L335">
        <v>2000</v>
      </c>
      <c r="M335">
        <v>2.5</v>
      </c>
      <c r="N335">
        <v>12.192</v>
      </c>
      <c r="O335">
        <v>28</v>
      </c>
      <c r="P335">
        <v>10</v>
      </c>
      <c r="Q335">
        <v>6.9000000000000006E-2</v>
      </c>
      <c r="R335" t="s">
        <v>72</v>
      </c>
      <c r="S335" t="s">
        <v>2349</v>
      </c>
      <c r="T335" t="b">
        <v>1</v>
      </c>
      <c r="U335" t="s">
        <v>754</v>
      </c>
      <c r="V335" t="s">
        <v>45</v>
      </c>
      <c r="W335" t="s">
        <v>113</v>
      </c>
      <c r="X335" t="s">
        <v>47</v>
      </c>
      <c r="AA335" t="s">
        <v>982</v>
      </c>
      <c r="AB335" t="s">
        <v>171</v>
      </c>
      <c r="AC335" t="s">
        <v>983</v>
      </c>
      <c r="AD335" t="b">
        <v>0</v>
      </c>
      <c r="AF335">
        <v>9</v>
      </c>
      <c r="AG335" t="s">
        <v>251</v>
      </c>
    </row>
    <row r="336" spans="1:33" x14ac:dyDescent="0.2">
      <c r="A336">
        <v>1738</v>
      </c>
      <c r="B336" t="s">
        <v>2347</v>
      </c>
      <c r="C336" t="s">
        <v>34</v>
      </c>
      <c r="D336" t="s">
        <v>35</v>
      </c>
      <c r="E336" t="s">
        <v>2350</v>
      </c>
      <c r="F336" t="s">
        <v>2351</v>
      </c>
      <c r="G336" t="s">
        <v>377</v>
      </c>
      <c r="H336" t="s">
        <v>378</v>
      </c>
      <c r="I336" t="s">
        <v>2352</v>
      </c>
      <c r="J336" t="s">
        <v>1077</v>
      </c>
      <c r="K336">
        <v>2013</v>
      </c>
      <c r="L336">
        <v>2013</v>
      </c>
      <c r="M336">
        <v>4.95</v>
      </c>
      <c r="N336">
        <v>18.094999999999999</v>
      </c>
      <c r="O336">
        <v>174.1</v>
      </c>
      <c r="P336">
        <v>3.35</v>
      </c>
      <c r="Q336">
        <v>0.41</v>
      </c>
      <c r="R336" t="s">
        <v>42</v>
      </c>
      <c r="S336" t="s">
        <v>2353</v>
      </c>
      <c r="T336" t="b">
        <v>1</v>
      </c>
      <c r="U336" t="s">
        <v>2354</v>
      </c>
      <c r="V336" t="s">
        <v>2355</v>
      </c>
      <c r="W336" t="s">
        <v>2356</v>
      </c>
      <c r="X336" t="s">
        <v>47</v>
      </c>
      <c r="AA336" t="s">
        <v>479</v>
      </c>
      <c r="AB336" t="s">
        <v>49</v>
      </c>
      <c r="AC336" t="s">
        <v>2357</v>
      </c>
      <c r="AD336" t="b">
        <v>0</v>
      </c>
      <c r="AF336">
        <v>11</v>
      </c>
      <c r="AG336" t="s">
        <v>198</v>
      </c>
    </row>
    <row r="337" spans="1:33" x14ac:dyDescent="0.2">
      <c r="A337">
        <v>1046</v>
      </c>
      <c r="B337" t="s">
        <v>2358</v>
      </c>
      <c r="C337" t="s">
        <v>34</v>
      </c>
      <c r="D337" t="s">
        <v>35</v>
      </c>
      <c r="E337" t="s">
        <v>2359</v>
      </c>
      <c r="F337" t="s">
        <v>2360</v>
      </c>
      <c r="G337" t="s">
        <v>213</v>
      </c>
      <c r="H337" t="s">
        <v>83</v>
      </c>
      <c r="I337" t="s">
        <v>1029</v>
      </c>
      <c r="J337" t="s">
        <v>225</v>
      </c>
      <c r="K337">
        <v>2001</v>
      </c>
      <c r="L337">
        <v>2001</v>
      </c>
      <c r="M337">
        <v>0.18</v>
      </c>
      <c r="N337">
        <v>0.94799999999999995</v>
      </c>
      <c r="R337" t="s">
        <v>84</v>
      </c>
      <c r="S337" t="s">
        <v>2361</v>
      </c>
      <c r="T337" t="b">
        <v>1</v>
      </c>
      <c r="U337" t="s">
        <v>1103</v>
      </c>
      <c r="V337" t="s">
        <v>2362</v>
      </c>
      <c r="W337" t="s">
        <v>2363</v>
      </c>
      <c r="X337" t="s">
        <v>47</v>
      </c>
      <c r="AA337" t="s">
        <v>2364</v>
      </c>
      <c r="AC337" t="s">
        <v>63</v>
      </c>
      <c r="AD337" t="b">
        <v>0</v>
      </c>
      <c r="AF337">
        <v>3</v>
      </c>
      <c r="AG337" t="s">
        <v>332</v>
      </c>
    </row>
    <row r="338" spans="1:33" x14ac:dyDescent="0.2">
      <c r="A338">
        <v>1878</v>
      </c>
      <c r="B338" t="s">
        <v>2358</v>
      </c>
      <c r="C338" t="s">
        <v>574</v>
      </c>
      <c r="D338" t="s">
        <v>575</v>
      </c>
      <c r="E338" t="s">
        <v>277</v>
      </c>
      <c r="F338" t="s">
        <v>278</v>
      </c>
      <c r="G338" t="s">
        <v>53</v>
      </c>
      <c r="H338" t="s">
        <v>54</v>
      </c>
      <c r="I338" t="s">
        <v>279</v>
      </c>
      <c r="J338" t="s">
        <v>280</v>
      </c>
      <c r="K338">
        <v>2013</v>
      </c>
      <c r="L338">
        <v>2013</v>
      </c>
      <c r="M338">
        <v>-3.6</v>
      </c>
      <c r="N338">
        <v>-5.1159999999999997</v>
      </c>
      <c r="P338">
        <v>3</v>
      </c>
      <c r="Q338">
        <v>-0.33300000000000002</v>
      </c>
      <c r="R338" t="s">
        <v>57</v>
      </c>
      <c r="S338" t="s">
        <v>2365</v>
      </c>
      <c r="T338" t="b">
        <v>1</v>
      </c>
      <c r="U338" t="s">
        <v>2366</v>
      </c>
      <c r="V338" t="s">
        <v>2367</v>
      </c>
      <c r="W338" t="s">
        <v>113</v>
      </c>
      <c r="X338" t="s">
        <v>47</v>
      </c>
      <c r="AA338" t="s">
        <v>285</v>
      </c>
      <c r="AB338" t="s">
        <v>337</v>
      </c>
      <c r="AC338" t="s">
        <v>286</v>
      </c>
      <c r="AD338" t="b">
        <v>0</v>
      </c>
      <c r="AF338">
        <v>2</v>
      </c>
      <c r="AG338" t="s">
        <v>287</v>
      </c>
    </row>
    <row r="339" spans="1:33" x14ac:dyDescent="0.2">
      <c r="A339">
        <v>1309</v>
      </c>
      <c r="B339" t="s">
        <v>2368</v>
      </c>
      <c r="C339" t="s">
        <v>34</v>
      </c>
      <c r="D339" t="s">
        <v>35</v>
      </c>
      <c r="E339" t="s">
        <v>2369</v>
      </c>
      <c r="F339" t="s">
        <v>2370</v>
      </c>
      <c r="G339" t="s">
        <v>213</v>
      </c>
      <c r="H339" t="s">
        <v>83</v>
      </c>
      <c r="I339" t="s">
        <v>1527</v>
      </c>
      <c r="J339" t="s">
        <v>245</v>
      </c>
      <c r="K339">
        <v>2006</v>
      </c>
      <c r="L339">
        <v>2006</v>
      </c>
      <c r="M339">
        <v>0.32500000000000001</v>
      </c>
      <c r="N339">
        <v>0.71099999999999997</v>
      </c>
      <c r="R339" t="s">
        <v>84</v>
      </c>
      <c r="S339" t="s">
        <v>2371</v>
      </c>
      <c r="T339" t="b">
        <v>1</v>
      </c>
      <c r="U339" t="s">
        <v>2372</v>
      </c>
      <c r="V339" t="s">
        <v>2373</v>
      </c>
      <c r="W339" t="s">
        <v>2374</v>
      </c>
      <c r="X339" t="s">
        <v>47</v>
      </c>
      <c r="AA339" t="s">
        <v>114</v>
      </c>
      <c r="AC339" t="s">
        <v>63</v>
      </c>
      <c r="AD339" t="b">
        <v>0</v>
      </c>
      <c r="AF339">
        <v>3</v>
      </c>
      <c r="AG339" t="s">
        <v>332</v>
      </c>
    </row>
    <row r="340" spans="1:33" x14ac:dyDescent="0.2">
      <c r="A340">
        <v>1789</v>
      </c>
      <c r="B340" t="s">
        <v>2375</v>
      </c>
      <c r="C340" t="s">
        <v>34</v>
      </c>
      <c r="D340" t="s">
        <v>35</v>
      </c>
      <c r="E340" t="s">
        <v>2376</v>
      </c>
      <c r="F340" t="s">
        <v>2377</v>
      </c>
      <c r="G340" t="s">
        <v>93</v>
      </c>
      <c r="H340" t="s">
        <v>94</v>
      </c>
      <c r="I340" t="s">
        <v>2084</v>
      </c>
      <c r="J340" t="s">
        <v>1166</v>
      </c>
      <c r="K340">
        <v>2014</v>
      </c>
      <c r="L340">
        <v>2014</v>
      </c>
      <c r="M340">
        <v>2.9</v>
      </c>
      <c r="N340">
        <v>5.9649999999999999</v>
      </c>
      <c r="O340">
        <v>240</v>
      </c>
      <c r="P340">
        <v>1.5</v>
      </c>
      <c r="Q340">
        <v>0.53700000000000003</v>
      </c>
      <c r="R340" t="s">
        <v>97</v>
      </c>
      <c r="S340" t="s">
        <v>2378</v>
      </c>
      <c r="T340" t="b">
        <v>1</v>
      </c>
      <c r="U340" t="s">
        <v>2379</v>
      </c>
      <c r="V340" t="s">
        <v>2380</v>
      </c>
      <c r="W340" t="s">
        <v>2381</v>
      </c>
      <c r="X340" t="s">
        <v>47</v>
      </c>
      <c r="AA340" t="s">
        <v>102</v>
      </c>
      <c r="AB340" t="s">
        <v>203</v>
      </c>
      <c r="AC340" t="s">
        <v>103</v>
      </c>
      <c r="AD340" t="b">
        <v>0</v>
      </c>
      <c r="AF340">
        <v>1</v>
      </c>
      <c r="AG340" t="s">
        <v>104</v>
      </c>
    </row>
    <row r="341" spans="1:33" x14ac:dyDescent="0.2">
      <c r="A341">
        <v>95</v>
      </c>
      <c r="B341" t="s">
        <v>2382</v>
      </c>
      <c r="C341" t="s">
        <v>574</v>
      </c>
      <c r="D341" t="s">
        <v>575</v>
      </c>
      <c r="E341" t="s">
        <v>899</v>
      </c>
      <c r="F341" t="s">
        <v>900</v>
      </c>
      <c r="G341" t="s">
        <v>53</v>
      </c>
      <c r="H341" t="s">
        <v>54</v>
      </c>
      <c r="I341" t="s">
        <v>2383</v>
      </c>
      <c r="J341" t="s">
        <v>1072</v>
      </c>
      <c r="K341">
        <v>1987</v>
      </c>
      <c r="L341">
        <v>1987</v>
      </c>
      <c r="M341">
        <v>-3.5</v>
      </c>
      <c r="N341">
        <v>-5.5369999999999999</v>
      </c>
      <c r="O341">
        <v>0</v>
      </c>
      <c r="P341">
        <v>2</v>
      </c>
      <c r="Q341">
        <v>-0.48599999999999999</v>
      </c>
      <c r="R341" t="s">
        <v>57</v>
      </c>
      <c r="S341" t="s">
        <v>2384</v>
      </c>
      <c r="T341" t="b">
        <v>1</v>
      </c>
      <c r="U341" t="s">
        <v>1111</v>
      </c>
      <c r="V341" t="s">
        <v>904</v>
      </c>
      <c r="W341" t="s">
        <v>2385</v>
      </c>
      <c r="X341" t="s">
        <v>47</v>
      </c>
      <c r="AA341" t="s">
        <v>2386</v>
      </c>
      <c r="AB341" t="s">
        <v>612</v>
      </c>
      <c r="AC341" t="s">
        <v>2387</v>
      </c>
      <c r="AD341" t="b">
        <v>0</v>
      </c>
      <c r="AF341">
        <v>7</v>
      </c>
      <c r="AG341" t="s">
        <v>469</v>
      </c>
    </row>
    <row r="342" spans="1:33" x14ac:dyDescent="0.2">
      <c r="A342">
        <v>2125</v>
      </c>
      <c r="B342" t="s">
        <v>2388</v>
      </c>
      <c r="C342" t="s">
        <v>34</v>
      </c>
      <c r="D342" t="s">
        <v>35</v>
      </c>
      <c r="E342" t="s">
        <v>2389</v>
      </c>
      <c r="F342" t="s">
        <v>2390</v>
      </c>
      <c r="G342" t="s">
        <v>53</v>
      </c>
      <c r="H342" t="s">
        <v>54</v>
      </c>
      <c r="I342" t="s">
        <v>1678</v>
      </c>
      <c r="J342" t="s">
        <v>245</v>
      </c>
      <c r="K342">
        <v>2025</v>
      </c>
      <c r="L342">
        <v>2025</v>
      </c>
      <c r="M342">
        <v>2.5499999999999998</v>
      </c>
      <c r="N342">
        <v>7.5</v>
      </c>
      <c r="O342">
        <v>300.89999999999998</v>
      </c>
      <c r="P342">
        <v>1</v>
      </c>
      <c r="Q342">
        <v>0.70799999999999996</v>
      </c>
      <c r="R342" t="s">
        <v>57</v>
      </c>
      <c r="S342" t="s">
        <v>2391</v>
      </c>
      <c r="T342" t="b">
        <v>1</v>
      </c>
      <c r="U342" t="s">
        <v>760</v>
      </c>
      <c r="V342" t="s">
        <v>2392</v>
      </c>
      <c r="W342" t="s">
        <v>2393</v>
      </c>
      <c r="X342" t="s">
        <v>47</v>
      </c>
      <c r="AA342" t="s">
        <v>114</v>
      </c>
      <c r="AC342" t="s">
        <v>63</v>
      </c>
      <c r="AD342" t="b">
        <v>0</v>
      </c>
      <c r="AF342">
        <v>6</v>
      </c>
      <c r="AG342" t="s">
        <v>64</v>
      </c>
    </row>
    <row r="343" spans="1:33" x14ac:dyDescent="0.2">
      <c r="A343">
        <v>96</v>
      </c>
      <c r="B343" t="s">
        <v>2394</v>
      </c>
      <c r="C343" t="s">
        <v>34</v>
      </c>
      <c r="D343" t="s">
        <v>35</v>
      </c>
      <c r="E343" t="s">
        <v>1200</v>
      </c>
      <c r="F343" t="s">
        <v>1201</v>
      </c>
      <c r="G343" t="s">
        <v>53</v>
      </c>
      <c r="H343" t="s">
        <v>54</v>
      </c>
      <c r="I343" t="s">
        <v>170</v>
      </c>
      <c r="J343" t="s">
        <v>171</v>
      </c>
      <c r="K343">
        <v>1954</v>
      </c>
      <c r="L343">
        <v>1954</v>
      </c>
      <c r="M343">
        <v>25</v>
      </c>
      <c r="N343">
        <v>140.08000000000001</v>
      </c>
      <c r="O343">
        <v>96.2</v>
      </c>
      <c r="P343">
        <v>30</v>
      </c>
      <c r="Q343">
        <v>0.23100000000000001</v>
      </c>
      <c r="R343" t="s">
        <v>57</v>
      </c>
      <c r="S343" t="s">
        <v>2395</v>
      </c>
      <c r="T343" t="b">
        <v>1</v>
      </c>
      <c r="U343" t="s">
        <v>2396</v>
      </c>
      <c r="V343" t="s">
        <v>1204</v>
      </c>
      <c r="W343" t="s">
        <v>2397</v>
      </c>
      <c r="X343" t="s">
        <v>47</v>
      </c>
      <c r="AA343" t="s">
        <v>1477</v>
      </c>
      <c r="AB343" t="s">
        <v>177</v>
      </c>
      <c r="AC343" t="s">
        <v>1478</v>
      </c>
      <c r="AD343" t="b">
        <v>0</v>
      </c>
      <c r="AF343">
        <v>6</v>
      </c>
      <c r="AG343" t="s">
        <v>64</v>
      </c>
    </row>
    <row r="344" spans="1:33" x14ac:dyDescent="0.2">
      <c r="A344">
        <v>1003</v>
      </c>
      <c r="B344" t="s">
        <v>2398</v>
      </c>
      <c r="C344" t="s">
        <v>34</v>
      </c>
      <c r="D344" t="s">
        <v>35</v>
      </c>
      <c r="G344" t="s">
        <v>53</v>
      </c>
      <c r="H344" t="s">
        <v>54</v>
      </c>
      <c r="I344" t="s">
        <v>118</v>
      </c>
      <c r="J344" t="s">
        <v>119</v>
      </c>
      <c r="K344">
        <v>2000</v>
      </c>
      <c r="L344">
        <v>2000</v>
      </c>
      <c r="M344">
        <v>1.0999999999999999E-2</v>
      </c>
      <c r="N344">
        <v>1.7000000000000001E-2</v>
      </c>
      <c r="R344" t="s">
        <v>84</v>
      </c>
      <c r="S344" t="s">
        <v>2399</v>
      </c>
      <c r="T344" t="b">
        <v>1</v>
      </c>
      <c r="U344" t="s">
        <v>754</v>
      </c>
      <c r="V344" t="s">
        <v>274</v>
      </c>
      <c r="W344" t="s">
        <v>2400</v>
      </c>
      <c r="X344" t="s">
        <v>47</v>
      </c>
      <c r="AA344" t="s">
        <v>114</v>
      </c>
      <c r="AC344" t="s">
        <v>63</v>
      </c>
      <c r="AD344" t="b">
        <v>0</v>
      </c>
      <c r="AF344">
        <v>5</v>
      </c>
      <c r="AG344" t="s">
        <v>89</v>
      </c>
    </row>
    <row r="345" spans="1:33" x14ac:dyDescent="0.2">
      <c r="A345">
        <v>906</v>
      </c>
      <c r="B345" t="s">
        <v>2401</v>
      </c>
      <c r="C345" t="s">
        <v>34</v>
      </c>
      <c r="D345" t="s">
        <v>35</v>
      </c>
      <c r="E345" t="s">
        <v>2402</v>
      </c>
      <c r="F345" t="s">
        <v>2403</v>
      </c>
      <c r="G345" t="s">
        <v>53</v>
      </c>
      <c r="H345" t="s">
        <v>54</v>
      </c>
      <c r="I345" t="s">
        <v>1039</v>
      </c>
      <c r="J345" t="s">
        <v>243</v>
      </c>
      <c r="K345">
        <v>1999</v>
      </c>
      <c r="L345">
        <v>1999</v>
      </c>
      <c r="M345">
        <v>0.08</v>
      </c>
      <c r="N345">
        <v>0.49399999999999999</v>
      </c>
      <c r="O345">
        <v>35</v>
      </c>
      <c r="R345" t="s">
        <v>72</v>
      </c>
      <c r="S345" t="s">
        <v>2045</v>
      </c>
      <c r="T345" t="b">
        <v>1</v>
      </c>
      <c r="U345" t="s">
        <v>571</v>
      </c>
      <c r="V345" t="s">
        <v>2404</v>
      </c>
      <c r="W345" t="s">
        <v>2405</v>
      </c>
      <c r="X345" t="s">
        <v>47</v>
      </c>
      <c r="AA345" t="s">
        <v>400</v>
      </c>
      <c r="AB345" t="s">
        <v>231</v>
      </c>
      <c r="AC345" t="s">
        <v>402</v>
      </c>
      <c r="AD345" t="b">
        <v>0</v>
      </c>
      <c r="AF345">
        <v>13</v>
      </c>
      <c r="AG345" t="s">
        <v>155</v>
      </c>
    </row>
    <row r="346" spans="1:33" x14ac:dyDescent="0.2">
      <c r="A346">
        <v>1282</v>
      </c>
      <c r="B346" t="s">
        <v>2401</v>
      </c>
      <c r="C346" t="s">
        <v>34</v>
      </c>
      <c r="D346" t="s">
        <v>35</v>
      </c>
      <c r="E346" t="s">
        <v>2406</v>
      </c>
      <c r="F346" t="s">
        <v>2407</v>
      </c>
      <c r="G346" t="s">
        <v>53</v>
      </c>
      <c r="H346" t="s">
        <v>54</v>
      </c>
      <c r="I346" t="s">
        <v>730</v>
      </c>
      <c r="J346" t="s">
        <v>731</v>
      </c>
      <c r="K346">
        <v>2007</v>
      </c>
      <c r="L346">
        <v>2007</v>
      </c>
      <c r="M346">
        <v>0.09</v>
      </c>
      <c r="N346">
        <v>0.311</v>
      </c>
      <c r="R346" t="s">
        <v>72</v>
      </c>
      <c r="S346" t="s">
        <v>2408</v>
      </c>
      <c r="T346" t="b">
        <v>1</v>
      </c>
      <c r="U346" t="s">
        <v>2409</v>
      </c>
      <c r="V346" t="s">
        <v>2410</v>
      </c>
      <c r="W346" t="s">
        <v>2411</v>
      </c>
      <c r="X346" t="s">
        <v>47</v>
      </c>
      <c r="AA346" t="s">
        <v>2412</v>
      </c>
      <c r="AC346" t="s">
        <v>63</v>
      </c>
      <c r="AD346" t="b">
        <v>0</v>
      </c>
      <c r="AF346">
        <v>13</v>
      </c>
      <c r="AG346" t="s">
        <v>155</v>
      </c>
    </row>
    <row r="347" spans="1:33" x14ac:dyDescent="0.2">
      <c r="A347">
        <v>1762</v>
      </c>
      <c r="B347" t="s">
        <v>2401</v>
      </c>
      <c r="C347" t="s">
        <v>34</v>
      </c>
      <c r="D347" t="s">
        <v>35</v>
      </c>
      <c r="E347" t="s">
        <v>2413</v>
      </c>
      <c r="F347" t="s">
        <v>2414</v>
      </c>
      <c r="G347" t="s">
        <v>213</v>
      </c>
      <c r="H347" t="s">
        <v>83</v>
      </c>
      <c r="I347" t="s">
        <v>611</v>
      </c>
      <c r="J347" t="s">
        <v>612</v>
      </c>
      <c r="K347">
        <v>2014</v>
      </c>
      <c r="L347">
        <v>2014</v>
      </c>
      <c r="M347">
        <v>0.2</v>
      </c>
      <c r="N347">
        <v>0.85</v>
      </c>
      <c r="O347">
        <v>3.6</v>
      </c>
      <c r="P347">
        <v>6.4</v>
      </c>
      <c r="Q347">
        <v>8.9999999999999993E-3</v>
      </c>
      <c r="R347" t="s">
        <v>84</v>
      </c>
      <c r="S347" t="s">
        <v>2415</v>
      </c>
      <c r="T347" t="b">
        <v>1</v>
      </c>
      <c r="U347" t="s">
        <v>2416</v>
      </c>
      <c r="V347" t="s">
        <v>2417</v>
      </c>
      <c r="W347" t="s">
        <v>2418</v>
      </c>
      <c r="X347" t="s">
        <v>47</v>
      </c>
      <c r="AA347" t="s">
        <v>615</v>
      </c>
      <c r="AC347" t="s">
        <v>616</v>
      </c>
      <c r="AD347" t="b">
        <v>0</v>
      </c>
      <c r="AF347">
        <v>4</v>
      </c>
      <c r="AG347" t="s">
        <v>321</v>
      </c>
    </row>
    <row r="348" spans="1:33" x14ac:dyDescent="0.2">
      <c r="A348">
        <v>868</v>
      </c>
      <c r="B348" t="s">
        <v>2419</v>
      </c>
      <c r="C348" t="s">
        <v>34</v>
      </c>
      <c r="D348" t="s">
        <v>35</v>
      </c>
      <c r="E348" t="s">
        <v>1368</v>
      </c>
      <c r="F348" t="s">
        <v>1369</v>
      </c>
      <c r="G348" t="s">
        <v>483</v>
      </c>
      <c r="H348" t="s">
        <v>109</v>
      </c>
      <c r="I348" t="s">
        <v>1370</v>
      </c>
      <c r="J348" t="s">
        <v>71</v>
      </c>
      <c r="K348">
        <v>1972</v>
      </c>
      <c r="L348">
        <v>1972</v>
      </c>
      <c r="M348">
        <v>7.0000000000000007E-2</v>
      </c>
      <c r="N348">
        <v>0.20399999999999999</v>
      </c>
      <c r="R348" t="s">
        <v>97</v>
      </c>
      <c r="S348" t="s">
        <v>1371</v>
      </c>
      <c r="T348" t="b">
        <v>1</v>
      </c>
      <c r="U348" t="s">
        <v>643</v>
      </c>
      <c r="V348" t="s">
        <v>1373</v>
      </c>
      <c r="W348" t="s">
        <v>113</v>
      </c>
      <c r="X348" t="s">
        <v>47</v>
      </c>
      <c r="AA348" t="s">
        <v>340</v>
      </c>
      <c r="AC348" t="s">
        <v>341</v>
      </c>
      <c r="AD348" t="b">
        <v>0</v>
      </c>
      <c r="AF348">
        <v>1</v>
      </c>
      <c r="AG348" t="s">
        <v>104</v>
      </c>
    </row>
    <row r="349" spans="1:33" x14ac:dyDescent="0.2">
      <c r="A349">
        <v>2064</v>
      </c>
      <c r="B349" t="s">
        <v>2420</v>
      </c>
      <c r="C349" t="s">
        <v>34</v>
      </c>
      <c r="D349" t="s">
        <v>35</v>
      </c>
      <c r="E349" t="s">
        <v>2421</v>
      </c>
      <c r="F349" t="s">
        <v>2422</v>
      </c>
      <c r="G349" t="s">
        <v>53</v>
      </c>
      <c r="H349" t="s">
        <v>54</v>
      </c>
      <c r="I349" t="s">
        <v>901</v>
      </c>
      <c r="J349" t="s">
        <v>313</v>
      </c>
      <c r="K349">
        <v>2021</v>
      </c>
      <c r="L349">
        <v>2021</v>
      </c>
      <c r="M349">
        <v>6.2</v>
      </c>
      <c r="N349">
        <v>15.08</v>
      </c>
      <c r="O349">
        <v>142</v>
      </c>
      <c r="P349">
        <v>5.25</v>
      </c>
      <c r="Q349">
        <v>0.32800000000000001</v>
      </c>
      <c r="R349" t="s">
        <v>57</v>
      </c>
      <c r="S349" t="s">
        <v>2423</v>
      </c>
      <c r="T349" t="b">
        <v>1</v>
      </c>
      <c r="U349" t="s">
        <v>2424</v>
      </c>
      <c r="V349" t="s">
        <v>2425</v>
      </c>
      <c r="W349" t="s">
        <v>2426</v>
      </c>
      <c r="X349" t="s">
        <v>47</v>
      </c>
      <c r="AA349" t="s">
        <v>906</v>
      </c>
      <c r="AC349" t="s">
        <v>907</v>
      </c>
      <c r="AD349" t="b">
        <v>0</v>
      </c>
      <c r="AF349">
        <v>2</v>
      </c>
      <c r="AG349" t="s">
        <v>287</v>
      </c>
    </row>
    <row r="350" spans="1:33" x14ac:dyDescent="0.2">
      <c r="A350">
        <v>754</v>
      </c>
      <c r="B350" t="s">
        <v>2427</v>
      </c>
      <c r="C350" t="s">
        <v>34</v>
      </c>
      <c r="D350" t="s">
        <v>35</v>
      </c>
      <c r="E350" t="s">
        <v>2428</v>
      </c>
      <c r="F350" t="s">
        <v>2429</v>
      </c>
      <c r="G350" t="s">
        <v>53</v>
      </c>
      <c r="H350" t="s">
        <v>54</v>
      </c>
      <c r="I350" t="s">
        <v>147</v>
      </c>
      <c r="J350" t="s">
        <v>148</v>
      </c>
      <c r="K350">
        <v>1995</v>
      </c>
      <c r="L350">
        <v>1995</v>
      </c>
      <c r="M350">
        <v>8.32</v>
      </c>
      <c r="N350">
        <v>25.297000000000001</v>
      </c>
      <c r="O350">
        <v>326</v>
      </c>
      <c r="P350">
        <v>3.09</v>
      </c>
      <c r="Q350">
        <v>0.78800000000000003</v>
      </c>
      <c r="R350" t="s">
        <v>72</v>
      </c>
      <c r="S350" t="s">
        <v>2430</v>
      </c>
      <c r="T350" t="b">
        <v>1</v>
      </c>
      <c r="U350" t="s">
        <v>2431</v>
      </c>
      <c r="V350" t="s">
        <v>2432</v>
      </c>
      <c r="W350" t="s">
        <v>2433</v>
      </c>
      <c r="X350" t="s">
        <v>47</v>
      </c>
      <c r="AA350" t="s">
        <v>400</v>
      </c>
      <c r="AB350" t="s">
        <v>83</v>
      </c>
      <c r="AC350" t="s">
        <v>402</v>
      </c>
      <c r="AD350" t="b">
        <v>0</v>
      </c>
      <c r="AF350">
        <v>13</v>
      </c>
      <c r="AG350" t="s">
        <v>155</v>
      </c>
    </row>
    <row r="351" spans="1:33" x14ac:dyDescent="0.2">
      <c r="A351">
        <v>744</v>
      </c>
      <c r="B351" t="s">
        <v>2434</v>
      </c>
      <c r="C351" t="s">
        <v>34</v>
      </c>
      <c r="D351" t="s">
        <v>35</v>
      </c>
      <c r="E351" t="s">
        <v>277</v>
      </c>
      <c r="F351" t="s">
        <v>278</v>
      </c>
      <c r="G351" t="s">
        <v>93</v>
      </c>
      <c r="H351" t="s">
        <v>94</v>
      </c>
      <c r="I351" t="s">
        <v>2435</v>
      </c>
      <c r="J351" t="s">
        <v>2436</v>
      </c>
      <c r="K351">
        <v>1994</v>
      </c>
      <c r="L351">
        <v>1994</v>
      </c>
      <c r="M351">
        <v>1.9</v>
      </c>
      <c r="N351">
        <v>11.198</v>
      </c>
      <c r="O351">
        <v>6.69</v>
      </c>
      <c r="P351">
        <v>32.99</v>
      </c>
      <c r="Q351">
        <v>1.6E-2</v>
      </c>
      <c r="R351" t="s">
        <v>97</v>
      </c>
      <c r="S351" t="s">
        <v>2437</v>
      </c>
      <c r="T351" t="b">
        <v>1</v>
      </c>
      <c r="U351" t="s">
        <v>2438</v>
      </c>
      <c r="V351" t="s">
        <v>389</v>
      </c>
      <c r="W351" t="s">
        <v>2439</v>
      </c>
      <c r="X351" t="s">
        <v>47</v>
      </c>
      <c r="AA351" t="s">
        <v>102</v>
      </c>
      <c r="AB351" t="s">
        <v>1303</v>
      </c>
      <c r="AC351" t="s">
        <v>103</v>
      </c>
      <c r="AD351" t="b">
        <v>0</v>
      </c>
      <c r="AF351">
        <v>1</v>
      </c>
      <c r="AG351" t="s">
        <v>104</v>
      </c>
    </row>
    <row r="352" spans="1:33" x14ac:dyDescent="0.2">
      <c r="A352">
        <v>1777</v>
      </c>
      <c r="B352" t="s">
        <v>2440</v>
      </c>
      <c r="C352" t="s">
        <v>34</v>
      </c>
      <c r="D352" t="s">
        <v>35</v>
      </c>
      <c r="E352" t="s">
        <v>2441</v>
      </c>
      <c r="F352" t="s">
        <v>2442</v>
      </c>
      <c r="G352" t="s">
        <v>53</v>
      </c>
      <c r="H352" t="s">
        <v>54</v>
      </c>
      <c r="I352" t="s">
        <v>147</v>
      </c>
      <c r="J352" t="s">
        <v>148</v>
      </c>
      <c r="K352">
        <v>2013</v>
      </c>
      <c r="L352">
        <v>2013</v>
      </c>
      <c r="M352">
        <v>7.4999999999999997E-2</v>
      </c>
      <c r="N352">
        <v>0.41199999999999998</v>
      </c>
      <c r="O352">
        <v>115</v>
      </c>
      <c r="P352">
        <v>0.09</v>
      </c>
      <c r="Q352">
        <v>0.23100000000000001</v>
      </c>
      <c r="R352" t="s">
        <v>72</v>
      </c>
      <c r="S352" t="s">
        <v>2443</v>
      </c>
      <c r="T352" t="b">
        <v>1</v>
      </c>
      <c r="U352" t="s">
        <v>2444</v>
      </c>
      <c r="V352" t="s">
        <v>2445</v>
      </c>
      <c r="W352" t="s">
        <v>2446</v>
      </c>
      <c r="X352" t="s">
        <v>47</v>
      </c>
      <c r="AA352" t="s">
        <v>400</v>
      </c>
      <c r="AB352" t="s">
        <v>56</v>
      </c>
      <c r="AC352" t="s">
        <v>402</v>
      </c>
      <c r="AD352" t="b">
        <v>0</v>
      </c>
      <c r="AF352">
        <v>13</v>
      </c>
      <c r="AG352" t="s">
        <v>155</v>
      </c>
    </row>
    <row r="353" spans="1:33" x14ac:dyDescent="0.2">
      <c r="A353">
        <v>97</v>
      </c>
      <c r="B353" t="s">
        <v>2447</v>
      </c>
      <c r="C353" t="s">
        <v>34</v>
      </c>
      <c r="D353" t="s">
        <v>35</v>
      </c>
      <c r="E353" t="s">
        <v>1200</v>
      </c>
      <c r="F353" t="s">
        <v>1201</v>
      </c>
      <c r="G353" t="s">
        <v>53</v>
      </c>
      <c r="H353" t="s">
        <v>54</v>
      </c>
      <c r="I353" t="s">
        <v>170</v>
      </c>
      <c r="J353" t="s">
        <v>171</v>
      </c>
      <c r="K353">
        <v>1917</v>
      </c>
      <c r="L353">
        <v>1989</v>
      </c>
      <c r="M353">
        <v>9</v>
      </c>
      <c r="N353">
        <v>45.369</v>
      </c>
      <c r="O353">
        <v>432</v>
      </c>
      <c r="P353">
        <v>2.4</v>
      </c>
      <c r="Q353">
        <v>1.042</v>
      </c>
      <c r="R353" t="s">
        <v>57</v>
      </c>
      <c r="S353" t="s">
        <v>2448</v>
      </c>
      <c r="T353" t="b">
        <v>1</v>
      </c>
      <c r="U353" t="s">
        <v>2449</v>
      </c>
      <c r="V353" t="s">
        <v>1204</v>
      </c>
      <c r="W353" t="s">
        <v>2450</v>
      </c>
      <c r="X353" t="s">
        <v>47</v>
      </c>
      <c r="AA353" t="s">
        <v>2451</v>
      </c>
      <c r="AB353" t="s">
        <v>49</v>
      </c>
      <c r="AC353" t="s">
        <v>2452</v>
      </c>
      <c r="AD353" t="b">
        <v>0</v>
      </c>
      <c r="AF353">
        <v>6</v>
      </c>
      <c r="AG353" t="s">
        <v>64</v>
      </c>
    </row>
    <row r="354" spans="1:33" x14ac:dyDescent="0.2">
      <c r="A354">
        <v>1377</v>
      </c>
      <c r="B354" t="s">
        <v>2447</v>
      </c>
      <c r="C354" t="s">
        <v>34</v>
      </c>
      <c r="D354" t="s">
        <v>35</v>
      </c>
      <c r="E354" t="s">
        <v>2453</v>
      </c>
      <c r="F354" t="s">
        <v>2454</v>
      </c>
      <c r="G354" t="s">
        <v>213</v>
      </c>
      <c r="H354" t="s">
        <v>83</v>
      </c>
      <c r="I354" t="s">
        <v>1672</v>
      </c>
      <c r="J354" t="s">
        <v>231</v>
      </c>
      <c r="K354">
        <v>2007</v>
      </c>
      <c r="L354">
        <v>2007</v>
      </c>
      <c r="M354">
        <v>2.04</v>
      </c>
      <c r="N354">
        <v>4.9649999999999999</v>
      </c>
      <c r="O354">
        <v>140</v>
      </c>
      <c r="P354">
        <v>1.39</v>
      </c>
      <c r="Q354">
        <v>0.308</v>
      </c>
      <c r="R354" t="s">
        <v>84</v>
      </c>
      <c r="S354" t="s">
        <v>2455</v>
      </c>
      <c r="T354" t="b">
        <v>1</v>
      </c>
      <c r="U354" t="s">
        <v>2456</v>
      </c>
      <c r="V354" t="s">
        <v>2457</v>
      </c>
      <c r="W354" t="s">
        <v>2458</v>
      </c>
      <c r="X354" t="s">
        <v>47</v>
      </c>
      <c r="AA354" t="s">
        <v>2459</v>
      </c>
      <c r="AB354" t="s">
        <v>49</v>
      </c>
      <c r="AC354" t="s">
        <v>2460</v>
      </c>
      <c r="AD354" t="b">
        <v>0</v>
      </c>
      <c r="AF354">
        <v>4</v>
      </c>
      <c r="AG354" t="s">
        <v>321</v>
      </c>
    </row>
    <row r="355" spans="1:33" x14ac:dyDescent="0.2">
      <c r="A355">
        <v>1284</v>
      </c>
      <c r="B355" t="s">
        <v>2461</v>
      </c>
      <c r="C355" t="s">
        <v>34</v>
      </c>
      <c r="D355" t="s">
        <v>35</v>
      </c>
      <c r="E355" t="s">
        <v>2462</v>
      </c>
      <c r="F355" t="s">
        <v>2463</v>
      </c>
      <c r="G355" t="s">
        <v>483</v>
      </c>
      <c r="H355" t="s">
        <v>109</v>
      </c>
      <c r="I355" t="s">
        <v>1355</v>
      </c>
      <c r="J355" t="s">
        <v>462</v>
      </c>
      <c r="K355">
        <v>2006</v>
      </c>
      <c r="L355">
        <v>2006</v>
      </c>
      <c r="M355">
        <v>0.09</v>
      </c>
      <c r="N355">
        <v>0.26700000000000002</v>
      </c>
      <c r="O355">
        <v>10.5</v>
      </c>
      <c r="R355" t="s">
        <v>97</v>
      </c>
      <c r="S355" t="s">
        <v>2464</v>
      </c>
      <c r="T355" t="b">
        <v>1</v>
      </c>
      <c r="U355" t="s">
        <v>2465</v>
      </c>
      <c r="V355" t="s">
        <v>2466</v>
      </c>
      <c r="W355" t="s">
        <v>2467</v>
      </c>
      <c r="X355" t="s">
        <v>47</v>
      </c>
      <c r="AA355" t="s">
        <v>340</v>
      </c>
      <c r="AC355" t="s">
        <v>63</v>
      </c>
      <c r="AD355" t="b">
        <v>0</v>
      </c>
      <c r="AF355">
        <v>1</v>
      </c>
      <c r="AG355" t="s">
        <v>104</v>
      </c>
    </row>
    <row r="356" spans="1:33" x14ac:dyDescent="0.2">
      <c r="A356">
        <v>1398</v>
      </c>
      <c r="B356" t="s">
        <v>2468</v>
      </c>
      <c r="C356" t="s">
        <v>34</v>
      </c>
      <c r="D356" t="s">
        <v>35</v>
      </c>
      <c r="E356" t="s">
        <v>501</v>
      </c>
      <c r="F356" t="s">
        <v>502</v>
      </c>
      <c r="G356" t="s">
        <v>312</v>
      </c>
      <c r="H356" t="s">
        <v>313</v>
      </c>
      <c r="I356" t="s">
        <v>2469</v>
      </c>
      <c r="J356" t="s">
        <v>765</v>
      </c>
      <c r="K356">
        <v>2008</v>
      </c>
      <c r="L356">
        <v>2008</v>
      </c>
      <c r="M356">
        <v>1.99</v>
      </c>
      <c r="N356">
        <v>6.7720000000000002</v>
      </c>
      <c r="O356">
        <v>14.5</v>
      </c>
      <c r="P356">
        <v>16</v>
      </c>
      <c r="Q356">
        <v>0.34499999999999997</v>
      </c>
      <c r="R356" t="s">
        <v>84</v>
      </c>
      <c r="S356" t="s">
        <v>2470</v>
      </c>
      <c r="T356" t="b">
        <v>1</v>
      </c>
      <c r="U356" t="s">
        <v>2471</v>
      </c>
      <c r="V356" t="s">
        <v>507</v>
      </c>
      <c r="W356" t="s">
        <v>2472</v>
      </c>
      <c r="X356" t="s">
        <v>47</v>
      </c>
      <c r="AA356" t="s">
        <v>2473</v>
      </c>
      <c r="AC356" t="s">
        <v>63</v>
      </c>
      <c r="AD356" t="b">
        <v>0</v>
      </c>
      <c r="AF356">
        <v>4</v>
      </c>
      <c r="AG356" t="s">
        <v>321</v>
      </c>
    </row>
    <row r="357" spans="1:33" x14ac:dyDescent="0.2">
      <c r="A357">
        <v>856</v>
      </c>
      <c r="B357" t="s">
        <v>2474</v>
      </c>
      <c r="C357" t="s">
        <v>34</v>
      </c>
      <c r="D357" t="s">
        <v>35</v>
      </c>
      <c r="E357" t="s">
        <v>2256</v>
      </c>
      <c r="F357" t="s">
        <v>2257</v>
      </c>
      <c r="G357" t="s">
        <v>503</v>
      </c>
      <c r="H357" t="s">
        <v>462</v>
      </c>
      <c r="I357" t="s">
        <v>578</v>
      </c>
      <c r="J357" t="s">
        <v>308</v>
      </c>
      <c r="K357">
        <v>1908</v>
      </c>
      <c r="L357">
        <v>1908</v>
      </c>
      <c r="M357">
        <v>0.81</v>
      </c>
      <c r="N357">
        <v>4.4790000000000001</v>
      </c>
      <c r="O357">
        <v>17</v>
      </c>
      <c r="P357">
        <v>7</v>
      </c>
      <c r="Q357">
        <v>3.2000000000000001E-2</v>
      </c>
      <c r="R357" t="s">
        <v>84</v>
      </c>
      <c r="S357" t="s">
        <v>2475</v>
      </c>
      <c r="T357" t="b">
        <v>1</v>
      </c>
      <c r="U357" t="s">
        <v>2476</v>
      </c>
      <c r="V357" t="s">
        <v>2260</v>
      </c>
      <c r="W357" t="s">
        <v>113</v>
      </c>
      <c r="X357" t="s">
        <v>47</v>
      </c>
      <c r="AA357" t="s">
        <v>583</v>
      </c>
      <c r="AC357" t="s">
        <v>585</v>
      </c>
      <c r="AD357" t="b">
        <v>0</v>
      </c>
      <c r="AF357">
        <v>3</v>
      </c>
      <c r="AG357" t="s">
        <v>332</v>
      </c>
    </row>
    <row r="358" spans="1:33" x14ac:dyDescent="0.2">
      <c r="A358">
        <v>1024</v>
      </c>
      <c r="B358" t="s">
        <v>2477</v>
      </c>
      <c r="C358" t="s">
        <v>34</v>
      </c>
      <c r="D358" t="s">
        <v>35</v>
      </c>
      <c r="E358" t="s">
        <v>2478</v>
      </c>
      <c r="F358" t="s">
        <v>2479</v>
      </c>
      <c r="G358" t="s">
        <v>242</v>
      </c>
      <c r="H358" t="s">
        <v>243</v>
      </c>
      <c r="I358" t="s">
        <v>1273</v>
      </c>
      <c r="J358" t="s">
        <v>409</v>
      </c>
      <c r="K358">
        <v>2002</v>
      </c>
      <c r="L358">
        <v>2002</v>
      </c>
      <c r="M358">
        <v>0.06</v>
      </c>
      <c r="N358">
        <v>8.9999999999999993E-3</v>
      </c>
      <c r="R358" t="s">
        <v>72</v>
      </c>
      <c r="S358" t="s">
        <v>2480</v>
      </c>
      <c r="T358" t="b">
        <v>1</v>
      </c>
      <c r="U358" t="s">
        <v>247</v>
      </c>
      <c r="V358" t="s">
        <v>2481</v>
      </c>
      <c r="W358" t="s">
        <v>2482</v>
      </c>
      <c r="X358" t="s">
        <v>47</v>
      </c>
      <c r="AA358" t="s">
        <v>1276</v>
      </c>
      <c r="AC358" t="s">
        <v>2483</v>
      </c>
      <c r="AD358" t="b">
        <v>0</v>
      </c>
      <c r="AF358">
        <v>8</v>
      </c>
      <c r="AG358" t="s">
        <v>78</v>
      </c>
    </row>
    <row r="359" spans="1:33" x14ac:dyDescent="0.2">
      <c r="A359">
        <v>2120</v>
      </c>
      <c r="B359" t="s">
        <v>2484</v>
      </c>
      <c r="C359" t="s">
        <v>34</v>
      </c>
      <c r="D359" t="s">
        <v>35</v>
      </c>
      <c r="E359" t="s">
        <v>2485</v>
      </c>
      <c r="F359" t="s">
        <v>2486</v>
      </c>
      <c r="G359" t="s">
        <v>213</v>
      </c>
      <c r="H359" t="s">
        <v>83</v>
      </c>
      <c r="I359" t="s">
        <v>2487</v>
      </c>
      <c r="J359" t="s">
        <v>337</v>
      </c>
      <c r="K359">
        <v>2023</v>
      </c>
      <c r="L359">
        <v>2023</v>
      </c>
      <c r="M359">
        <v>0.18</v>
      </c>
      <c r="N359">
        <v>1</v>
      </c>
      <c r="O359">
        <v>77.7</v>
      </c>
      <c r="P359">
        <v>0.27</v>
      </c>
      <c r="Q359">
        <v>0.185</v>
      </c>
      <c r="R359" t="s">
        <v>84</v>
      </c>
      <c r="S359" t="s">
        <v>2488</v>
      </c>
      <c r="T359" t="b">
        <v>1</v>
      </c>
      <c r="U359" t="s">
        <v>2489</v>
      </c>
      <c r="V359" t="s">
        <v>2490</v>
      </c>
      <c r="W359" t="s">
        <v>2491</v>
      </c>
      <c r="X359" t="s">
        <v>47</v>
      </c>
      <c r="AA359" t="s">
        <v>2492</v>
      </c>
      <c r="AC359" t="s">
        <v>2493</v>
      </c>
      <c r="AD359" t="b">
        <v>0</v>
      </c>
      <c r="AF359">
        <v>3</v>
      </c>
      <c r="AG359" t="s">
        <v>332</v>
      </c>
    </row>
    <row r="360" spans="1:33" x14ac:dyDescent="0.2">
      <c r="A360">
        <v>2083</v>
      </c>
      <c r="B360" t="s">
        <v>2494</v>
      </c>
      <c r="C360" t="s">
        <v>34</v>
      </c>
      <c r="D360" t="s">
        <v>35</v>
      </c>
      <c r="E360" t="s">
        <v>2495</v>
      </c>
      <c r="F360" t="s">
        <v>2496</v>
      </c>
      <c r="G360" t="s">
        <v>93</v>
      </c>
      <c r="H360" t="s">
        <v>94</v>
      </c>
      <c r="I360" t="s">
        <v>2497</v>
      </c>
      <c r="J360" t="s">
        <v>426</v>
      </c>
      <c r="K360">
        <v>2023</v>
      </c>
      <c r="L360">
        <v>2023</v>
      </c>
      <c r="M360">
        <v>8.1999999999999993</v>
      </c>
      <c r="N360">
        <v>24</v>
      </c>
      <c r="O360">
        <v>416.2</v>
      </c>
      <c r="P360">
        <v>2.34</v>
      </c>
      <c r="Q360">
        <v>0.97299999999999998</v>
      </c>
      <c r="R360" t="s">
        <v>97</v>
      </c>
      <c r="S360" t="s">
        <v>2498</v>
      </c>
      <c r="T360" t="b">
        <v>1</v>
      </c>
      <c r="U360" t="s">
        <v>2499</v>
      </c>
      <c r="V360" t="s">
        <v>2500</v>
      </c>
      <c r="W360" t="s">
        <v>2501</v>
      </c>
      <c r="X360" t="s">
        <v>47</v>
      </c>
      <c r="AA360" t="s">
        <v>340</v>
      </c>
      <c r="AC360" t="s">
        <v>341</v>
      </c>
      <c r="AD360" t="b">
        <v>0</v>
      </c>
      <c r="AF360">
        <v>1</v>
      </c>
      <c r="AG360" t="s">
        <v>104</v>
      </c>
    </row>
    <row r="361" spans="1:33" x14ac:dyDescent="0.2">
      <c r="A361">
        <v>1691</v>
      </c>
      <c r="B361" t="s">
        <v>2502</v>
      </c>
      <c r="C361" t="s">
        <v>34</v>
      </c>
      <c r="D361" t="s">
        <v>35</v>
      </c>
      <c r="E361" t="s">
        <v>2503</v>
      </c>
      <c r="F361" t="s">
        <v>2504</v>
      </c>
      <c r="G361" t="s">
        <v>213</v>
      </c>
      <c r="H361" t="s">
        <v>83</v>
      </c>
      <c r="I361" t="s">
        <v>635</v>
      </c>
      <c r="J361" t="s">
        <v>94</v>
      </c>
      <c r="K361">
        <v>2006</v>
      </c>
      <c r="L361">
        <v>2006</v>
      </c>
      <c r="M361">
        <v>1.85</v>
      </c>
      <c r="N361">
        <v>6.6589999999999998</v>
      </c>
      <c r="O361">
        <v>168</v>
      </c>
      <c r="P361">
        <v>1.3</v>
      </c>
      <c r="Q361">
        <v>0.39500000000000002</v>
      </c>
      <c r="R361" t="s">
        <v>84</v>
      </c>
      <c r="S361" t="s">
        <v>2505</v>
      </c>
      <c r="T361" t="b">
        <v>1</v>
      </c>
      <c r="U361" t="s">
        <v>2506</v>
      </c>
      <c r="V361" t="s">
        <v>2507</v>
      </c>
      <c r="W361" t="s">
        <v>2508</v>
      </c>
      <c r="X361" t="s">
        <v>47</v>
      </c>
      <c r="AA361" t="s">
        <v>958</v>
      </c>
      <c r="AC361" t="s">
        <v>959</v>
      </c>
      <c r="AD361" t="b">
        <v>0</v>
      </c>
      <c r="AF361">
        <v>3</v>
      </c>
      <c r="AG361" t="s">
        <v>332</v>
      </c>
    </row>
    <row r="362" spans="1:33" x14ac:dyDescent="0.2">
      <c r="A362">
        <v>1491</v>
      </c>
      <c r="B362" t="s">
        <v>2509</v>
      </c>
      <c r="C362" t="s">
        <v>34</v>
      </c>
      <c r="D362" t="s">
        <v>35</v>
      </c>
      <c r="E362" t="s">
        <v>2510</v>
      </c>
      <c r="F362" t="s">
        <v>2511</v>
      </c>
      <c r="G362" t="s">
        <v>53</v>
      </c>
      <c r="H362" t="s">
        <v>54</v>
      </c>
      <c r="I362" t="s">
        <v>147</v>
      </c>
      <c r="J362" t="s">
        <v>148</v>
      </c>
      <c r="K362">
        <v>2008</v>
      </c>
      <c r="L362">
        <v>2008</v>
      </c>
      <c r="M362">
        <v>2.4</v>
      </c>
      <c r="N362">
        <v>7.0279999999999996</v>
      </c>
      <c r="O362">
        <v>308</v>
      </c>
      <c r="P362">
        <v>0.9</v>
      </c>
      <c r="Q362">
        <v>0.74099999999999999</v>
      </c>
      <c r="R362" t="s">
        <v>72</v>
      </c>
      <c r="S362" t="s">
        <v>2512</v>
      </c>
      <c r="T362" t="b">
        <v>1</v>
      </c>
      <c r="U362" t="s">
        <v>2513</v>
      </c>
      <c r="V362" t="s">
        <v>2514</v>
      </c>
      <c r="W362" t="s">
        <v>2515</v>
      </c>
      <c r="X362" t="s">
        <v>47</v>
      </c>
      <c r="AA362" t="s">
        <v>2516</v>
      </c>
      <c r="AC362" t="s">
        <v>63</v>
      </c>
      <c r="AD362" t="b">
        <v>0</v>
      </c>
      <c r="AF362">
        <v>13</v>
      </c>
      <c r="AG362" t="s">
        <v>155</v>
      </c>
    </row>
    <row r="363" spans="1:33" x14ac:dyDescent="0.2">
      <c r="A363">
        <v>829</v>
      </c>
      <c r="B363" t="s">
        <v>2517</v>
      </c>
      <c r="C363" t="s">
        <v>34</v>
      </c>
      <c r="D363" t="s">
        <v>35</v>
      </c>
      <c r="E363" t="s">
        <v>277</v>
      </c>
      <c r="F363" t="s">
        <v>278</v>
      </c>
      <c r="G363" t="s">
        <v>93</v>
      </c>
      <c r="H363" t="s">
        <v>94</v>
      </c>
      <c r="I363" t="s">
        <v>2518</v>
      </c>
      <c r="J363" t="s">
        <v>225</v>
      </c>
      <c r="K363">
        <v>2005</v>
      </c>
      <c r="L363">
        <v>2005</v>
      </c>
      <c r="M363">
        <v>75</v>
      </c>
      <c r="N363">
        <v>322.226</v>
      </c>
      <c r="O363">
        <v>325.60000000000002</v>
      </c>
      <c r="P363">
        <v>27</v>
      </c>
      <c r="Q363">
        <v>0.77200000000000002</v>
      </c>
      <c r="R363" t="s">
        <v>72</v>
      </c>
      <c r="S363" t="s">
        <v>2519</v>
      </c>
      <c r="T363" t="b">
        <v>1</v>
      </c>
      <c r="U363" t="s">
        <v>2520</v>
      </c>
      <c r="V363" t="s">
        <v>2521</v>
      </c>
      <c r="W363" t="s">
        <v>2522</v>
      </c>
      <c r="X363" t="s">
        <v>47</v>
      </c>
      <c r="AA363" t="s">
        <v>340</v>
      </c>
      <c r="AB363" t="s">
        <v>354</v>
      </c>
      <c r="AC363" t="s">
        <v>1063</v>
      </c>
      <c r="AD363" t="b">
        <v>0</v>
      </c>
      <c r="AF363">
        <v>8</v>
      </c>
      <c r="AG363" t="s">
        <v>78</v>
      </c>
    </row>
    <row r="364" spans="1:33" x14ac:dyDescent="0.2">
      <c r="A364">
        <v>1736</v>
      </c>
      <c r="B364" t="s">
        <v>2523</v>
      </c>
      <c r="C364" t="s">
        <v>34</v>
      </c>
      <c r="D364" t="s">
        <v>35</v>
      </c>
      <c r="E364" t="s">
        <v>2524</v>
      </c>
      <c r="F364" t="s">
        <v>2525</v>
      </c>
      <c r="G364" t="s">
        <v>53</v>
      </c>
      <c r="H364" t="s">
        <v>54</v>
      </c>
      <c r="I364" t="s">
        <v>325</v>
      </c>
      <c r="J364" t="s">
        <v>135</v>
      </c>
      <c r="K364">
        <v>2013</v>
      </c>
      <c r="L364">
        <v>2013</v>
      </c>
      <c r="M364">
        <v>0.7</v>
      </c>
      <c r="N364">
        <v>2.2989999999999999</v>
      </c>
      <c r="O364">
        <v>206</v>
      </c>
      <c r="P364">
        <v>0.38</v>
      </c>
      <c r="Q364">
        <v>0.51200000000000001</v>
      </c>
      <c r="R364" t="s">
        <v>84</v>
      </c>
      <c r="S364" t="s">
        <v>2526</v>
      </c>
      <c r="T364" t="b">
        <v>1</v>
      </c>
      <c r="U364" t="s">
        <v>2314</v>
      </c>
      <c r="V364" t="s">
        <v>2527</v>
      </c>
      <c r="W364" t="s">
        <v>2528</v>
      </c>
      <c r="X364" t="s">
        <v>47</v>
      </c>
      <c r="AA364" t="s">
        <v>330</v>
      </c>
      <c r="AC364" t="s">
        <v>331</v>
      </c>
      <c r="AD364" t="b">
        <v>0</v>
      </c>
      <c r="AF364">
        <v>3</v>
      </c>
      <c r="AG364" t="s">
        <v>332</v>
      </c>
    </row>
    <row r="365" spans="1:33" x14ac:dyDescent="0.2">
      <c r="A365">
        <v>1720</v>
      </c>
      <c r="B365" t="s">
        <v>2529</v>
      </c>
      <c r="C365" t="s">
        <v>34</v>
      </c>
      <c r="D365" t="s">
        <v>35</v>
      </c>
      <c r="E365" t="s">
        <v>2530</v>
      </c>
      <c r="F365" t="s">
        <v>2531</v>
      </c>
      <c r="G365" t="s">
        <v>53</v>
      </c>
      <c r="H365" t="s">
        <v>54</v>
      </c>
      <c r="I365" t="s">
        <v>461</v>
      </c>
      <c r="J365" t="s">
        <v>462</v>
      </c>
      <c r="K365">
        <v>2007</v>
      </c>
      <c r="L365">
        <v>2007</v>
      </c>
      <c r="M365">
        <v>7.0000000000000007E-2</v>
      </c>
      <c r="N365">
        <v>0.188</v>
      </c>
      <c r="O365">
        <v>100</v>
      </c>
      <c r="P365">
        <v>9.5000000000000001E-2</v>
      </c>
      <c r="Q365">
        <v>0.20499999999999999</v>
      </c>
      <c r="R365" t="s">
        <v>57</v>
      </c>
      <c r="S365" t="s">
        <v>2532</v>
      </c>
      <c r="T365" t="b">
        <v>1</v>
      </c>
      <c r="U365" t="s">
        <v>2533</v>
      </c>
      <c r="V365" t="s">
        <v>2534</v>
      </c>
      <c r="W365" t="s">
        <v>2535</v>
      </c>
      <c r="X365" t="s">
        <v>47</v>
      </c>
      <c r="AA365" t="s">
        <v>2536</v>
      </c>
      <c r="AC365" t="s">
        <v>2537</v>
      </c>
      <c r="AD365" t="b">
        <v>0</v>
      </c>
      <c r="AF365">
        <v>7</v>
      </c>
      <c r="AG365" t="s">
        <v>469</v>
      </c>
    </row>
    <row r="366" spans="1:33" x14ac:dyDescent="0.2">
      <c r="A366">
        <v>1004</v>
      </c>
      <c r="B366" t="s">
        <v>2538</v>
      </c>
      <c r="C366" t="s">
        <v>34</v>
      </c>
      <c r="D366" t="s">
        <v>35</v>
      </c>
      <c r="E366" t="s">
        <v>2539</v>
      </c>
      <c r="F366" t="s">
        <v>2540</v>
      </c>
      <c r="G366" t="s">
        <v>53</v>
      </c>
      <c r="H366" t="s">
        <v>54</v>
      </c>
      <c r="I366" t="s">
        <v>118</v>
      </c>
      <c r="J366" t="s">
        <v>119</v>
      </c>
      <c r="K366">
        <v>2005</v>
      </c>
      <c r="L366">
        <v>2005</v>
      </c>
      <c r="M366">
        <v>2.7E-2</v>
      </c>
      <c r="N366">
        <v>8.5999999999999993E-2</v>
      </c>
      <c r="R366" t="s">
        <v>84</v>
      </c>
      <c r="S366" t="s">
        <v>2541</v>
      </c>
      <c r="T366" t="b">
        <v>1</v>
      </c>
      <c r="U366" t="s">
        <v>237</v>
      </c>
      <c r="V366" t="s">
        <v>2542</v>
      </c>
      <c r="W366" t="s">
        <v>2543</v>
      </c>
      <c r="X366" t="s">
        <v>47</v>
      </c>
      <c r="AA366" t="s">
        <v>2544</v>
      </c>
      <c r="AC366" t="s">
        <v>63</v>
      </c>
      <c r="AD366" t="b">
        <v>0</v>
      </c>
      <c r="AF366">
        <v>5</v>
      </c>
      <c r="AG366" t="s">
        <v>89</v>
      </c>
    </row>
    <row r="367" spans="1:33" x14ac:dyDescent="0.2">
      <c r="A367">
        <v>925</v>
      </c>
      <c r="B367" t="s">
        <v>2545</v>
      </c>
      <c r="C367" t="s">
        <v>34</v>
      </c>
      <c r="D367" t="s">
        <v>35</v>
      </c>
      <c r="G367" t="s">
        <v>68</v>
      </c>
      <c r="H367" t="s">
        <v>69</v>
      </c>
      <c r="I367" t="s">
        <v>445</v>
      </c>
      <c r="J367" t="s">
        <v>203</v>
      </c>
      <c r="K367">
        <v>1998</v>
      </c>
      <c r="L367">
        <v>1998</v>
      </c>
      <c r="M367">
        <v>2.5000000000000001E-2</v>
      </c>
      <c r="N367">
        <v>0.05</v>
      </c>
      <c r="O367">
        <v>50</v>
      </c>
      <c r="R367" t="s">
        <v>72</v>
      </c>
      <c r="S367" t="s">
        <v>2546</v>
      </c>
      <c r="T367" t="b">
        <v>1</v>
      </c>
      <c r="U367" t="s">
        <v>455</v>
      </c>
      <c r="V367" t="s">
        <v>274</v>
      </c>
      <c r="W367" t="s">
        <v>113</v>
      </c>
      <c r="X367" t="s">
        <v>47</v>
      </c>
      <c r="AA367" t="s">
        <v>114</v>
      </c>
      <c r="AC367" t="s">
        <v>63</v>
      </c>
      <c r="AD367" t="b">
        <v>0</v>
      </c>
      <c r="AF367">
        <v>8</v>
      </c>
      <c r="AG367" t="s">
        <v>78</v>
      </c>
    </row>
    <row r="368" spans="1:33" x14ac:dyDescent="0.2">
      <c r="A368">
        <v>98</v>
      </c>
      <c r="B368" t="s">
        <v>2547</v>
      </c>
      <c r="C368" t="s">
        <v>34</v>
      </c>
      <c r="D368" t="s">
        <v>35</v>
      </c>
      <c r="E368" t="s">
        <v>2548</v>
      </c>
      <c r="F368" t="s">
        <v>2549</v>
      </c>
      <c r="G368" t="s">
        <v>1859</v>
      </c>
      <c r="H368" t="s">
        <v>203</v>
      </c>
      <c r="I368" t="s">
        <v>2550</v>
      </c>
      <c r="J368" t="s">
        <v>584</v>
      </c>
      <c r="K368">
        <v>1901</v>
      </c>
      <c r="L368">
        <v>1901</v>
      </c>
      <c r="M368">
        <v>3.3</v>
      </c>
      <c r="N368">
        <v>13.247</v>
      </c>
      <c r="O368">
        <v>23.29</v>
      </c>
      <c r="P368">
        <v>20</v>
      </c>
      <c r="Q368">
        <v>4.5999999999999999E-2</v>
      </c>
      <c r="R368" t="s">
        <v>84</v>
      </c>
      <c r="S368" t="s">
        <v>2551</v>
      </c>
      <c r="T368" t="b">
        <v>1</v>
      </c>
      <c r="U368" t="s">
        <v>2552</v>
      </c>
      <c r="V368" t="s">
        <v>2553</v>
      </c>
      <c r="W368" t="s">
        <v>2554</v>
      </c>
      <c r="X368" t="s">
        <v>47</v>
      </c>
      <c r="AA368" t="s">
        <v>2555</v>
      </c>
      <c r="AB368" t="s">
        <v>49</v>
      </c>
      <c r="AC368" t="s">
        <v>2556</v>
      </c>
      <c r="AD368" t="b">
        <v>0</v>
      </c>
      <c r="AF368">
        <v>3</v>
      </c>
      <c r="AG368" t="s">
        <v>332</v>
      </c>
    </row>
    <row r="369" spans="1:33" x14ac:dyDescent="0.2">
      <c r="A369">
        <v>99</v>
      </c>
      <c r="B369" t="s">
        <v>2557</v>
      </c>
      <c r="C369" t="s">
        <v>34</v>
      </c>
      <c r="D369" t="s">
        <v>35</v>
      </c>
      <c r="E369" t="s">
        <v>1200</v>
      </c>
      <c r="F369" t="s">
        <v>1201</v>
      </c>
      <c r="G369" t="s">
        <v>53</v>
      </c>
      <c r="H369" t="s">
        <v>54</v>
      </c>
      <c r="I369" t="s">
        <v>1723</v>
      </c>
      <c r="J369" t="s">
        <v>1697</v>
      </c>
      <c r="K369">
        <v>1912</v>
      </c>
      <c r="L369">
        <v>1962</v>
      </c>
      <c r="M369">
        <v>24.9</v>
      </c>
      <c r="N369">
        <v>147.76300000000001</v>
      </c>
      <c r="O369">
        <v>147.6</v>
      </c>
      <c r="P369">
        <v>22</v>
      </c>
      <c r="Q369">
        <v>0.314</v>
      </c>
      <c r="R369" t="s">
        <v>57</v>
      </c>
      <c r="S369" t="s">
        <v>2558</v>
      </c>
      <c r="T369" t="b">
        <v>1</v>
      </c>
      <c r="U369" t="s">
        <v>2173</v>
      </c>
      <c r="V369" t="s">
        <v>1204</v>
      </c>
      <c r="W369" t="s">
        <v>2559</v>
      </c>
      <c r="X369" t="s">
        <v>47</v>
      </c>
      <c r="AA369" t="s">
        <v>1727</v>
      </c>
      <c r="AB369" t="s">
        <v>539</v>
      </c>
      <c r="AC369" t="s">
        <v>1728</v>
      </c>
      <c r="AD369" t="b">
        <v>0</v>
      </c>
      <c r="AF369">
        <v>6</v>
      </c>
      <c r="AG369" t="s">
        <v>64</v>
      </c>
    </row>
    <row r="370" spans="1:33" x14ac:dyDescent="0.2">
      <c r="A370">
        <v>876</v>
      </c>
      <c r="B370" t="s">
        <v>2560</v>
      </c>
      <c r="C370" t="s">
        <v>34</v>
      </c>
      <c r="D370" t="s">
        <v>35</v>
      </c>
      <c r="G370" t="s">
        <v>503</v>
      </c>
      <c r="H370" t="s">
        <v>462</v>
      </c>
      <c r="I370" t="s">
        <v>1520</v>
      </c>
      <c r="J370" t="s">
        <v>337</v>
      </c>
      <c r="K370">
        <v>1996</v>
      </c>
      <c r="L370">
        <v>1996</v>
      </c>
      <c r="M370">
        <v>6.0000000000000001E-3</v>
      </c>
      <c r="N370">
        <v>3.7999999999999999E-2</v>
      </c>
      <c r="R370" t="s">
        <v>84</v>
      </c>
      <c r="S370" t="s">
        <v>2561</v>
      </c>
      <c r="T370" t="b">
        <v>1</v>
      </c>
      <c r="U370" t="s">
        <v>439</v>
      </c>
      <c r="V370" t="s">
        <v>274</v>
      </c>
      <c r="W370" t="s">
        <v>2562</v>
      </c>
      <c r="X370" t="s">
        <v>47</v>
      </c>
      <c r="AA370" t="s">
        <v>114</v>
      </c>
      <c r="AC370" t="s">
        <v>63</v>
      </c>
      <c r="AD370" t="b">
        <v>0</v>
      </c>
      <c r="AF370">
        <v>3</v>
      </c>
      <c r="AG370" t="s">
        <v>332</v>
      </c>
    </row>
    <row r="371" spans="1:33" x14ac:dyDescent="0.2">
      <c r="A371">
        <v>100</v>
      </c>
      <c r="B371" t="s">
        <v>2563</v>
      </c>
      <c r="C371" t="s">
        <v>34</v>
      </c>
      <c r="D371" t="s">
        <v>35</v>
      </c>
      <c r="E371" t="s">
        <v>2170</v>
      </c>
      <c r="F371" t="s">
        <v>2171</v>
      </c>
      <c r="G371" t="s">
        <v>503</v>
      </c>
      <c r="H371" t="s">
        <v>462</v>
      </c>
      <c r="I371" t="s">
        <v>2564</v>
      </c>
      <c r="J371" t="s">
        <v>262</v>
      </c>
      <c r="K371">
        <v>1995</v>
      </c>
      <c r="L371">
        <v>1995</v>
      </c>
      <c r="M371">
        <v>45.6</v>
      </c>
      <c r="N371">
        <v>216.18899999999999</v>
      </c>
      <c r="O371">
        <v>61.5</v>
      </c>
      <c r="P371">
        <v>90</v>
      </c>
      <c r="Q371">
        <v>0.14099999999999999</v>
      </c>
      <c r="R371" t="s">
        <v>84</v>
      </c>
      <c r="S371" t="s">
        <v>2565</v>
      </c>
      <c r="T371" t="b">
        <v>1</v>
      </c>
      <c r="U371" t="s">
        <v>2566</v>
      </c>
      <c r="V371" t="s">
        <v>2567</v>
      </c>
      <c r="W371" t="s">
        <v>2568</v>
      </c>
      <c r="X371" t="s">
        <v>47</v>
      </c>
      <c r="AA371" t="s">
        <v>583</v>
      </c>
      <c r="AB371" t="s">
        <v>485</v>
      </c>
      <c r="AC371" t="s">
        <v>585</v>
      </c>
      <c r="AD371" t="b">
        <v>0</v>
      </c>
      <c r="AF371">
        <v>3</v>
      </c>
      <c r="AG371" t="s">
        <v>332</v>
      </c>
    </row>
    <row r="372" spans="1:33" x14ac:dyDescent="0.2">
      <c r="A372">
        <v>2158</v>
      </c>
      <c r="B372" t="s">
        <v>2569</v>
      </c>
      <c r="C372" t="s">
        <v>34</v>
      </c>
      <c r="D372" t="s">
        <v>35</v>
      </c>
      <c r="E372" t="s">
        <v>404</v>
      </c>
      <c r="F372" t="s">
        <v>405</v>
      </c>
      <c r="G372" t="s">
        <v>312</v>
      </c>
      <c r="H372" t="s">
        <v>313</v>
      </c>
      <c r="I372" t="s">
        <v>493</v>
      </c>
      <c r="J372" t="s">
        <v>409</v>
      </c>
      <c r="K372">
        <v>2025</v>
      </c>
      <c r="L372">
        <v>2025</v>
      </c>
      <c r="M372">
        <v>2.8250000000000002</v>
      </c>
      <c r="N372">
        <v>9.8000000000000007</v>
      </c>
      <c r="O372">
        <v>17.2</v>
      </c>
      <c r="P372">
        <v>20</v>
      </c>
      <c r="Q372">
        <v>3.9E-2</v>
      </c>
      <c r="R372" t="s">
        <v>84</v>
      </c>
      <c r="S372" t="s">
        <v>2570</v>
      </c>
      <c r="T372" t="b">
        <v>1</v>
      </c>
      <c r="U372" t="s">
        <v>2571</v>
      </c>
      <c r="V372" t="s">
        <v>408</v>
      </c>
      <c r="W372" t="s">
        <v>2572</v>
      </c>
      <c r="X372" t="s">
        <v>47</v>
      </c>
      <c r="AA372" t="s">
        <v>2573</v>
      </c>
      <c r="AB372" t="s">
        <v>308</v>
      </c>
      <c r="AC372" t="s">
        <v>2574</v>
      </c>
      <c r="AD372" t="b">
        <v>0</v>
      </c>
      <c r="AF372">
        <v>4</v>
      </c>
      <c r="AG372" t="s">
        <v>321</v>
      </c>
    </row>
    <row r="373" spans="1:33" x14ac:dyDescent="0.2">
      <c r="A373">
        <v>1731</v>
      </c>
      <c r="B373" t="s">
        <v>2575</v>
      </c>
      <c r="C373" t="s">
        <v>34</v>
      </c>
      <c r="D373" t="s">
        <v>35</v>
      </c>
      <c r="E373" t="s">
        <v>2576</v>
      </c>
      <c r="F373" t="s">
        <v>2577</v>
      </c>
      <c r="G373" t="s">
        <v>213</v>
      </c>
      <c r="H373" t="s">
        <v>83</v>
      </c>
      <c r="I373" t="s">
        <v>635</v>
      </c>
      <c r="J373" t="s">
        <v>94</v>
      </c>
      <c r="K373">
        <v>2009</v>
      </c>
      <c r="L373">
        <v>2009</v>
      </c>
      <c r="M373">
        <v>2.5000000000000001E-2</v>
      </c>
      <c r="N373">
        <v>0.107</v>
      </c>
      <c r="O373">
        <v>60</v>
      </c>
      <c r="R373" t="s">
        <v>84</v>
      </c>
      <c r="S373" t="s">
        <v>865</v>
      </c>
      <c r="T373" t="b">
        <v>1</v>
      </c>
      <c r="U373" t="s">
        <v>1262</v>
      </c>
      <c r="V373" t="s">
        <v>2578</v>
      </c>
      <c r="W373" t="s">
        <v>2579</v>
      </c>
      <c r="X373" t="s">
        <v>47</v>
      </c>
      <c r="AA373" t="s">
        <v>114</v>
      </c>
      <c r="AC373" t="s">
        <v>63</v>
      </c>
      <c r="AD373" t="b">
        <v>0</v>
      </c>
      <c r="AF373">
        <v>3</v>
      </c>
      <c r="AG373" t="s">
        <v>332</v>
      </c>
    </row>
    <row r="374" spans="1:33" x14ac:dyDescent="0.2">
      <c r="A374">
        <v>101</v>
      </c>
      <c r="B374" t="s">
        <v>2580</v>
      </c>
      <c r="C374" t="s">
        <v>34</v>
      </c>
      <c r="D374" t="s">
        <v>35</v>
      </c>
      <c r="E374" t="s">
        <v>253</v>
      </c>
      <c r="F374" t="s">
        <v>254</v>
      </c>
      <c r="G374" t="s">
        <v>242</v>
      </c>
      <c r="H374" t="s">
        <v>243</v>
      </c>
      <c r="I374" t="s">
        <v>2581</v>
      </c>
      <c r="J374" t="s">
        <v>94</v>
      </c>
      <c r="K374">
        <v>1938</v>
      </c>
      <c r="L374">
        <v>2007</v>
      </c>
      <c r="M374">
        <v>20.6</v>
      </c>
      <c r="N374">
        <v>78.027000000000001</v>
      </c>
      <c r="O374">
        <v>336.2</v>
      </c>
      <c r="P374">
        <v>6.5</v>
      </c>
      <c r="Q374">
        <v>0.88</v>
      </c>
      <c r="R374" t="s">
        <v>72</v>
      </c>
      <c r="S374" t="s">
        <v>2582</v>
      </c>
      <c r="T374" t="b">
        <v>1</v>
      </c>
      <c r="U374" t="s">
        <v>2583</v>
      </c>
      <c r="V374" t="s">
        <v>259</v>
      </c>
      <c r="W374" t="s">
        <v>2584</v>
      </c>
      <c r="X374" t="s">
        <v>47</v>
      </c>
      <c r="AA374" t="s">
        <v>250</v>
      </c>
      <c r="AB374" t="s">
        <v>567</v>
      </c>
      <c r="AC374" t="s">
        <v>2585</v>
      </c>
      <c r="AD374" t="b">
        <v>0</v>
      </c>
      <c r="AF374">
        <v>9</v>
      </c>
      <c r="AG374" t="s">
        <v>251</v>
      </c>
    </row>
    <row r="375" spans="1:33" x14ac:dyDescent="0.2">
      <c r="A375">
        <v>102</v>
      </c>
      <c r="B375" t="s">
        <v>2586</v>
      </c>
      <c r="C375" t="s">
        <v>34</v>
      </c>
      <c r="D375" t="s">
        <v>35</v>
      </c>
      <c r="E375" t="s">
        <v>587</v>
      </c>
      <c r="F375" t="s">
        <v>588</v>
      </c>
      <c r="G375" t="s">
        <v>483</v>
      </c>
      <c r="H375" t="s">
        <v>109</v>
      </c>
      <c r="I375" t="s">
        <v>2587</v>
      </c>
      <c r="J375" t="s">
        <v>171</v>
      </c>
      <c r="K375">
        <v>1975</v>
      </c>
      <c r="L375">
        <v>1975</v>
      </c>
      <c r="M375">
        <v>40</v>
      </c>
      <c r="N375">
        <v>199.91300000000001</v>
      </c>
      <c r="O375">
        <v>10.5</v>
      </c>
      <c r="P375">
        <v>444.44</v>
      </c>
      <c r="Q375">
        <v>2.5000000000000001E-2</v>
      </c>
      <c r="R375" t="s">
        <v>97</v>
      </c>
      <c r="S375" t="s">
        <v>2588</v>
      </c>
      <c r="T375" t="b">
        <v>1</v>
      </c>
      <c r="U375" t="s">
        <v>2063</v>
      </c>
      <c r="V375" t="s">
        <v>592</v>
      </c>
      <c r="W375" t="s">
        <v>2589</v>
      </c>
      <c r="X375" t="s">
        <v>47</v>
      </c>
      <c r="AA375" t="s">
        <v>340</v>
      </c>
      <c r="AB375" t="s">
        <v>1697</v>
      </c>
      <c r="AC375" t="s">
        <v>341</v>
      </c>
      <c r="AD375" t="b">
        <v>0</v>
      </c>
      <c r="AF375">
        <v>1</v>
      </c>
      <c r="AG375" t="s">
        <v>104</v>
      </c>
    </row>
    <row r="376" spans="1:33" x14ac:dyDescent="0.2">
      <c r="A376">
        <v>820</v>
      </c>
      <c r="B376" t="s">
        <v>2590</v>
      </c>
      <c r="C376" t="s">
        <v>34</v>
      </c>
      <c r="D376" t="s">
        <v>35</v>
      </c>
      <c r="E376" t="s">
        <v>2591</v>
      </c>
      <c r="F376" t="s">
        <v>2592</v>
      </c>
      <c r="G376" t="s">
        <v>53</v>
      </c>
      <c r="H376" t="s">
        <v>54</v>
      </c>
      <c r="I376" t="s">
        <v>147</v>
      </c>
      <c r="J376" t="s">
        <v>148</v>
      </c>
      <c r="K376">
        <v>2001</v>
      </c>
      <c r="L376">
        <v>2001</v>
      </c>
      <c r="M376">
        <v>1.08</v>
      </c>
      <c r="N376">
        <v>4.2539999999999996</v>
      </c>
      <c r="O376">
        <v>205</v>
      </c>
      <c r="P376">
        <v>0.64</v>
      </c>
      <c r="Q376">
        <v>0.47699999999999998</v>
      </c>
      <c r="R376" t="s">
        <v>72</v>
      </c>
      <c r="S376" t="s">
        <v>2593</v>
      </c>
      <c r="T376" t="b">
        <v>1</v>
      </c>
      <c r="U376" t="s">
        <v>2594</v>
      </c>
      <c r="V376" t="s">
        <v>2595</v>
      </c>
      <c r="W376" t="s">
        <v>2596</v>
      </c>
      <c r="X376" t="s">
        <v>47</v>
      </c>
      <c r="AA376" t="s">
        <v>153</v>
      </c>
      <c r="AB376" t="s">
        <v>280</v>
      </c>
      <c r="AC376" t="s">
        <v>154</v>
      </c>
      <c r="AD376" t="b">
        <v>0</v>
      </c>
      <c r="AF376">
        <v>13</v>
      </c>
      <c r="AG376" t="s">
        <v>155</v>
      </c>
    </row>
    <row r="377" spans="1:33" x14ac:dyDescent="0.2">
      <c r="A377">
        <v>1719</v>
      </c>
      <c r="B377" t="s">
        <v>2597</v>
      </c>
      <c r="C377" t="s">
        <v>34</v>
      </c>
      <c r="D377" t="s">
        <v>35</v>
      </c>
      <c r="E377" t="s">
        <v>168</v>
      </c>
      <c r="F377" t="s">
        <v>169</v>
      </c>
      <c r="G377" t="s">
        <v>53</v>
      </c>
      <c r="H377" t="s">
        <v>54</v>
      </c>
      <c r="I377" t="s">
        <v>55</v>
      </c>
      <c r="J377" t="s">
        <v>56</v>
      </c>
      <c r="K377">
        <v>2014</v>
      </c>
      <c r="L377">
        <v>2014</v>
      </c>
      <c r="M377">
        <v>5.49</v>
      </c>
      <c r="N377">
        <v>10.3</v>
      </c>
      <c r="O377">
        <v>276</v>
      </c>
      <c r="P377">
        <v>2.4</v>
      </c>
      <c r="Q377">
        <v>0.63700000000000001</v>
      </c>
      <c r="R377" t="s">
        <v>57</v>
      </c>
      <c r="S377" t="s">
        <v>2598</v>
      </c>
      <c r="T377" t="b">
        <v>1</v>
      </c>
      <c r="U377" t="s">
        <v>2599</v>
      </c>
      <c r="V377" t="s">
        <v>174</v>
      </c>
      <c r="W377" t="s">
        <v>2600</v>
      </c>
      <c r="X377" t="s">
        <v>47</v>
      </c>
      <c r="AA377" t="s">
        <v>741</v>
      </c>
      <c r="AC377" t="s">
        <v>742</v>
      </c>
      <c r="AD377" t="b">
        <v>0</v>
      </c>
      <c r="AF377">
        <v>6</v>
      </c>
      <c r="AG377" t="s">
        <v>64</v>
      </c>
    </row>
    <row r="378" spans="1:33" x14ac:dyDescent="0.2">
      <c r="A378">
        <v>1350</v>
      </c>
      <c r="B378" t="s">
        <v>2601</v>
      </c>
      <c r="C378" t="s">
        <v>34</v>
      </c>
      <c r="D378" t="s">
        <v>35</v>
      </c>
      <c r="E378" t="s">
        <v>682</v>
      </c>
      <c r="F378" t="s">
        <v>683</v>
      </c>
      <c r="G378" t="s">
        <v>68</v>
      </c>
      <c r="H378" t="s">
        <v>69</v>
      </c>
      <c r="I378" t="s">
        <v>1974</v>
      </c>
      <c r="J378" t="s">
        <v>1975</v>
      </c>
      <c r="K378">
        <v>2007</v>
      </c>
      <c r="L378">
        <v>2007</v>
      </c>
      <c r="M378">
        <v>4.95</v>
      </c>
      <c r="N378">
        <v>12.718</v>
      </c>
      <c r="O378">
        <v>289.5</v>
      </c>
      <c r="P378">
        <v>2</v>
      </c>
      <c r="Q378">
        <v>0.66700000000000004</v>
      </c>
      <c r="R378" t="s">
        <v>72</v>
      </c>
      <c r="S378" t="s">
        <v>2602</v>
      </c>
      <c r="T378" t="b">
        <v>1</v>
      </c>
      <c r="U378" t="s">
        <v>839</v>
      </c>
      <c r="V378" t="s">
        <v>686</v>
      </c>
      <c r="W378" t="s">
        <v>2603</v>
      </c>
      <c r="X378" t="s">
        <v>47</v>
      </c>
      <c r="AA378" t="s">
        <v>479</v>
      </c>
      <c r="AB378" t="s">
        <v>308</v>
      </c>
      <c r="AC378" t="s">
        <v>1980</v>
      </c>
      <c r="AD378" t="b">
        <v>0</v>
      </c>
      <c r="AF378">
        <v>8</v>
      </c>
      <c r="AG378" t="s">
        <v>78</v>
      </c>
    </row>
    <row r="379" spans="1:33" x14ac:dyDescent="0.2">
      <c r="A379">
        <v>1756</v>
      </c>
      <c r="B379" t="s">
        <v>2604</v>
      </c>
      <c r="C379" t="s">
        <v>34</v>
      </c>
      <c r="D379" t="s">
        <v>35</v>
      </c>
      <c r="E379" t="s">
        <v>36</v>
      </c>
      <c r="F379" t="s">
        <v>37</v>
      </c>
      <c r="G379" t="s">
        <v>134</v>
      </c>
      <c r="H379" t="s">
        <v>135</v>
      </c>
      <c r="I379" t="s">
        <v>2605</v>
      </c>
      <c r="J379" t="s">
        <v>1303</v>
      </c>
      <c r="K379">
        <v>2013</v>
      </c>
      <c r="L379">
        <v>2013</v>
      </c>
      <c r="M379">
        <v>2.35</v>
      </c>
      <c r="N379">
        <v>9.4350000000000005</v>
      </c>
      <c r="O379">
        <v>90</v>
      </c>
      <c r="P379">
        <v>3</v>
      </c>
      <c r="Q379">
        <v>0.218</v>
      </c>
      <c r="R379" t="s">
        <v>42</v>
      </c>
      <c r="S379" t="s">
        <v>2606</v>
      </c>
      <c r="T379" t="b">
        <v>1</v>
      </c>
      <c r="U379" t="s">
        <v>2607</v>
      </c>
      <c r="V379" t="s">
        <v>45</v>
      </c>
      <c r="W379" t="s">
        <v>2608</v>
      </c>
      <c r="X379" t="s">
        <v>47</v>
      </c>
      <c r="AA379" t="s">
        <v>2609</v>
      </c>
      <c r="AB379" t="s">
        <v>83</v>
      </c>
      <c r="AC379" t="s">
        <v>2610</v>
      </c>
      <c r="AD379" t="b">
        <v>0</v>
      </c>
      <c r="AF379">
        <v>10</v>
      </c>
      <c r="AG379" t="s">
        <v>143</v>
      </c>
    </row>
    <row r="380" spans="1:33" x14ac:dyDescent="0.2">
      <c r="A380">
        <v>1464</v>
      </c>
      <c r="B380" t="s">
        <v>2611</v>
      </c>
      <c r="C380" t="s">
        <v>34</v>
      </c>
      <c r="D380" t="s">
        <v>35</v>
      </c>
      <c r="E380" t="s">
        <v>404</v>
      </c>
      <c r="F380" t="s">
        <v>405</v>
      </c>
      <c r="G380" t="s">
        <v>312</v>
      </c>
      <c r="H380" t="s">
        <v>313</v>
      </c>
      <c r="I380" t="s">
        <v>618</v>
      </c>
      <c r="J380" t="s">
        <v>227</v>
      </c>
      <c r="K380">
        <v>2009</v>
      </c>
      <c r="L380">
        <v>2009</v>
      </c>
      <c r="M380">
        <v>1.43</v>
      </c>
      <c r="N380">
        <v>5.2249999999999996</v>
      </c>
      <c r="O380">
        <v>54.9</v>
      </c>
      <c r="P380">
        <v>3</v>
      </c>
      <c r="Q380">
        <v>0.13200000000000001</v>
      </c>
      <c r="R380" t="s">
        <v>84</v>
      </c>
      <c r="S380" t="s">
        <v>2612</v>
      </c>
      <c r="T380" t="b">
        <v>1</v>
      </c>
      <c r="U380" t="s">
        <v>2613</v>
      </c>
      <c r="V380" t="s">
        <v>408</v>
      </c>
      <c r="W380" t="s">
        <v>2614</v>
      </c>
      <c r="X380" t="s">
        <v>47</v>
      </c>
      <c r="AA380" t="s">
        <v>2615</v>
      </c>
      <c r="AB380" t="s">
        <v>1697</v>
      </c>
      <c r="AC380" t="s">
        <v>2616</v>
      </c>
      <c r="AD380" t="b">
        <v>0</v>
      </c>
      <c r="AF380">
        <v>4</v>
      </c>
      <c r="AG380" t="s">
        <v>321</v>
      </c>
    </row>
    <row r="381" spans="1:33" x14ac:dyDescent="0.2">
      <c r="A381">
        <v>1145</v>
      </c>
      <c r="B381" t="s">
        <v>2617</v>
      </c>
      <c r="C381" t="s">
        <v>34</v>
      </c>
      <c r="D381" t="s">
        <v>35</v>
      </c>
      <c r="E381" t="s">
        <v>2618</v>
      </c>
      <c r="F381" t="s">
        <v>2619</v>
      </c>
      <c r="G381" t="s">
        <v>93</v>
      </c>
      <c r="H381" t="s">
        <v>94</v>
      </c>
      <c r="I381" t="s">
        <v>353</v>
      </c>
      <c r="J381" t="s">
        <v>354</v>
      </c>
      <c r="K381">
        <v>2004</v>
      </c>
      <c r="L381">
        <v>2004</v>
      </c>
      <c r="M381">
        <v>0.62</v>
      </c>
      <c r="N381">
        <v>2.3180000000000001</v>
      </c>
      <c r="O381">
        <v>355</v>
      </c>
      <c r="P381">
        <v>0.26</v>
      </c>
      <c r="R381" t="s">
        <v>97</v>
      </c>
      <c r="S381" t="s">
        <v>2620</v>
      </c>
      <c r="T381" t="b">
        <v>1</v>
      </c>
      <c r="U381" t="s">
        <v>2621</v>
      </c>
      <c r="V381" t="s">
        <v>2622</v>
      </c>
      <c r="W381" t="s">
        <v>2623</v>
      </c>
      <c r="X381" t="s">
        <v>47</v>
      </c>
      <c r="AA381" t="s">
        <v>102</v>
      </c>
      <c r="AC381" t="s">
        <v>103</v>
      </c>
      <c r="AD381" t="b">
        <v>0</v>
      </c>
      <c r="AF381">
        <v>1</v>
      </c>
      <c r="AG381" t="s">
        <v>104</v>
      </c>
    </row>
    <row r="382" spans="1:33" x14ac:dyDescent="0.2">
      <c r="A382">
        <v>1572</v>
      </c>
      <c r="B382" t="s">
        <v>2624</v>
      </c>
      <c r="C382" t="s">
        <v>34</v>
      </c>
      <c r="D382" t="s">
        <v>35</v>
      </c>
      <c r="E382" t="s">
        <v>180</v>
      </c>
      <c r="F382" t="s">
        <v>181</v>
      </c>
      <c r="G382" t="s">
        <v>242</v>
      </c>
      <c r="H382" t="s">
        <v>243</v>
      </c>
      <c r="I382" t="s">
        <v>2625</v>
      </c>
      <c r="J382" t="s">
        <v>2626</v>
      </c>
      <c r="K382">
        <v>2011</v>
      </c>
      <c r="L382">
        <v>2011</v>
      </c>
      <c r="M382">
        <v>1.7689999999999999</v>
      </c>
      <c r="N382">
        <v>4.4160000000000004</v>
      </c>
      <c r="O382">
        <v>313</v>
      </c>
      <c r="P382">
        <v>0.7</v>
      </c>
      <c r="Q382">
        <v>0.69899999999999995</v>
      </c>
      <c r="R382" t="s">
        <v>72</v>
      </c>
      <c r="S382" t="s">
        <v>2627</v>
      </c>
      <c r="T382" t="b">
        <v>1</v>
      </c>
      <c r="U382" t="s">
        <v>2628</v>
      </c>
      <c r="V382" t="s">
        <v>429</v>
      </c>
      <c r="W382" t="s">
        <v>2629</v>
      </c>
      <c r="X382" t="s">
        <v>47</v>
      </c>
      <c r="AA382" t="s">
        <v>1017</v>
      </c>
      <c r="AB382" t="s">
        <v>71</v>
      </c>
      <c r="AC382" t="s">
        <v>1018</v>
      </c>
      <c r="AD382" t="b">
        <v>0</v>
      </c>
      <c r="AF382">
        <v>8</v>
      </c>
      <c r="AG382" t="s">
        <v>78</v>
      </c>
    </row>
    <row r="383" spans="1:33" x14ac:dyDescent="0.2">
      <c r="A383">
        <v>103</v>
      </c>
      <c r="B383" t="s">
        <v>2630</v>
      </c>
      <c r="C383" t="s">
        <v>34</v>
      </c>
      <c r="D383" t="s">
        <v>35</v>
      </c>
      <c r="E383" t="s">
        <v>404</v>
      </c>
      <c r="F383" t="s">
        <v>405</v>
      </c>
      <c r="G383" t="s">
        <v>224</v>
      </c>
      <c r="H383" t="s">
        <v>225</v>
      </c>
      <c r="I383" t="s">
        <v>2631</v>
      </c>
      <c r="J383" t="s">
        <v>308</v>
      </c>
      <c r="K383">
        <v>1971</v>
      </c>
      <c r="L383">
        <v>1971</v>
      </c>
      <c r="M383">
        <v>15</v>
      </c>
      <c r="N383">
        <v>86.975999999999999</v>
      </c>
      <c r="O383">
        <v>14.3</v>
      </c>
      <c r="P383">
        <v>125</v>
      </c>
      <c r="Q383">
        <v>3.3000000000000002E-2</v>
      </c>
      <c r="R383" t="s">
        <v>97</v>
      </c>
      <c r="S383" t="s">
        <v>2632</v>
      </c>
      <c r="T383" t="b">
        <v>1</v>
      </c>
      <c r="U383" t="s">
        <v>2633</v>
      </c>
      <c r="V383" t="s">
        <v>408</v>
      </c>
      <c r="W383" t="s">
        <v>2634</v>
      </c>
      <c r="X383" t="s">
        <v>47</v>
      </c>
      <c r="AA383" t="s">
        <v>1548</v>
      </c>
      <c r="AB383" t="s">
        <v>83</v>
      </c>
      <c r="AC383" t="s">
        <v>1549</v>
      </c>
      <c r="AD383" t="b">
        <v>0</v>
      </c>
      <c r="AF383">
        <v>1</v>
      </c>
      <c r="AG383" t="s">
        <v>104</v>
      </c>
    </row>
    <row r="384" spans="1:33" x14ac:dyDescent="0.2">
      <c r="A384">
        <v>104</v>
      </c>
      <c r="B384" t="s">
        <v>2635</v>
      </c>
      <c r="C384" t="s">
        <v>34</v>
      </c>
      <c r="D384" t="s">
        <v>35</v>
      </c>
      <c r="E384" t="s">
        <v>2636</v>
      </c>
      <c r="F384" t="s">
        <v>2637</v>
      </c>
      <c r="G384" t="s">
        <v>38</v>
      </c>
      <c r="H384" t="s">
        <v>39</v>
      </c>
      <c r="I384" t="s">
        <v>2638</v>
      </c>
      <c r="J384" t="s">
        <v>485</v>
      </c>
      <c r="K384">
        <v>1952</v>
      </c>
      <c r="L384">
        <v>1952</v>
      </c>
      <c r="M384">
        <v>4.8</v>
      </c>
      <c r="N384">
        <v>19.486999999999998</v>
      </c>
      <c r="O384">
        <v>184</v>
      </c>
      <c r="P384">
        <v>3.4</v>
      </c>
      <c r="Q384">
        <v>0.39100000000000001</v>
      </c>
      <c r="R384" t="s">
        <v>42</v>
      </c>
      <c r="S384" t="s">
        <v>2639</v>
      </c>
      <c r="T384" t="b">
        <v>1</v>
      </c>
      <c r="U384" t="s">
        <v>2640</v>
      </c>
      <c r="V384" t="s">
        <v>2641</v>
      </c>
      <c r="W384" t="s">
        <v>2642</v>
      </c>
      <c r="X384" t="s">
        <v>47</v>
      </c>
      <c r="AA384" t="s">
        <v>2643</v>
      </c>
      <c r="AB384" t="s">
        <v>49</v>
      </c>
      <c r="AC384" t="s">
        <v>2644</v>
      </c>
      <c r="AD384" t="b">
        <v>0</v>
      </c>
      <c r="AF384">
        <v>12</v>
      </c>
      <c r="AG384" t="s">
        <v>51</v>
      </c>
    </row>
    <row r="385" spans="1:33" x14ac:dyDescent="0.2">
      <c r="A385">
        <v>1640</v>
      </c>
      <c r="B385" t="s">
        <v>2645</v>
      </c>
      <c r="C385" t="s">
        <v>34</v>
      </c>
      <c r="D385" t="s">
        <v>35</v>
      </c>
      <c r="E385" t="s">
        <v>2646</v>
      </c>
      <c r="F385" t="s">
        <v>2647</v>
      </c>
      <c r="G385" t="s">
        <v>134</v>
      </c>
      <c r="H385" t="s">
        <v>135</v>
      </c>
      <c r="I385" t="s">
        <v>2074</v>
      </c>
      <c r="J385" t="s">
        <v>225</v>
      </c>
      <c r="K385">
        <v>2007</v>
      </c>
      <c r="L385">
        <v>2007</v>
      </c>
      <c r="M385">
        <v>0.09</v>
      </c>
      <c r="N385">
        <v>0.17399999999999999</v>
      </c>
      <c r="O385">
        <v>88</v>
      </c>
      <c r="R385" t="s">
        <v>42</v>
      </c>
      <c r="S385" t="s">
        <v>2648</v>
      </c>
      <c r="T385" t="b">
        <v>1</v>
      </c>
      <c r="U385" t="s">
        <v>2649</v>
      </c>
      <c r="V385" t="s">
        <v>2650</v>
      </c>
      <c r="W385" t="s">
        <v>2651</v>
      </c>
      <c r="X385" t="s">
        <v>47</v>
      </c>
      <c r="AA385" t="s">
        <v>2652</v>
      </c>
      <c r="AC385" t="s">
        <v>2653</v>
      </c>
      <c r="AD385" t="b">
        <v>0</v>
      </c>
      <c r="AF385">
        <v>10</v>
      </c>
      <c r="AG385" t="s">
        <v>143</v>
      </c>
    </row>
    <row r="386" spans="1:33" x14ac:dyDescent="0.2">
      <c r="A386">
        <v>105</v>
      </c>
      <c r="B386" t="s">
        <v>2654</v>
      </c>
      <c r="C386" t="s">
        <v>34</v>
      </c>
      <c r="D386" t="s">
        <v>35</v>
      </c>
      <c r="E386" t="s">
        <v>168</v>
      </c>
      <c r="F386" t="s">
        <v>169</v>
      </c>
      <c r="G386" t="s">
        <v>916</v>
      </c>
      <c r="H386" t="s">
        <v>567</v>
      </c>
      <c r="I386" t="s">
        <v>1109</v>
      </c>
      <c r="J386" t="s">
        <v>71</v>
      </c>
      <c r="K386">
        <v>1987</v>
      </c>
      <c r="L386">
        <v>1987</v>
      </c>
      <c r="M386">
        <v>1.5</v>
      </c>
      <c r="N386">
        <v>1.845</v>
      </c>
      <c r="O386">
        <v>15.5</v>
      </c>
      <c r="P386">
        <v>10.97</v>
      </c>
      <c r="Q386">
        <v>4.2999999999999997E-2</v>
      </c>
      <c r="R386" t="s">
        <v>97</v>
      </c>
      <c r="S386" t="s">
        <v>1259</v>
      </c>
      <c r="T386" t="b">
        <v>1</v>
      </c>
      <c r="U386" t="s">
        <v>1111</v>
      </c>
      <c r="V386" t="s">
        <v>174</v>
      </c>
      <c r="W386" t="s">
        <v>1112</v>
      </c>
      <c r="X386" t="s">
        <v>47</v>
      </c>
      <c r="AA386" t="s">
        <v>340</v>
      </c>
      <c r="AB386" t="s">
        <v>836</v>
      </c>
      <c r="AC386" t="s">
        <v>341</v>
      </c>
      <c r="AD386" t="b">
        <v>0</v>
      </c>
      <c r="AF386">
        <v>1</v>
      </c>
      <c r="AG386" t="s">
        <v>104</v>
      </c>
    </row>
    <row r="387" spans="1:33" x14ac:dyDescent="0.2">
      <c r="A387">
        <v>1226</v>
      </c>
      <c r="B387" t="s">
        <v>2655</v>
      </c>
      <c r="C387" t="s">
        <v>34</v>
      </c>
      <c r="D387" t="s">
        <v>35</v>
      </c>
      <c r="E387" t="s">
        <v>180</v>
      </c>
      <c r="F387" t="s">
        <v>181</v>
      </c>
      <c r="G387" t="s">
        <v>68</v>
      </c>
      <c r="H387" t="s">
        <v>69</v>
      </c>
      <c r="I387" t="s">
        <v>265</v>
      </c>
      <c r="J387" t="s">
        <v>266</v>
      </c>
      <c r="K387">
        <v>2004</v>
      </c>
      <c r="L387">
        <v>2004</v>
      </c>
      <c r="M387">
        <v>2</v>
      </c>
      <c r="N387">
        <v>7.2430000000000003</v>
      </c>
      <c r="O387">
        <v>159</v>
      </c>
      <c r="P387">
        <v>1.8</v>
      </c>
      <c r="Q387">
        <v>0.309</v>
      </c>
      <c r="R387" t="s">
        <v>72</v>
      </c>
      <c r="S387" t="s">
        <v>2656</v>
      </c>
      <c r="T387" t="b">
        <v>1</v>
      </c>
      <c r="U387" t="s">
        <v>2657</v>
      </c>
      <c r="V387" t="s">
        <v>429</v>
      </c>
      <c r="W387" t="s">
        <v>2658</v>
      </c>
      <c r="X387" t="s">
        <v>47</v>
      </c>
      <c r="AA387" t="s">
        <v>2659</v>
      </c>
      <c r="AB387" t="s">
        <v>401</v>
      </c>
      <c r="AC387" t="s">
        <v>2660</v>
      </c>
      <c r="AD387" t="b">
        <v>0</v>
      </c>
      <c r="AF387">
        <v>8</v>
      </c>
      <c r="AG387" t="s">
        <v>78</v>
      </c>
    </row>
    <row r="388" spans="1:33" x14ac:dyDescent="0.2">
      <c r="A388">
        <v>1194</v>
      </c>
      <c r="B388" t="s">
        <v>1276</v>
      </c>
      <c r="C388" t="s">
        <v>34</v>
      </c>
      <c r="D388" t="s">
        <v>35</v>
      </c>
      <c r="E388" t="s">
        <v>2661</v>
      </c>
      <c r="F388" t="s">
        <v>2662</v>
      </c>
      <c r="G388" t="s">
        <v>242</v>
      </c>
      <c r="H388" t="s">
        <v>243</v>
      </c>
      <c r="I388" t="s">
        <v>2663</v>
      </c>
      <c r="J388" t="s">
        <v>262</v>
      </c>
      <c r="K388">
        <v>1905</v>
      </c>
      <c r="L388">
        <v>2009</v>
      </c>
      <c r="M388">
        <v>3</v>
      </c>
      <c r="N388">
        <v>12.411</v>
      </c>
      <c r="O388">
        <v>79.400000000000006</v>
      </c>
      <c r="P388">
        <v>4</v>
      </c>
      <c r="Q388">
        <v>0.19800000000000001</v>
      </c>
      <c r="R388" t="s">
        <v>72</v>
      </c>
      <c r="S388" t="s">
        <v>2664</v>
      </c>
      <c r="T388" t="b">
        <v>1</v>
      </c>
      <c r="U388" t="s">
        <v>2665</v>
      </c>
      <c r="V388" t="s">
        <v>2666</v>
      </c>
      <c r="W388" t="s">
        <v>2667</v>
      </c>
      <c r="X388" t="s">
        <v>47</v>
      </c>
      <c r="AA388" t="s">
        <v>1276</v>
      </c>
      <c r="AB388" t="s">
        <v>676</v>
      </c>
      <c r="AC388" t="s">
        <v>1277</v>
      </c>
      <c r="AD388" t="b">
        <v>0</v>
      </c>
      <c r="AF388">
        <v>9</v>
      </c>
      <c r="AG388" t="s">
        <v>251</v>
      </c>
    </row>
    <row r="389" spans="1:33" x14ac:dyDescent="0.2">
      <c r="A389">
        <v>757</v>
      </c>
      <c r="B389" t="s">
        <v>2668</v>
      </c>
      <c r="C389" t="s">
        <v>34</v>
      </c>
      <c r="D389" t="s">
        <v>35</v>
      </c>
      <c r="E389" t="s">
        <v>2669</v>
      </c>
      <c r="F389" t="s">
        <v>2670</v>
      </c>
      <c r="G389" t="s">
        <v>503</v>
      </c>
      <c r="H389" t="s">
        <v>462</v>
      </c>
      <c r="I389" t="s">
        <v>1331</v>
      </c>
      <c r="J389" t="s">
        <v>94</v>
      </c>
      <c r="K389">
        <v>1996</v>
      </c>
      <c r="L389">
        <v>1996</v>
      </c>
      <c r="M389">
        <v>7.2</v>
      </c>
      <c r="N389">
        <v>44.021000000000001</v>
      </c>
      <c r="O389">
        <v>88</v>
      </c>
      <c r="P389">
        <v>9.5</v>
      </c>
      <c r="Q389">
        <v>0.21</v>
      </c>
      <c r="R389" t="s">
        <v>84</v>
      </c>
      <c r="S389" t="s">
        <v>2671</v>
      </c>
      <c r="T389" t="b">
        <v>1</v>
      </c>
      <c r="U389" t="s">
        <v>2672</v>
      </c>
      <c r="V389" t="s">
        <v>2673</v>
      </c>
      <c r="W389" t="s">
        <v>2674</v>
      </c>
      <c r="X389" t="s">
        <v>47</v>
      </c>
      <c r="AA389" t="s">
        <v>509</v>
      </c>
      <c r="AB389" t="s">
        <v>973</v>
      </c>
      <c r="AC389" t="s">
        <v>510</v>
      </c>
      <c r="AD389" t="b">
        <v>0</v>
      </c>
      <c r="AF389">
        <v>3</v>
      </c>
      <c r="AG389" t="s">
        <v>332</v>
      </c>
    </row>
    <row r="390" spans="1:33" x14ac:dyDescent="0.2">
      <c r="A390">
        <v>1372</v>
      </c>
      <c r="B390" t="s">
        <v>2675</v>
      </c>
      <c r="C390" t="s">
        <v>34</v>
      </c>
      <c r="D390" t="s">
        <v>35</v>
      </c>
      <c r="E390" t="s">
        <v>2676</v>
      </c>
      <c r="F390" t="s">
        <v>2677</v>
      </c>
      <c r="G390" t="s">
        <v>242</v>
      </c>
      <c r="H390" t="s">
        <v>243</v>
      </c>
      <c r="I390" t="s">
        <v>1012</v>
      </c>
      <c r="J390" t="s">
        <v>676</v>
      </c>
      <c r="K390">
        <v>2007</v>
      </c>
      <c r="L390">
        <v>2007</v>
      </c>
      <c r="M390">
        <v>1.72</v>
      </c>
      <c r="N390">
        <v>5.0490000000000004</v>
      </c>
      <c r="O390">
        <v>285</v>
      </c>
      <c r="P390">
        <v>0.73</v>
      </c>
      <c r="Q390">
        <v>0.65500000000000003</v>
      </c>
      <c r="R390" t="s">
        <v>72</v>
      </c>
      <c r="S390" t="s">
        <v>2678</v>
      </c>
      <c r="T390" t="b">
        <v>1</v>
      </c>
      <c r="U390" t="s">
        <v>2679</v>
      </c>
      <c r="V390" t="s">
        <v>2680</v>
      </c>
      <c r="W390" t="s">
        <v>2681</v>
      </c>
      <c r="X390" t="s">
        <v>47</v>
      </c>
      <c r="AA390" t="s">
        <v>1017</v>
      </c>
      <c r="AB390" t="s">
        <v>192</v>
      </c>
      <c r="AC390" t="s">
        <v>1018</v>
      </c>
      <c r="AD390" t="b">
        <v>0</v>
      </c>
      <c r="AF390">
        <v>8</v>
      </c>
      <c r="AG390" t="s">
        <v>78</v>
      </c>
    </row>
    <row r="391" spans="1:33" x14ac:dyDescent="0.2">
      <c r="A391">
        <v>849</v>
      </c>
      <c r="B391" t="s">
        <v>2682</v>
      </c>
      <c r="C391" t="s">
        <v>34</v>
      </c>
      <c r="D391" t="s">
        <v>35</v>
      </c>
      <c r="E391" t="s">
        <v>2683</v>
      </c>
      <c r="F391" t="s">
        <v>2684</v>
      </c>
      <c r="G391" t="s">
        <v>53</v>
      </c>
      <c r="H391" t="s">
        <v>54</v>
      </c>
      <c r="I391" t="s">
        <v>532</v>
      </c>
      <c r="J391" t="s">
        <v>533</v>
      </c>
      <c r="K391">
        <v>2005</v>
      </c>
      <c r="L391">
        <v>2005</v>
      </c>
      <c r="M391">
        <v>1.2749999999999999</v>
      </c>
      <c r="N391">
        <v>2.867</v>
      </c>
      <c r="O391">
        <v>79</v>
      </c>
      <c r="P391">
        <v>2.0499999999999998</v>
      </c>
      <c r="Q391">
        <v>0.17299999999999999</v>
      </c>
      <c r="R391" t="s">
        <v>57</v>
      </c>
      <c r="S391" t="s">
        <v>2685</v>
      </c>
      <c r="T391" t="b">
        <v>1</v>
      </c>
      <c r="U391" t="s">
        <v>2686</v>
      </c>
      <c r="V391" t="s">
        <v>2687</v>
      </c>
      <c r="W391" t="s">
        <v>2688</v>
      </c>
      <c r="X391" t="s">
        <v>47</v>
      </c>
      <c r="AA391" t="s">
        <v>2689</v>
      </c>
      <c r="AB391" t="s">
        <v>83</v>
      </c>
      <c r="AC391" t="s">
        <v>2690</v>
      </c>
      <c r="AD391" t="b">
        <v>0</v>
      </c>
      <c r="AF391">
        <v>7</v>
      </c>
      <c r="AG391" t="s">
        <v>469</v>
      </c>
    </row>
    <row r="392" spans="1:33" x14ac:dyDescent="0.2">
      <c r="A392">
        <v>108</v>
      </c>
      <c r="B392" t="s">
        <v>2691</v>
      </c>
      <c r="C392" t="s">
        <v>34</v>
      </c>
      <c r="D392" t="s">
        <v>35</v>
      </c>
      <c r="E392" t="s">
        <v>404</v>
      </c>
      <c r="F392" t="s">
        <v>405</v>
      </c>
      <c r="G392" t="s">
        <v>224</v>
      </c>
      <c r="H392" t="s">
        <v>225</v>
      </c>
      <c r="I392" t="s">
        <v>1710</v>
      </c>
      <c r="J392" t="s">
        <v>1077</v>
      </c>
      <c r="K392">
        <v>1961</v>
      </c>
      <c r="L392">
        <v>1961</v>
      </c>
      <c r="M392">
        <v>13.5</v>
      </c>
      <c r="N392">
        <v>97.429000000000002</v>
      </c>
      <c r="O392">
        <v>9.19</v>
      </c>
      <c r="P392">
        <v>153</v>
      </c>
      <c r="Q392">
        <v>2.5000000000000001E-2</v>
      </c>
      <c r="R392" t="s">
        <v>97</v>
      </c>
      <c r="S392" t="s">
        <v>2692</v>
      </c>
      <c r="T392" t="b">
        <v>1</v>
      </c>
      <c r="U392" t="s">
        <v>2693</v>
      </c>
      <c r="V392" t="s">
        <v>408</v>
      </c>
      <c r="W392" t="s">
        <v>2694</v>
      </c>
      <c r="X392" t="s">
        <v>47</v>
      </c>
      <c r="AA392" t="s">
        <v>102</v>
      </c>
      <c r="AB392" t="s">
        <v>192</v>
      </c>
      <c r="AC392" t="s">
        <v>103</v>
      </c>
      <c r="AD392" t="b">
        <v>0</v>
      </c>
      <c r="AF392">
        <v>1</v>
      </c>
      <c r="AG392" t="s">
        <v>104</v>
      </c>
    </row>
    <row r="393" spans="1:33" x14ac:dyDescent="0.2">
      <c r="A393">
        <v>1924</v>
      </c>
      <c r="B393" t="s">
        <v>2695</v>
      </c>
      <c r="C393" t="s">
        <v>34</v>
      </c>
      <c r="D393" t="s">
        <v>35</v>
      </c>
      <c r="E393" t="s">
        <v>2696</v>
      </c>
      <c r="F393" t="s">
        <v>2697</v>
      </c>
      <c r="G393" t="s">
        <v>53</v>
      </c>
      <c r="H393" t="s">
        <v>54</v>
      </c>
      <c r="I393" t="s">
        <v>55</v>
      </c>
      <c r="J393" t="s">
        <v>56</v>
      </c>
      <c r="K393">
        <v>2018</v>
      </c>
      <c r="L393">
        <v>2018</v>
      </c>
      <c r="M393">
        <v>4.62</v>
      </c>
      <c r="N393">
        <v>15.862</v>
      </c>
      <c r="O393">
        <v>264</v>
      </c>
      <c r="P393">
        <v>2.13</v>
      </c>
      <c r="Q393">
        <v>0.60299999999999998</v>
      </c>
      <c r="R393" t="s">
        <v>57</v>
      </c>
      <c r="S393" t="s">
        <v>2698</v>
      </c>
      <c r="T393" t="b">
        <v>1</v>
      </c>
      <c r="U393" t="s">
        <v>2699</v>
      </c>
      <c r="V393" t="s">
        <v>2700</v>
      </c>
      <c r="W393" t="s">
        <v>2701</v>
      </c>
      <c r="X393" t="s">
        <v>47</v>
      </c>
      <c r="AA393" t="s">
        <v>741</v>
      </c>
      <c r="AC393" t="s">
        <v>742</v>
      </c>
      <c r="AD393" t="b">
        <v>0</v>
      </c>
      <c r="AF393">
        <v>6</v>
      </c>
      <c r="AG393" t="s">
        <v>64</v>
      </c>
    </row>
    <row r="394" spans="1:33" x14ac:dyDescent="0.2">
      <c r="A394">
        <v>818</v>
      </c>
      <c r="B394" t="s">
        <v>2702</v>
      </c>
      <c r="C394" t="s">
        <v>34</v>
      </c>
      <c r="D394" t="s">
        <v>35</v>
      </c>
      <c r="E394" t="s">
        <v>2703</v>
      </c>
      <c r="F394" t="s">
        <v>2704</v>
      </c>
      <c r="G394" t="s">
        <v>213</v>
      </c>
      <c r="H394" t="s">
        <v>83</v>
      </c>
      <c r="I394" t="s">
        <v>1152</v>
      </c>
      <c r="J394" t="s">
        <v>676</v>
      </c>
      <c r="K394">
        <v>2001</v>
      </c>
      <c r="L394">
        <v>2001</v>
      </c>
      <c r="M394">
        <v>1.44</v>
      </c>
      <c r="N394">
        <v>7.1269999999999998</v>
      </c>
      <c r="O394">
        <v>228</v>
      </c>
      <c r="P394">
        <v>0.8</v>
      </c>
      <c r="Q394">
        <v>0.52100000000000002</v>
      </c>
      <c r="R394" t="s">
        <v>84</v>
      </c>
      <c r="S394" t="s">
        <v>1153</v>
      </c>
      <c r="T394" t="b">
        <v>1</v>
      </c>
      <c r="U394" t="s">
        <v>1103</v>
      </c>
      <c r="V394" t="s">
        <v>2705</v>
      </c>
      <c r="W394" t="s">
        <v>2706</v>
      </c>
      <c r="X394" t="s">
        <v>47</v>
      </c>
      <c r="AA394" t="s">
        <v>1156</v>
      </c>
      <c r="AB394" t="s">
        <v>584</v>
      </c>
      <c r="AC394" t="s">
        <v>1157</v>
      </c>
      <c r="AD394" t="b">
        <v>0</v>
      </c>
      <c r="AF394">
        <v>4</v>
      </c>
      <c r="AG394" t="s">
        <v>321</v>
      </c>
    </row>
    <row r="395" spans="1:33" x14ac:dyDescent="0.2">
      <c r="A395">
        <v>1388</v>
      </c>
      <c r="B395" t="s">
        <v>2707</v>
      </c>
      <c r="C395" t="s">
        <v>34</v>
      </c>
      <c r="D395" t="s">
        <v>35</v>
      </c>
      <c r="E395" t="s">
        <v>2708</v>
      </c>
      <c r="F395" t="s">
        <v>2709</v>
      </c>
      <c r="G395" t="s">
        <v>224</v>
      </c>
      <c r="H395" t="s">
        <v>225</v>
      </c>
      <c r="I395" t="s">
        <v>2137</v>
      </c>
      <c r="J395" t="s">
        <v>676</v>
      </c>
      <c r="K395">
        <v>2008</v>
      </c>
      <c r="L395">
        <v>2008</v>
      </c>
      <c r="M395">
        <v>2.38</v>
      </c>
      <c r="N395">
        <v>6.5209999999999999</v>
      </c>
      <c r="O395">
        <v>203</v>
      </c>
      <c r="P395">
        <v>1.43</v>
      </c>
      <c r="Q395">
        <v>0.46200000000000002</v>
      </c>
      <c r="R395" t="s">
        <v>57</v>
      </c>
      <c r="S395" t="s">
        <v>2710</v>
      </c>
      <c r="T395" t="b">
        <v>1</v>
      </c>
      <c r="U395" t="s">
        <v>2711</v>
      </c>
      <c r="V395" t="s">
        <v>2712</v>
      </c>
      <c r="W395" t="s">
        <v>2713</v>
      </c>
      <c r="X395" t="s">
        <v>47</v>
      </c>
      <c r="AA395" t="s">
        <v>102</v>
      </c>
      <c r="AB395" t="s">
        <v>2714</v>
      </c>
      <c r="AC395" t="s">
        <v>103</v>
      </c>
      <c r="AD395" t="b">
        <v>0</v>
      </c>
      <c r="AF395">
        <v>2</v>
      </c>
      <c r="AG395" t="s">
        <v>287</v>
      </c>
    </row>
    <row r="396" spans="1:33" x14ac:dyDescent="0.2">
      <c r="A396">
        <v>1423</v>
      </c>
      <c r="B396" t="s">
        <v>2715</v>
      </c>
      <c r="C396" t="s">
        <v>34</v>
      </c>
      <c r="D396" t="s">
        <v>35</v>
      </c>
      <c r="E396" t="s">
        <v>2716</v>
      </c>
      <c r="F396" t="s">
        <v>2717</v>
      </c>
      <c r="G396" t="s">
        <v>242</v>
      </c>
      <c r="H396" t="s">
        <v>243</v>
      </c>
      <c r="I396" t="s">
        <v>2718</v>
      </c>
      <c r="J396" t="s">
        <v>56</v>
      </c>
      <c r="K396">
        <v>2009</v>
      </c>
      <c r="L396">
        <v>2009</v>
      </c>
      <c r="M396">
        <v>2.9</v>
      </c>
      <c r="N396">
        <v>7.5229999999999997</v>
      </c>
      <c r="O396">
        <v>85</v>
      </c>
      <c r="P396">
        <v>4.4400000000000004</v>
      </c>
      <c r="Q396">
        <v>0.18099999999999999</v>
      </c>
      <c r="R396" t="s">
        <v>72</v>
      </c>
      <c r="S396" t="s">
        <v>2719</v>
      </c>
      <c r="T396" t="b">
        <v>1</v>
      </c>
      <c r="U396" t="s">
        <v>2720</v>
      </c>
      <c r="V396" t="s">
        <v>2721</v>
      </c>
      <c r="W396" t="s">
        <v>2722</v>
      </c>
      <c r="X396" t="s">
        <v>47</v>
      </c>
      <c r="AA396" t="s">
        <v>1017</v>
      </c>
      <c r="AB396" t="s">
        <v>401</v>
      </c>
      <c r="AC396" t="s">
        <v>1018</v>
      </c>
      <c r="AD396" t="b">
        <v>0</v>
      </c>
      <c r="AF396">
        <v>8</v>
      </c>
      <c r="AG396" t="s">
        <v>78</v>
      </c>
    </row>
    <row r="397" spans="1:33" x14ac:dyDescent="0.2">
      <c r="A397">
        <v>995</v>
      </c>
      <c r="B397" t="s">
        <v>2723</v>
      </c>
      <c r="C397" t="s">
        <v>34</v>
      </c>
      <c r="D397" t="s">
        <v>35</v>
      </c>
      <c r="E397" t="s">
        <v>2724</v>
      </c>
      <c r="F397" t="s">
        <v>2725</v>
      </c>
      <c r="G397" t="s">
        <v>213</v>
      </c>
      <c r="H397" t="s">
        <v>83</v>
      </c>
      <c r="I397" t="s">
        <v>2487</v>
      </c>
      <c r="J397" t="s">
        <v>337</v>
      </c>
      <c r="K397">
        <v>1928</v>
      </c>
      <c r="L397">
        <v>2005</v>
      </c>
      <c r="M397">
        <v>0.28000000000000003</v>
      </c>
      <c r="N397">
        <v>0.65400000000000003</v>
      </c>
      <c r="O397">
        <v>9.4</v>
      </c>
      <c r="P397">
        <v>3.2</v>
      </c>
      <c r="Q397">
        <v>2.4E-2</v>
      </c>
      <c r="R397" t="s">
        <v>84</v>
      </c>
      <c r="S397" t="s">
        <v>2726</v>
      </c>
      <c r="T397" t="b">
        <v>1</v>
      </c>
      <c r="U397" t="s">
        <v>2727</v>
      </c>
      <c r="V397" t="s">
        <v>2728</v>
      </c>
      <c r="W397" t="s">
        <v>2729</v>
      </c>
      <c r="X397" t="s">
        <v>47</v>
      </c>
      <c r="AA397" t="s">
        <v>2492</v>
      </c>
      <c r="AC397" t="s">
        <v>2493</v>
      </c>
      <c r="AD397" t="b">
        <v>0</v>
      </c>
      <c r="AF397">
        <v>4</v>
      </c>
      <c r="AG397" t="s">
        <v>321</v>
      </c>
    </row>
    <row r="398" spans="1:33" x14ac:dyDescent="0.2">
      <c r="A398">
        <v>2099</v>
      </c>
      <c r="B398" t="s">
        <v>2730</v>
      </c>
      <c r="C398" t="s">
        <v>34</v>
      </c>
      <c r="D398" t="s">
        <v>35</v>
      </c>
      <c r="E398" t="s">
        <v>2731</v>
      </c>
      <c r="F398" t="s">
        <v>2732</v>
      </c>
      <c r="G398" t="s">
        <v>312</v>
      </c>
      <c r="H398" t="s">
        <v>313</v>
      </c>
      <c r="I398" t="s">
        <v>493</v>
      </c>
      <c r="J398" t="s">
        <v>409</v>
      </c>
      <c r="K398">
        <v>2024</v>
      </c>
      <c r="L398">
        <v>2024</v>
      </c>
      <c r="M398">
        <v>6.5</v>
      </c>
      <c r="N398">
        <v>23</v>
      </c>
      <c r="O398">
        <v>46</v>
      </c>
      <c r="P398">
        <v>17.100000000000001</v>
      </c>
      <c r="Q398">
        <v>0.106</v>
      </c>
      <c r="R398" t="s">
        <v>84</v>
      </c>
      <c r="S398" t="s">
        <v>2733</v>
      </c>
      <c r="T398" t="b">
        <v>1</v>
      </c>
      <c r="U398" t="s">
        <v>2734</v>
      </c>
      <c r="V398" t="s">
        <v>2735</v>
      </c>
      <c r="W398" t="s">
        <v>2736</v>
      </c>
      <c r="X398" t="s">
        <v>47</v>
      </c>
      <c r="AA398" t="s">
        <v>498</v>
      </c>
      <c r="AB398" t="s">
        <v>308</v>
      </c>
      <c r="AC398" t="s">
        <v>499</v>
      </c>
      <c r="AD398" t="b">
        <v>0</v>
      </c>
      <c r="AF398">
        <v>4</v>
      </c>
      <c r="AG398" t="s">
        <v>321</v>
      </c>
    </row>
    <row r="399" spans="1:33" x14ac:dyDescent="0.2">
      <c r="A399">
        <v>1349</v>
      </c>
      <c r="B399" t="s">
        <v>2737</v>
      </c>
      <c r="C399" t="s">
        <v>34</v>
      </c>
      <c r="D399" t="s">
        <v>35</v>
      </c>
      <c r="E399" t="s">
        <v>168</v>
      </c>
      <c r="F399" t="s">
        <v>169</v>
      </c>
      <c r="G399" t="s">
        <v>53</v>
      </c>
      <c r="H399" t="s">
        <v>54</v>
      </c>
      <c r="I399" t="s">
        <v>118</v>
      </c>
      <c r="J399" t="s">
        <v>119</v>
      </c>
      <c r="K399">
        <v>2007</v>
      </c>
      <c r="L399">
        <v>2007</v>
      </c>
      <c r="M399">
        <v>1.7</v>
      </c>
      <c r="N399">
        <v>4.3979999999999997</v>
      </c>
      <c r="O399">
        <v>412</v>
      </c>
      <c r="P399">
        <v>0.45</v>
      </c>
      <c r="Q399">
        <v>0.98699999999999999</v>
      </c>
      <c r="R399" t="s">
        <v>84</v>
      </c>
      <c r="S399" t="s">
        <v>2738</v>
      </c>
      <c r="T399" t="b">
        <v>1</v>
      </c>
      <c r="U399" t="s">
        <v>2739</v>
      </c>
      <c r="V399" t="s">
        <v>174</v>
      </c>
      <c r="W399" t="s">
        <v>2740</v>
      </c>
      <c r="X399" t="s">
        <v>47</v>
      </c>
      <c r="AA399" t="s">
        <v>2741</v>
      </c>
      <c r="AB399" t="s">
        <v>177</v>
      </c>
      <c r="AC399" t="s">
        <v>2742</v>
      </c>
      <c r="AD399" t="b">
        <v>0</v>
      </c>
      <c r="AF399">
        <v>5</v>
      </c>
      <c r="AG399" t="s">
        <v>89</v>
      </c>
    </row>
    <row r="400" spans="1:33" x14ac:dyDescent="0.2">
      <c r="A400">
        <v>2114</v>
      </c>
      <c r="B400" t="s">
        <v>2743</v>
      </c>
      <c r="C400" t="s">
        <v>34</v>
      </c>
      <c r="D400" t="s">
        <v>35</v>
      </c>
      <c r="E400" t="s">
        <v>2744</v>
      </c>
      <c r="F400" t="s">
        <v>2745</v>
      </c>
      <c r="G400" t="s">
        <v>377</v>
      </c>
      <c r="H400" t="s">
        <v>378</v>
      </c>
      <c r="I400" t="s">
        <v>2746</v>
      </c>
      <c r="J400" t="s">
        <v>485</v>
      </c>
      <c r="K400">
        <v>2025</v>
      </c>
      <c r="L400">
        <v>2025</v>
      </c>
      <c r="M400">
        <v>6.5350000000000001</v>
      </c>
      <c r="N400">
        <v>16.100000000000001</v>
      </c>
      <c r="O400">
        <v>548</v>
      </c>
      <c r="P400">
        <v>1.45</v>
      </c>
      <c r="Q400">
        <v>1.252</v>
      </c>
      <c r="R400" t="s">
        <v>42</v>
      </c>
      <c r="S400" t="s">
        <v>2747</v>
      </c>
      <c r="T400" t="b">
        <v>1</v>
      </c>
      <c r="U400" t="s">
        <v>2748</v>
      </c>
      <c r="V400" t="s">
        <v>2749</v>
      </c>
      <c r="W400" t="s">
        <v>2750</v>
      </c>
      <c r="X400" t="s">
        <v>47</v>
      </c>
      <c r="AA400" t="s">
        <v>114</v>
      </c>
      <c r="AC400" t="s">
        <v>63</v>
      </c>
      <c r="AD400" t="b">
        <v>0</v>
      </c>
      <c r="AF400">
        <v>11</v>
      </c>
      <c r="AG400" t="s">
        <v>198</v>
      </c>
    </row>
    <row r="401" spans="1:33" x14ac:dyDescent="0.2">
      <c r="A401">
        <v>109</v>
      </c>
      <c r="B401" t="s">
        <v>2751</v>
      </c>
      <c r="C401" t="s">
        <v>34</v>
      </c>
      <c r="D401" t="s">
        <v>35</v>
      </c>
      <c r="E401" t="s">
        <v>682</v>
      </c>
      <c r="F401" t="s">
        <v>683</v>
      </c>
      <c r="G401" t="s">
        <v>68</v>
      </c>
      <c r="H401" t="s">
        <v>69</v>
      </c>
      <c r="I401" t="s">
        <v>2752</v>
      </c>
      <c r="J401" t="s">
        <v>337</v>
      </c>
      <c r="K401">
        <v>1954</v>
      </c>
      <c r="L401">
        <v>1954</v>
      </c>
      <c r="M401">
        <v>4</v>
      </c>
      <c r="N401">
        <v>13.680999999999999</v>
      </c>
      <c r="O401">
        <v>196</v>
      </c>
      <c r="P401">
        <v>2.2999999999999998</v>
      </c>
      <c r="Q401">
        <v>0.48699999999999999</v>
      </c>
      <c r="R401" t="s">
        <v>72</v>
      </c>
      <c r="S401" t="s">
        <v>2753</v>
      </c>
      <c r="T401" t="b">
        <v>1</v>
      </c>
      <c r="U401" t="s">
        <v>173</v>
      </c>
      <c r="V401" t="s">
        <v>2754</v>
      </c>
      <c r="W401" t="s">
        <v>2755</v>
      </c>
      <c r="X401" t="s">
        <v>47</v>
      </c>
      <c r="AA401" t="s">
        <v>2756</v>
      </c>
      <c r="AB401" t="s">
        <v>49</v>
      </c>
      <c r="AC401" t="s">
        <v>2757</v>
      </c>
      <c r="AD401" t="b">
        <v>0</v>
      </c>
      <c r="AF401">
        <v>8</v>
      </c>
      <c r="AG401" t="s">
        <v>78</v>
      </c>
    </row>
    <row r="402" spans="1:33" x14ac:dyDescent="0.2">
      <c r="A402">
        <v>1263</v>
      </c>
      <c r="B402" t="s">
        <v>2758</v>
      </c>
      <c r="C402" t="s">
        <v>34</v>
      </c>
      <c r="D402" t="s">
        <v>35</v>
      </c>
      <c r="E402" t="s">
        <v>2759</v>
      </c>
      <c r="F402" t="s">
        <v>2760</v>
      </c>
      <c r="G402" t="s">
        <v>53</v>
      </c>
      <c r="H402" t="s">
        <v>54</v>
      </c>
      <c r="I402" t="s">
        <v>147</v>
      </c>
      <c r="J402" t="s">
        <v>148</v>
      </c>
      <c r="K402">
        <v>2007</v>
      </c>
      <c r="L402">
        <v>2007</v>
      </c>
      <c r="M402">
        <v>1.66E-2</v>
      </c>
      <c r="N402">
        <v>0.10100000000000001</v>
      </c>
      <c r="R402" t="s">
        <v>72</v>
      </c>
      <c r="S402" t="s">
        <v>2761</v>
      </c>
      <c r="T402" t="b">
        <v>1</v>
      </c>
      <c r="U402" t="s">
        <v>59</v>
      </c>
      <c r="V402" t="s">
        <v>2762</v>
      </c>
      <c r="W402" t="s">
        <v>2763</v>
      </c>
      <c r="X402" t="s">
        <v>47</v>
      </c>
      <c r="AA402" t="s">
        <v>374</v>
      </c>
      <c r="AC402" t="s">
        <v>63</v>
      </c>
      <c r="AD402" t="b">
        <v>0</v>
      </c>
      <c r="AF402">
        <v>13</v>
      </c>
      <c r="AG402" t="s">
        <v>155</v>
      </c>
    </row>
    <row r="403" spans="1:33" x14ac:dyDescent="0.2">
      <c r="A403">
        <v>1706</v>
      </c>
      <c r="B403" t="s">
        <v>2764</v>
      </c>
      <c r="C403" t="s">
        <v>34</v>
      </c>
      <c r="D403" t="s">
        <v>35</v>
      </c>
      <c r="E403" t="s">
        <v>2765</v>
      </c>
      <c r="F403" t="s">
        <v>2766</v>
      </c>
      <c r="G403" t="s">
        <v>242</v>
      </c>
      <c r="H403" t="s">
        <v>243</v>
      </c>
      <c r="I403" t="s">
        <v>2767</v>
      </c>
      <c r="J403" t="s">
        <v>1072</v>
      </c>
      <c r="K403">
        <v>2012</v>
      </c>
      <c r="L403">
        <v>2012</v>
      </c>
      <c r="M403">
        <v>0.3</v>
      </c>
      <c r="N403">
        <v>0.94399999999999995</v>
      </c>
      <c r="O403">
        <v>101.2</v>
      </c>
      <c r="P403">
        <v>0.38</v>
      </c>
      <c r="Q403">
        <v>0.219</v>
      </c>
      <c r="R403" t="s">
        <v>42</v>
      </c>
      <c r="S403" t="s">
        <v>2768</v>
      </c>
      <c r="T403" t="b">
        <v>1</v>
      </c>
      <c r="U403" t="s">
        <v>2769</v>
      </c>
      <c r="V403" t="s">
        <v>2770</v>
      </c>
      <c r="W403" t="s">
        <v>2771</v>
      </c>
      <c r="X403" t="s">
        <v>47</v>
      </c>
      <c r="AA403" t="s">
        <v>2159</v>
      </c>
      <c r="AC403" t="s">
        <v>2772</v>
      </c>
      <c r="AD403" t="b">
        <v>0</v>
      </c>
      <c r="AF403">
        <v>10</v>
      </c>
      <c r="AG403" t="s">
        <v>143</v>
      </c>
    </row>
    <row r="404" spans="1:33" x14ac:dyDescent="0.2">
      <c r="A404">
        <v>1584</v>
      </c>
      <c r="B404" t="s">
        <v>1152</v>
      </c>
      <c r="C404" t="s">
        <v>34</v>
      </c>
      <c r="D404" t="s">
        <v>35</v>
      </c>
      <c r="E404" t="s">
        <v>757</v>
      </c>
      <c r="F404" t="s">
        <v>758</v>
      </c>
      <c r="G404" t="s">
        <v>53</v>
      </c>
      <c r="H404" t="s">
        <v>54</v>
      </c>
      <c r="I404" t="s">
        <v>147</v>
      </c>
      <c r="J404" t="s">
        <v>148</v>
      </c>
      <c r="K404">
        <v>2011</v>
      </c>
      <c r="L404">
        <v>2011</v>
      </c>
      <c r="M404">
        <v>3.7</v>
      </c>
      <c r="N404">
        <v>10.276</v>
      </c>
      <c r="O404">
        <v>145</v>
      </c>
      <c r="P404">
        <v>3</v>
      </c>
      <c r="Q404">
        <v>0.34300000000000003</v>
      </c>
      <c r="R404" t="s">
        <v>72</v>
      </c>
      <c r="S404" t="s">
        <v>2773</v>
      </c>
      <c r="T404" t="b">
        <v>1</v>
      </c>
      <c r="U404" t="s">
        <v>2774</v>
      </c>
      <c r="V404" t="s">
        <v>761</v>
      </c>
      <c r="W404" t="s">
        <v>2775</v>
      </c>
      <c r="X404" t="s">
        <v>47</v>
      </c>
      <c r="AA404" t="s">
        <v>153</v>
      </c>
      <c r="AB404" t="s">
        <v>973</v>
      </c>
      <c r="AC404" t="s">
        <v>154</v>
      </c>
      <c r="AD404" t="b">
        <v>0</v>
      </c>
      <c r="AF404">
        <v>13</v>
      </c>
      <c r="AG404" t="s">
        <v>155</v>
      </c>
    </row>
    <row r="405" spans="1:33" x14ac:dyDescent="0.2">
      <c r="A405">
        <v>1342</v>
      </c>
      <c r="B405" t="s">
        <v>2776</v>
      </c>
      <c r="C405" t="s">
        <v>34</v>
      </c>
      <c r="D405" t="s">
        <v>35</v>
      </c>
      <c r="E405" t="s">
        <v>2777</v>
      </c>
      <c r="F405" t="s">
        <v>2778</v>
      </c>
      <c r="G405" t="s">
        <v>53</v>
      </c>
      <c r="H405" t="s">
        <v>54</v>
      </c>
      <c r="I405" t="s">
        <v>118</v>
      </c>
      <c r="J405" t="s">
        <v>119</v>
      </c>
      <c r="K405">
        <v>2007</v>
      </c>
      <c r="L405">
        <v>2007</v>
      </c>
      <c r="M405">
        <v>2.2000000000000002</v>
      </c>
      <c r="N405">
        <v>9.4879999999999995</v>
      </c>
      <c r="O405">
        <v>248</v>
      </c>
      <c r="P405">
        <v>1.1000000000000001</v>
      </c>
      <c r="Q405">
        <v>0.55600000000000005</v>
      </c>
      <c r="R405" t="s">
        <v>84</v>
      </c>
      <c r="S405" t="s">
        <v>1487</v>
      </c>
      <c r="T405" t="b">
        <v>1</v>
      </c>
      <c r="U405" t="s">
        <v>2779</v>
      </c>
      <c r="V405" t="s">
        <v>2780</v>
      </c>
      <c r="W405" t="s">
        <v>2781</v>
      </c>
      <c r="X405" t="s">
        <v>47</v>
      </c>
      <c r="AA405" t="s">
        <v>554</v>
      </c>
      <c r="AB405" t="s">
        <v>177</v>
      </c>
      <c r="AC405" t="s">
        <v>1491</v>
      </c>
      <c r="AD405" t="b">
        <v>0</v>
      </c>
      <c r="AF405">
        <v>5</v>
      </c>
      <c r="AG405" t="s">
        <v>89</v>
      </c>
    </row>
    <row r="406" spans="1:33" x14ac:dyDescent="0.2">
      <c r="A406">
        <v>110</v>
      </c>
      <c r="B406" t="s">
        <v>2782</v>
      </c>
      <c r="C406" t="s">
        <v>34</v>
      </c>
      <c r="D406" t="s">
        <v>35</v>
      </c>
      <c r="E406" t="s">
        <v>277</v>
      </c>
      <c r="F406" t="s">
        <v>278</v>
      </c>
      <c r="G406" t="s">
        <v>224</v>
      </c>
      <c r="H406" t="s">
        <v>225</v>
      </c>
      <c r="I406" t="s">
        <v>1126</v>
      </c>
      <c r="J406" t="s">
        <v>262</v>
      </c>
      <c r="K406">
        <v>1957</v>
      </c>
      <c r="L406">
        <v>1957</v>
      </c>
      <c r="M406">
        <v>10</v>
      </c>
      <c r="N406">
        <v>35.896999999999998</v>
      </c>
      <c r="O406">
        <v>410</v>
      </c>
      <c r="P406">
        <v>3</v>
      </c>
      <c r="Q406">
        <v>0.92500000000000004</v>
      </c>
      <c r="R406" t="s">
        <v>57</v>
      </c>
      <c r="S406" t="s">
        <v>2783</v>
      </c>
      <c r="T406" t="b">
        <v>1</v>
      </c>
      <c r="U406" t="s">
        <v>2784</v>
      </c>
      <c r="V406" t="s">
        <v>1129</v>
      </c>
      <c r="W406" t="s">
        <v>2785</v>
      </c>
      <c r="X406" t="s">
        <v>47</v>
      </c>
      <c r="AA406" t="s">
        <v>102</v>
      </c>
      <c r="AB406" t="s">
        <v>2786</v>
      </c>
      <c r="AC406" t="s">
        <v>103</v>
      </c>
      <c r="AD406" t="b">
        <v>0</v>
      </c>
      <c r="AF406">
        <v>2</v>
      </c>
      <c r="AG406" t="s">
        <v>287</v>
      </c>
    </row>
    <row r="407" spans="1:33" x14ac:dyDescent="0.2">
      <c r="A407">
        <v>2055</v>
      </c>
      <c r="B407" t="s">
        <v>2787</v>
      </c>
      <c r="C407" t="s">
        <v>34</v>
      </c>
      <c r="D407" t="s">
        <v>35</v>
      </c>
      <c r="E407" t="s">
        <v>2788</v>
      </c>
      <c r="F407" t="s">
        <v>2789</v>
      </c>
      <c r="G407" t="s">
        <v>503</v>
      </c>
      <c r="H407" t="s">
        <v>462</v>
      </c>
      <c r="I407" t="s">
        <v>659</v>
      </c>
      <c r="J407" t="s">
        <v>41</v>
      </c>
      <c r="K407">
        <v>2021</v>
      </c>
      <c r="L407">
        <v>2021</v>
      </c>
      <c r="M407">
        <v>4.8</v>
      </c>
      <c r="N407">
        <v>14.599</v>
      </c>
      <c r="O407">
        <v>282.5</v>
      </c>
      <c r="P407">
        <v>2.1</v>
      </c>
      <c r="Q407">
        <v>0.63500000000000001</v>
      </c>
      <c r="R407" t="s">
        <v>84</v>
      </c>
      <c r="S407" t="s">
        <v>2790</v>
      </c>
      <c r="T407" t="b">
        <v>1</v>
      </c>
      <c r="U407" t="s">
        <v>2791</v>
      </c>
      <c r="V407" t="s">
        <v>2792</v>
      </c>
      <c r="W407" t="s">
        <v>2793</v>
      </c>
      <c r="X407" t="s">
        <v>47</v>
      </c>
      <c r="AA407" t="s">
        <v>583</v>
      </c>
      <c r="AC407" t="s">
        <v>585</v>
      </c>
      <c r="AD407" t="b">
        <v>0</v>
      </c>
      <c r="AF407">
        <v>3</v>
      </c>
      <c r="AG407" t="s">
        <v>332</v>
      </c>
    </row>
    <row r="408" spans="1:33" x14ac:dyDescent="0.2">
      <c r="A408">
        <v>1846</v>
      </c>
      <c r="B408" t="s">
        <v>2794</v>
      </c>
      <c r="C408" t="s">
        <v>34</v>
      </c>
      <c r="D408" t="s">
        <v>35</v>
      </c>
      <c r="E408" t="s">
        <v>2795</v>
      </c>
      <c r="F408" t="s">
        <v>2796</v>
      </c>
      <c r="G408" t="s">
        <v>53</v>
      </c>
      <c r="H408" t="s">
        <v>54</v>
      </c>
      <c r="I408" t="s">
        <v>235</v>
      </c>
      <c r="J408" t="s">
        <v>41</v>
      </c>
      <c r="K408">
        <v>2018</v>
      </c>
      <c r="L408">
        <v>2018</v>
      </c>
      <c r="M408">
        <v>3.2</v>
      </c>
      <c r="N408">
        <v>10.537000000000001</v>
      </c>
      <c r="O408">
        <v>238.5</v>
      </c>
      <c r="P408">
        <v>1.64</v>
      </c>
      <c r="Q408">
        <v>0.54200000000000004</v>
      </c>
      <c r="R408" t="s">
        <v>84</v>
      </c>
      <c r="S408" t="s">
        <v>2797</v>
      </c>
      <c r="T408" t="b">
        <v>1</v>
      </c>
      <c r="U408" t="s">
        <v>2798</v>
      </c>
      <c r="V408" t="s">
        <v>2799</v>
      </c>
      <c r="W408" t="s">
        <v>2800</v>
      </c>
      <c r="X408" t="s">
        <v>47</v>
      </c>
      <c r="AA408" t="s">
        <v>1000</v>
      </c>
      <c r="AB408" t="s">
        <v>401</v>
      </c>
      <c r="AC408" t="s">
        <v>1001</v>
      </c>
      <c r="AD408" t="b">
        <v>0</v>
      </c>
      <c r="AF408">
        <v>5</v>
      </c>
      <c r="AG408" t="s">
        <v>89</v>
      </c>
    </row>
    <row r="409" spans="1:33" x14ac:dyDescent="0.2">
      <c r="A409">
        <v>1440</v>
      </c>
      <c r="B409" t="s">
        <v>2801</v>
      </c>
      <c r="C409" t="s">
        <v>34</v>
      </c>
      <c r="D409" t="s">
        <v>35</v>
      </c>
      <c r="E409" t="s">
        <v>2802</v>
      </c>
      <c r="F409" t="s">
        <v>2803</v>
      </c>
      <c r="G409" t="s">
        <v>93</v>
      </c>
      <c r="H409" t="s">
        <v>94</v>
      </c>
      <c r="I409" t="s">
        <v>2804</v>
      </c>
      <c r="J409" t="s">
        <v>676</v>
      </c>
      <c r="K409">
        <v>2009</v>
      </c>
      <c r="L409">
        <v>2009</v>
      </c>
      <c r="M409">
        <v>2.1</v>
      </c>
      <c r="N409">
        <v>6.0529999999999999</v>
      </c>
      <c r="O409">
        <v>204</v>
      </c>
      <c r="P409">
        <v>1.2</v>
      </c>
      <c r="Q409">
        <v>0.48599999999999999</v>
      </c>
      <c r="R409" t="s">
        <v>97</v>
      </c>
      <c r="S409" t="s">
        <v>2805</v>
      </c>
      <c r="T409" t="b">
        <v>1</v>
      </c>
      <c r="U409" t="s">
        <v>2806</v>
      </c>
      <c r="V409" t="s">
        <v>2807</v>
      </c>
      <c r="W409" t="s">
        <v>2808</v>
      </c>
      <c r="X409" t="s">
        <v>47</v>
      </c>
      <c r="AA409" t="s">
        <v>340</v>
      </c>
      <c r="AB409" t="s">
        <v>663</v>
      </c>
      <c r="AC409" t="s">
        <v>341</v>
      </c>
      <c r="AD409" t="b">
        <v>0</v>
      </c>
      <c r="AF409">
        <v>1</v>
      </c>
      <c r="AG409" t="s">
        <v>104</v>
      </c>
    </row>
    <row r="410" spans="1:33" x14ac:dyDescent="0.2">
      <c r="A410">
        <v>1025</v>
      </c>
      <c r="B410" t="s">
        <v>2809</v>
      </c>
      <c r="C410" t="s">
        <v>34</v>
      </c>
      <c r="D410" t="s">
        <v>35</v>
      </c>
      <c r="G410" t="s">
        <v>242</v>
      </c>
      <c r="H410" t="s">
        <v>243</v>
      </c>
      <c r="I410" t="s">
        <v>1273</v>
      </c>
      <c r="J410" t="s">
        <v>409</v>
      </c>
      <c r="K410">
        <v>2000</v>
      </c>
      <c r="L410">
        <v>2000</v>
      </c>
      <c r="M410">
        <v>7.4999999999999997E-2</v>
      </c>
      <c r="N410">
        <v>0.157</v>
      </c>
      <c r="R410" t="s">
        <v>72</v>
      </c>
      <c r="S410" t="s">
        <v>2810</v>
      </c>
      <c r="T410" t="b">
        <v>1</v>
      </c>
      <c r="U410" t="s">
        <v>754</v>
      </c>
      <c r="V410" t="s">
        <v>274</v>
      </c>
      <c r="W410" t="s">
        <v>2811</v>
      </c>
      <c r="X410" t="s">
        <v>47</v>
      </c>
      <c r="AA410" t="s">
        <v>1276</v>
      </c>
      <c r="AC410" t="s">
        <v>1277</v>
      </c>
      <c r="AD410" t="b">
        <v>0</v>
      </c>
      <c r="AF410">
        <v>8</v>
      </c>
      <c r="AG410" t="s">
        <v>78</v>
      </c>
    </row>
    <row r="411" spans="1:33" x14ac:dyDescent="0.2">
      <c r="A411">
        <v>112</v>
      </c>
      <c r="B411" t="s">
        <v>2812</v>
      </c>
      <c r="C411" t="s">
        <v>34</v>
      </c>
      <c r="D411" t="s">
        <v>35</v>
      </c>
      <c r="E411" t="s">
        <v>36</v>
      </c>
      <c r="F411" t="s">
        <v>37</v>
      </c>
      <c r="G411" t="s">
        <v>134</v>
      </c>
      <c r="H411" t="s">
        <v>135</v>
      </c>
      <c r="I411" t="s">
        <v>2605</v>
      </c>
      <c r="J411" t="s">
        <v>1303</v>
      </c>
      <c r="K411">
        <v>1920</v>
      </c>
      <c r="L411">
        <v>1920</v>
      </c>
      <c r="M411">
        <v>20</v>
      </c>
      <c r="N411">
        <v>88.647999999999996</v>
      </c>
      <c r="O411">
        <v>463.5</v>
      </c>
      <c r="P411">
        <v>6</v>
      </c>
      <c r="Q411">
        <v>0.92600000000000005</v>
      </c>
      <c r="R411" t="s">
        <v>42</v>
      </c>
      <c r="S411" t="s">
        <v>2606</v>
      </c>
      <c r="T411" t="b">
        <v>1</v>
      </c>
      <c r="U411" t="s">
        <v>2813</v>
      </c>
      <c r="V411" t="s">
        <v>45</v>
      </c>
      <c r="W411" t="s">
        <v>2814</v>
      </c>
      <c r="X411" t="s">
        <v>47</v>
      </c>
      <c r="AA411" t="s">
        <v>2609</v>
      </c>
      <c r="AB411" t="s">
        <v>49</v>
      </c>
      <c r="AC411" t="s">
        <v>2610</v>
      </c>
      <c r="AD411" t="b">
        <v>0</v>
      </c>
      <c r="AF411">
        <v>10</v>
      </c>
      <c r="AG411" t="s">
        <v>143</v>
      </c>
    </row>
    <row r="412" spans="1:33" x14ac:dyDescent="0.2">
      <c r="A412">
        <v>957</v>
      </c>
      <c r="B412" t="s">
        <v>2815</v>
      </c>
      <c r="C412" t="s">
        <v>34</v>
      </c>
      <c r="D412" t="s">
        <v>35</v>
      </c>
      <c r="E412" t="s">
        <v>2816</v>
      </c>
      <c r="F412" t="s">
        <v>2817</v>
      </c>
      <c r="G412" t="s">
        <v>53</v>
      </c>
      <c r="H412" t="s">
        <v>54</v>
      </c>
      <c r="I412" t="s">
        <v>1165</v>
      </c>
      <c r="J412" t="s">
        <v>1166</v>
      </c>
      <c r="K412">
        <v>2001</v>
      </c>
      <c r="L412">
        <v>2001</v>
      </c>
      <c r="M412">
        <v>0.34899999999999998</v>
      </c>
      <c r="N412">
        <v>1.8959999999999999</v>
      </c>
      <c r="R412" t="s">
        <v>72</v>
      </c>
      <c r="S412" t="s">
        <v>2818</v>
      </c>
      <c r="T412" t="b">
        <v>1</v>
      </c>
      <c r="U412" t="s">
        <v>1103</v>
      </c>
      <c r="V412" t="s">
        <v>2819</v>
      </c>
      <c r="W412" t="s">
        <v>2820</v>
      </c>
      <c r="X412" t="s">
        <v>47</v>
      </c>
      <c r="AA412" t="s">
        <v>2821</v>
      </c>
      <c r="AC412" t="s">
        <v>2822</v>
      </c>
      <c r="AD412" t="b">
        <v>0</v>
      </c>
      <c r="AF412">
        <v>8</v>
      </c>
      <c r="AG412" t="s">
        <v>78</v>
      </c>
    </row>
    <row r="413" spans="1:33" x14ac:dyDescent="0.2">
      <c r="A413">
        <v>1483</v>
      </c>
      <c r="B413" t="s">
        <v>2823</v>
      </c>
      <c r="C413" t="s">
        <v>34</v>
      </c>
      <c r="D413" t="s">
        <v>35</v>
      </c>
      <c r="E413" t="s">
        <v>757</v>
      </c>
      <c r="F413" t="s">
        <v>758</v>
      </c>
      <c r="G413" t="s">
        <v>68</v>
      </c>
      <c r="H413" t="s">
        <v>69</v>
      </c>
      <c r="I413" t="s">
        <v>445</v>
      </c>
      <c r="J413" t="s">
        <v>203</v>
      </c>
      <c r="K413">
        <v>2009</v>
      </c>
      <c r="L413">
        <v>2009</v>
      </c>
      <c r="M413">
        <v>0.85</v>
      </c>
      <c r="N413">
        <v>3.2469999999999999</v>
      </c>
      <c r="O413">
        <v>34</v>
      </c>
      <c r="P413">
        <v>2.8</v>
      </c>
      <c r="R413" t="s">
        <v>72</v>
      </c>
      <c r="S413" t="s">
        <v>2824</v>
      </c>
      <c r="T413" t="b">
        <v>1</v>
      </c>
      <c r="U413" t="s">
        <v>2825</v>
      </c>
      <c r="V413" t="s">
        <v>761</v>
      </c>
      <c r="W413" t="s">
        <v>2826</v>
      </c>
      <c r="X413" t="s">
        <v>47</v>
      </c>
      <c r="AA413" t="s">
        <v>2827</v>
      </c>
      <c r="AC413" t="s">
        <v>2828</v>
      </c>
      <c r="AD413" t="b">
        <v>0</v>
      </c>
      <c r="AF413">
        <v>8</v>
      </c>
      <c r="AG413" t="s">
        <v>78</v>
      </c>
    </row>
    <row r="414" spans="1:33" x14ac:dyDescent="0.2">
      <c r="A414">
        <v>1840</v>
      </c>
      <c r="B414" t="s">
        <v>2829</v>
      </c>
      <c r="C414" t="s">
        <v>34</v>
      </c>
      <c r="D414" t="s">
        <v>35</v>
      </c>
      <c r="E414" t="s">
        <v>576</v>
      </c>
      <c r="F414" t="s">
        <v>577</v>
      </c>
      <c r="G414" t="s">
        <v>503</v>
      </c>
      <c r="H414" t="s">
        <v>462</v>
      </c>
      <c r="I414" t="s">
        <v>578</v>
      </c>
      <c r="J414" t="s">
        <v>308</v>
      </c>
      <c r="K414">
        <v>2015</v>
      </c>
      <c r="L414">
        <v>2015</v>
      </c>
      <c r="M414">
        <v>0.52</v>
      </c>
      <c r="N414">
        <v>1.163</v>
      </c>
      <c r="O414">
        <v>110.2</v>
      </c>
      <c r="P414">
        <v>0.6</v>
      </c>
      <c r="Q414">
        <v>0.24</v>
      </c>
      <c r="R414" t="s">
        <v>84</v>
      </c>
      <c r="S414" t="s">
        <v>2830</v>
      </c>
      <c r="T414" t="b">
        <v>1</v>
      </c>
      <c r="U414" t="s">
        <v>2831</v>
      </c>
      <c r="V414" t="s">
        <v>581</v>
      </c>
      <c r="W414" t="s">
        <v>582</v>
      </c>
      <c r="X414" t="s">
        <v>47</v>
      </c>
      <c r="AA414" t="s">
        <v>583</v>
      </c>
      <c r="AB414" t="s">
        <v>539</v>
      </c>
      <c r="AC414" t="s">
        <v>585</v>
      </c>
      <c r="AD414" t="b">
        <v>0</v>
      </c>
      <c r="AF414">
        <v>3</v>
      </c>
      <c r="AG414" t="s">
        <v>332</v>
      </c>
    </row>
    <row r="415" spans="1:33" x14ac:dyDescent="0.2">
      <c r="A415">
        <v>2093</v>
      </c>
      <c r="B415" t="s">
        <v>2832</v>
      </c>
      <c r="C415" t="s">
        <v>34</v>
      </c>
      <c r="D415" t="s">
        <v>35</v>
      </c>
      <c r="E415" t="s">
        <v>2833</v>
      </c>
      <c r="F415" t="s">
        <v>2834</v>
      </c>
      <c r="G415" t="s">
        <v>224</v>
      </c>
      <c r="H415" t="s">
        <v>225</v>
      </c>
      <c r="I415" t="s">
        <v>1544</v>
      </c>
      <c r="J415" t="s">
        <v>426</v>
      </c>
      <c r="K415">
        <v>2025</v>
      </c>
      <c r="L415">
        <v>2025</v>
      </c>
      <c r="M415">
        <v>9.5</v>
      </c>
      <c r="N415">
        <v>38</v>
      </c>
      <c r="O415">
        <v>35.090000000000003</v>
      </c>
      <c r="P415">
        <v>31</v>
      </c>
      <c r="Q415">
        <v>8.5000000000000006E-2</v>
      </c>
      <c r="R415" t="s">
        <v>57</v>
      </c>
      <c r="S415" t="s">
        <v>2835</v>
      </c>
      <c r="T415" t="b">
        <v>1</v>
      </c>
      <c r="U415" t="s">
        <v>2836</v>
      </c>
      <c r="V415" t="s">
        <v>2837</v>
      </c>
      <c r="W415" t="s">
        <v>2838</v>
      </c>
      <c r="X415" t="s">
        <v>47</v>
      </c>
      <c r="AA415" t="s">
        <v>1548</v>
      </c>
      <c r="AB415" t="s">
        <v>1242</v>
      </c>
      <c r="AC415" t="s">
        <v>1549</v>
      </c>
      <c r="AD415" t="b">
        <v>0</v>
      </c>
      <c r="AF415">
        <v>2</v>
      </c>
      <c r="AG415" t="s">
        <v>287</v>
      </c>
    </row>
    <row r="416" spans="1:33" x14ac:dyDescent="0.2">
      <c r="A416">
        <v>1872</v>
      </c>
      <c r="B416" t="s">
        <v>2839</v>
      </c>
      <c r="C416" t="s">
        <v>34</v>
      </c>
      <c r="D416" t="s">
        <v>35</v>
      </c>
      <c r="E416" t="s">
        <v>1320</v>
      </c>
      <c r="F416" t="s">
        <v>1321</v>
      </c>
      <c r="G416" t="s">
        <v>53</v>
      </c>
      <c r="H416" t="s">
        <v>54</v>
      </c>
      <c r="I416" t="s">
        <v>55</v>
      </c>
      <c r="J416" t="s">
        <v>56</v>
      </c>
      <c r="K416">
        <v>2016</v>
      </c>
      <c r="L416">
        <v>2016</v>
      </c>
      <c r="M416">
        <v>4.04</v>
      </c>
      <c r="N416">
        <v>8.1389999999999993</v>
      </c>
      <c r="O416">
        <v>325.89999999999998</v>
      </c>
      <c r="P416">
        <v>1.43</v>
      </c>
      <c r="Q416">
        <v>0.78500000000000003</v>
      </c>
      <c r="R416" t="s">
        <v>57</v>
      </c>
      <c r="S416" t="s">
        <v>1903</v>
      </c>
      <c r="T416" t="b">
        <v>1</v>
      </c>
      <c r="U416" t="s">
        <v>2840</v>
      </c>
      <c r="V416" t="s">
        <v>2841</v>
      </c>
      <c r="W416" t="s">
        <v>2842</v>
      </c>
      <c r="X416" t="s">
        <v>47</v>
      </c>
      <c r="AA416" t="s">
        <v>741</v>
      </c>
      <c r="AC416" t="s">
        <v>742</v>
      </c>
      <c r="AD416" t="b">
        <v>0</v>
      </c>
      <c r="AF416">
        <v>6</v>
      </c>
      <c r="AG416" t="s">
        <v>64</v>
      </c>
    </row>
    <row r="417" spans="1:33" x14ac:dyDescent="0.2">
      <c r="A417">
        <v>1781</v>
      </c>
      <c r="B417" t="s">
        <v>2843</v>
      </c>
      <c r="C417" t="s">
        <v>34</v>
      </c>
      <c r="D417" t="s">
        <v>35</v>
      </c>
      <c r="E417" t="s">
        <v>1085</v>
      </c>
      <c r="F417" t="s">
        <v>1086</v>
      </c>
      <c r="G417" t="s">
        <v>134</v>
      </c>
      <c r="H417" t="s">
        <v>135</v>
      </c>
      <c r="I417" t="s">
        <v>202</v>
      </c>
      <c r="J417" t="s">
        <v>203</v>
      </c>
      <c r="K417">
        <v>2016</v>
      </c>
      <c r="L417">
        <v>2016</v>
      </c>
      <c r="M417">
        <v>26.8</v>
      </c>
      <c r="N417">
        <v>43.570999999999998</v>
      </c>
      <c r="O417">
        <v>220.5</v>
      </c>
      <c r="P417">
        <v>14</v>
      </c>
      <c r="Q417">
        <v>0.53200000000000003</v>
      </c>
      <c r="R417" t="s">
        <v>42</v>
      </c>
      <c r="S417" t="s">
        <v>2844</v>
      </c>
      <c r="T417" t="b">
        <v>1</v>
      </c>
      <c r="U417" t="s">
        <v>2845</v>
      </c>
      <c r="V417" t="s">
        <v>1089</v>
      </c>
      <c r="W417" t="s">
        <v>2846</v>
      </c>
      <c r="X417" t="s">
        <v>47</v>
      </c>
      <c r="AA417" t="s">
        <v>208</v>
      </c>
      <c r="AB417" t="s">
        <v>584</v>
      </c>
      <c r="AC417" t="s">
        <v>2332</v>
      </c>
      <c r="AD417" t="b">
        <v>0</v>
      </c>
      <c r="AF417">
        <v>10</v>
      </c>
      <c r="AG417" t="s">
        <v>143</v>
      </c>
    </row>
    <row r="418" spans="1:33" x14ac:dyDescent="0.2">
      <c r="A418">
        <v>2018</v>
      </c>
      <c r="B418" t="s">
        <v>2847</v>
      </c>
      <c r="C418" t="s">
        <v>34</v>
      </c>
      <c r="D418" t="s">
        <v>35</v>
      </c>
      <c r="E418" t="s">
        <v>2848</v>
      </c>
      <c r="F418" t="s">
        <v>2849</v>
      </c>
      <c r="G418" t="s">
        <v>93</v>
      </c>
      <c r="H418" t="s">
        <v>94</v>
      </c>
      <c r="I418" t="s">
        <v>2850</v>
      </c>
      <c r="J418" t="s">
        <v>94</v>
      </c>
      <c r="K418">
        <v>2021</v>
      </c>
      <c r="L418">
        <v>2021</v>
      </c>
      <c r="M418">
        <v>3.3</v>
      </c>
      <c r="N418">
        <v>8.6720000000000006</v>
      </c>
      <c r="O418">
        <v>185.4</v>
      </c>
      <c r="P418">
        <v>2.4</v>
      </c>
      <c r="Q418">
        <v>0.38200000000000001</v>
      </c>
      <c r="R418" t="s">
        <v>72</v>
      </c>
      <c r="S418" t="s">
        <v>2851</v>
      </c>
      <c r="T418" t="b">
        <v>1</v>
      </c>
      <c r="U418" t="s">
        <v>2852</v>
      </c>
      <c r="V418" t="s">
        <v>2853</v>
      </c>
      <c r="W418" t="s">
        <v>2854</v>
      </c>
      <c r="X418" t="s">
        <v>47</v>
      </c>
      <c r="AA418" t="s">
        <v>340</v>
      </c>
      <c r="AC418" t="s">
        <v>1063</v>
      </c>
      <c r="AD418" t="b">
        <v>0</v>
      </c>
      <c r="AF418">
        <v>8</v>
      </c>
      <c r="AG418" t="s">
        <v>78</v>
      </c>
    </row>
    <row r="419" spans="1:33" x14ac:dyDescent="0.2">
      <c r="A419">
        <v>113</v>
      </c>
      <c r="B419" t="s">
        <v>2855</v>
      </c>
      <c r="C419" t="s">
        <v>34</v>
      </c>
      <c r="D419" t="s">
        <v>35</v>
      </c>
      <c r="E419" t="s">
        <v>1010</v>
      </c>
      <c r="F419" t="s">
        <v>1011</v>
      </c>
      <c r="G419" t="s">
        <v>242</v>
      </c>
      <c r="H419" t="s">
        <v>243</v>
      </c>
      <c r="I419" t="s">
        <v>1012</v>
      </c>
      <c r="J419" t="s">
        <v>676</v>
      </c>
      <c r="K419">
        <v>1982</v>
      </c>
      <c r="L419">
        <v>1982</v>
      </c>
      <c r="M419">
        <v>75</v>
      </c>
      <c r="N419">
        <v>270.98399999999998</v>
      </c>
      <c r="O419">
        <v>455</v>
      </c>
      <c r="P419">
        <v>19.010000000000002</v>
      </c>
      <c r="Q419">
        <v>1.095</v>
      </c>
      <c r="R419" t="s">
        <v>72</v>
      </c>
      <c r="S419" t="s">
        <v>2856</v>
      </c>
      <c r="T419" t="b">
        <v>1</v>
      </c>
      <c r="U419" t="s">
        <v>2857</v>
      </c>
      <c r="V419" t="s">
        <v>1015</v>
      </c>
      <c r="W419" t="s">
        <v>2858</v>
      </c>
      <c r="X419" t="s">
        <v>47</v>
      </c>
      <c r="AA419" t="s">
        <v>1017</v>
      </c>
      <c r="AB419" t="s">
        <v>308</v>
      </c>
      <c r="AC419" t="s">
        <v>1018</v>
      </c>
      <c r="AD419" t="b">
        <v>0</v>
      </c>
      <c r="AF419">
        <v>8</v>
      </c>
      <c r="AG419" t="s">
        <v>78</v>
      </c>
    </row>
    <row r="420" spans="1:33" x14ac:dyDescent="0.2">
      <c r="A420">
        <v>1885</v>
      </c>
      <c r="B420" t="s">
        <v>2859</v>
      </c>
      <c r="C420" t="s">
        <v>574</v>
      </c>
      <c r="D420" t="s">
        <v>575</v>
      </c>
      <c r="E420" t="s">
        <v>36</v>
      </c>
      <c r="F420" t="s">
        <v>37</v>
      </c>
      <c r="G420" t="s">
        <v>53</v>
      </c>
      <c r="H420" t="s">
        <v>54</v>
      </c>
      <c r="I420" t="s">
        <v>2860</v>
      </c>
      <c r="J420" t="s">
        <v>71</v>
      </c>
      <c r="K420">
        <v>2016</v>
      </c>
      <c r="L420">
        <v>2016</v>
      </c>
      <c r="M420">
        <v>-0.3</v>
      </c>
      <c r="N420">
        <v>-1.0149999999999999</v>
      </c>
      <c r="O420">
        <v>-51</v>
      </c>
      <c r="P420">
        <v>0.31</v>
      </c>
      <c r="Q420">
        <v>-0.26900000000000002</v>
      </c>
      <c r="R420" t="s">
        <v>57</v>
      </c>
      <c r="S420" t="s">
        <v>2861</v>
      </c>
      <c r="T420" t="b">
        <v>1</v>
      </c>
      <c r="U420" t="s">
        <v>2862</v>
      </c>
      <c r="V420" t="s">
        <v>2863</v>
      </c>
      <c r="W420" t="s">
        <v>2864</v>
      </c>
      <c r="X420" t="s">
        <v>47</v>
      </c>
      <c r="AA420" t="s">
        <v>2865</v>
      </c>
      <c r="AB420" t="s">
        <v>401</v>
      </c>
      <c r="AC420" t="s">
        <v>2866</v>
      </c>
      <c r="AD420" t="b">
        <v>0</v>
      </c>
      <c r="AF420">
        <v>2</v>
      </c>
      <c r="AG420" t="s">
        <v>287</v>
      </c>
    </row>
    <row r="421" spans="1:33" x14ac:dyDescent="0.2">
      <c r="A421">
        <v>978</v>
      </c>
      <c r="B421" t="s">
        <v>2867</v>
      </c>
      <c r="C421" t="s">
        <v>34</v>
      </c>
      <c r="D421" t="s">
        <v>35</v>
      </c>
      <c r="E421" t="s">
        <v>2868</v>
      </c>
      <c r="F421" t="s">
        <v>2869</v>
      </c>
      <c r="G421" t="s">
        <v>53</v>
      </c>
      <c r="H421" t="s">
        <v>54</v>
      </c>
      <c r="I421" t="s">
        <v>1723</v>
      </c>
      <c r="J421" t="s">
        <v>1697</v>
      </c>
      <c r="K421">
        <v>2000</v>
      </c>
      <c r="L421">
        <v>2000</v>
      </c>
      <c r="M421">
        <v>0.64200000000000002</v>
      </c>
      <c r="N421">
        <v>2.7440000000000002</v>
      </c>
      <c r="O421">
        <v>86</v>
      </c>
      <c r="P421">
        <v>0.92</v>
      </c>
      <c r="Q421">
        <v>0.19400000000000001</v>
      </c>
      <c r="R421" t="s">
        <v>57</v>
      </c>
      <c r="S421" t="s">
        <v>2870</v>
      </c>
      <c r="T421" t="b">
        <v>1</v>
      </c>
      <c r="U421" t="s">
        <v>754</v>
      </c>
      <c r="V421" t="s">
        <v>2871</v>
      </c>
      <c r="W421" t="s">
        <v>2872</v>
      </c>
      <c r="X421" t="s">
        <v>47</v>
      </c>
      <c r="AA421" t="s">
        <v>114</v>
      </c>
      <c r="AC421" t="s">
        <v>63</v>
      </c>
      <c r="AD421" t="b">
        <v>0</v>
      </c>
      <c r="AF421">
        <v>6</v>
      </c>
      <c r="AG421" t="s">
        <v>64</v>
      </c>
    </row>
    <row r="422" spans="1:33" x14ac:dyDescent="0.2">
      <c r="A422">
        <v>1520</v>
      </c>
      <c r="B422" t="s">
        <v>2873</v>
      </c>
      <c r="C422" t="s">
        <v>34</v>
      </c>
      <c r="D422" t="s">
        <v>35</v>
      </c>
      <c r="E422" t="s">
        <v>2874</v>
      </c>
      <c r="F422" t="s">
        <v>2875</v>
      </c>
      <c r="G422" t="s">
        <v>242</v>
      </c>
      <c r="H422" t="s">
        <v>243</v>
      </c>
      <c r="I422" t="s">
        <v>880</v>
      </c>
      <c r="J422" t="s">
        <v>280</v>
      </c>
      <c r="K422">
        <v>2009</v>
      </c>
      <c r="L422">
        <v>2009</v>
      </c>
      <c r="M422">
        <v>2.1</v>
      </c>
      <c r="N422">
        <v>8.1739999999999995</v>
      </c>
      <c r="O422">
        <v>59</v>
      </c>
      <c r="P422">
        <v>4.3</v>
      </c>
      <c r="Q422">
        <v>0.13600000000000001</v>
      </c>
      <c r="R422" t="s">
        <v>72</v>
      </c>
      <c r="S422" t="s">
        <v>2876</v>
      </c>
      <c r="T422" t="b">
        <v>1</v>
      </c>
      <c r="U422" t="s">
        <v>2877</v>
      </c>
      <c r="V422" t="s">
        <v>2878</v>
      </c>
      <c r="W422" t="s">
        <v>2879</v>
      </c>
      <c r="X422" t="s">
        <v>47</v>
      </c>
      <c r="AA422" t="s">
        <v>884</v>
      </c>
      <c r="AB422" t="s">
        <v>836</v>
      </c>
      <c r="AC422" t="s">
        <v>885</v>
      </c>
      <c r="AD422" t="b">
        <v>0</v>
      </c>
      <c r="AF422">
        <v>9</v>
      </c>
      <c r="AG422" t="s">
        <v>251</v>
      </c>
    </row>
    <row r="423" spans="1:33" x14ac:dyDescent="0.2">
      <c r="A423">
        <v>114</v>
      </c>
      <c r="B423" t="s">
        <v>2880</v>
      </c>
      <c r="C423" t="s">
        <v>34</v>
      </c>
      <c r="D423" t="s">
        <v>35</v>
      </c>
      <c r="E423" t="s">
        <v>404</v>
      </c>
      <c r="F423" t="s">
        <v>405</v>
      </c>
      <c r="G423" t="s">
        <v>224</v>
      </c>
      <c r="H423" t="s">
        <v>225</v>
      </c>
      <c r="I423" t="s">
        <v>1710</v>
      </c>
      <c r="J423" t="s">
        <v>1077</v>
      </c>
      <c r="K423">
        <v>1931</v>
      </c>
      <c r="L423">
        <v>1931</v>
      </c>
      <c r="M423">
        <v>18.600000000000001</v>
      </c>
      <c r="N423">
        <v>28.69</v>
      </c>
      <c r="O423">
        <v>19.7</v>
      </c>
      <c r="P423">
        <v>116</v>
      </c>
      <c r="Q423">
        <v>4.3999999999999997E-2</v>
      </c>
      <c r="R423" t="s">
        <v>97</v>
      </c>
      <c r="S423" t="s">
        <v>2881</v>
      </c>
      <c r="T423" t="b">
        <v>1</v>
      </c>
      <c r="U423" t="s">
        <v>2882</v>
      </c>
      <c r="V423" t="s">
        <v>408</v>
      </c>
      <c r="W423" t="s">
        <v>113</v>
      </c>
      <c r="X423" t="s">
        <v>47</v>
      </c>
      <c r="AA423" t="s">
        <v>102</v>
      </c>
      <c r="AB423" t="s">
        <v>765</v>
      </c>
      <c r="AC423" t="s">
        <v>103</v>
      </c>
      <c r="AD423" t="b">
        <v>0</v>
      </c>
      <c r="AF423">
        <v>1</v>
      </c>
      <c r="AG423" t="s">
        <v>104</v>
      </c>
    </row>
    <row r="424" spans="1:33" x14ac:dyDescent="0.2">
      <c r="A424">
        <v>756</v>
      </c>
      <c r="B424" t="s">
        <v>2883</v>
      </c>
      <c r="C424" t="s">
        <v>34</v>
      </c>
      <c r="D424" t="s">
        <v>35</v>
      </c>
      <c r="E424" t="s">
        <v>404</v>
      </c>
      <c r="F424" t="s">
        <v>405</v>
      </c>
      <c r="G424" t="s">
        <v>224</v>
      </c>
      <c r="H424" t="s">
        <v>225</v>
      </c>
      <c r="I424" t="s">
        <v>1710</v>
      </c>
      <c r="J424" t="s">
        <v>1077</v>
      </c>
      <c r="K424">
        <v>1996</v>
      </c>
      <c r="L424">
        <v>1996</v>
      </c>
      <c r="M424">
        <v>30.2</v>
      </c>
      <c r="N424">
        <v>219.34100000000001</v>
      </c>
      <c r="O424">
        <v>20</v>
      </c>
      <c r="P424">
        <v>176</v>
      </c>
      <c r="Q424">
        <v>4.8000000000000001E-2</v>
      </c>
      <c r="R424" t="s">
        <v>97</v>
      </c>
      <c r="S424" t="s">
        <v>2884</v>
      </c>
      <c r="T424" t="b">
        <v>1</v>
      </c>
      <c r="U424" t="s">
        <v>2885</v>
      </c>
      <c r="V424" t="s">
        <v>408</v>
      </c>
      <c r="W424" t="s">
        <v>2886</v>
      </c>
      <c r="X424" t="s">
        <v>47</v>
      </c>
      <c r="AA424" t="s">
        <v>102</v>
      </c>
      <c r="AB424" t="s">
        <v>227</v>
      </c>
      <c r="AC424" t="s">
        <v>103</v>
      </c>
      <c r="AD424" t="b">
        <v>0</v>
      </c>
      <c r="AF424">
        <v>1</v>
      </c>
      <c r="AG424" t="s">
        <v>104</v>
      </c>
    </row>
    <row r="425" spans="1:33" x14ac:dyDescent="0.2">
      <c r="A425">
        <v>1362</v>
      </c>
      <c r="B425" t="s">
        <v>2887</v>
      </c>
      <c r="C425" t="s">
        <v>34</v>
      </c>
      <c r="D425" t="s">
        <v>35</v>
      </c>
      <c r="E425" t="s">
        <v>2888</v>
      </c>
      <c r="F425" t="s">
        <v>2889</v>
      </c>
      <c r="G425" t="s">
        <v>68</v>
      </c>
      <c r="H425" t="s">
        <v>69</v>
      </c>
      <c r="I425" t="s">
        <v>413</v>
      </c>
      <c r="J425" t="s">
        <v>414</v>
      </c>
      <c r="K425">
        <v>2007</v>
      </c>
      <c r="L425">
        <v>2007</v>
      </c>
      <c r="M425">
        <v>9.5000000000000001E-2</v>
      </c>
      <c r="N425">
        <v>0.47199999999999998</v>
      </c>
      <c r="O425">
        <v>153</v>
      </c>
      <c r="P425">
        <v>7.4999999999999997E-2</v>
      </c>
      <c r="Q425">
        <v>0.35199999999999998</v>
      </c>
      <c r="R425" t="s">
        <v>72</v>
      </c>
      <c r="S425" t="s">
        <v>2890</v>
      </c>
      <c r="T425" t="b">
        <v>1</v>
      </c>
      <c r="U425" t="s">
        <v>2891</v>
      </c>
      <c r="V425" t="s">
        <v>2892</v>
      </c>
      <c r="W425" t="s">
        <v>2893</v>
      </c>
      <c r="X425" t="s">
        <v>47</v>
      </c>
      <c r="AA425" t="s">
        <v>787</v>
      </c>
      <c r="AC425" t="s">
        <v>970</v>
      </c>
      <c r="AD425" t="b">
        <v>0</v>
      </c>
      <c r="AF425">
        <v>8</v>
      </c>
      <c r="AG425" t="s">
        <v>78</v>
      </c>
    </row>
    <row r="426" spans="1:33" x14ac:dyDescent="0.2">
      <c r="A426">
        <v>115</v>
      </c>
      <c r="B426" t="s">
        <v>2894</v>
      </c>
      <c r="C426" t="s">
        <v>34</v>
      </c>
      <c r="D426" t="s">
        <v>35</v>
      </c>
      <c r="E426" t="s">
        <v>36</v>
      </c>
      <c r="F426" t="s">
        <v>37</v>
      </c>
      <c r="G426" t="s">
        <v>242</v>
      </c>
      <c r="H426" t="s">
        <v>243</v>
      </c>
      <c r="I426" t="s">
        <v>2348</v>
      </c>
      <c r="J426" t="s">
        <v>225</v>
      </c>
      <c r="K426">
        <v>1966</v>
      </c>
      <c r="L426">
        <v>1966</v>
      </c>
      <c r="M426">
        <v>25</v>
      </c>
      <c r="N426">
        <v>80.337999999999994</v>
      </c>
      <c r="O426">
        <v>33</v>
      </c>
      <c r="P426">
        <v>100.63</v>
      </c>
      <c r="Q426">
        <v>6.8000000000000005E-2</v>
      </c>
      <c r="R426" t="s">
        <v>72</v>
      </c>
      <c r="S426" t="s">
        <v>2895</v>
      </c>
      <c r="T426" t="b">
        <v>1</v>
      </c>
      <c r="U426" t="s">
        <v>2896</v>
      </c>
      <c r="V426" t="s">
        <v>45</v>
      </c>
      <c r="W426" t="s">
        <v>2897</v>
      </c>
      <c r="X426" t="s">
        <v>47</v>
      </c>
      <c r="AA426" t="s">
        <v>982</v>
      </c>
      <c r="AB426" t="s">
        <v>676</v>
      </c>
      <c r="AC426" t="s">
        <v>983</v>
      </c>
      <c r="AD426" t="b">
        <v>0</v>
      </c>
      <c r="AF426">
        <v>9</v>
      </c>
      <c r="AG426" t="s">
        <v>251</v>
      </c>
    </row>
    <row r="427" spans="1:33" x14ac:dyDescent="0.2">
      <c r="A427">
        <v>1643</v>
      </c>
      <c r="B427" t="s">
        <v>2898</v>
      </c>
      <c r="C427" t="s">
        <v>34</v>
      </c>
      <c r="D427" t="s">
        <v>35</v>
      </c>
      <c r="E427" t="s">
        <v>2899</v>
      </c>
      <c r="F427" t="s">
        <v>2900</v>
      </c>
      <c r="G427" t="s">
        <v>53</v>
      </c>
      <c r="H427" t="s">
        <v>54</v>
      </c>
      <c r="I427" t="s">
        <v>325</v>
      </c>
      <c r="J427" t="s">
        <v>135</v>
      </c>
      <c r="K427">
        <v>2011</v>
      </c>
      <c r="L427">
        <v>2011</v>
      </c>
      <c r="M427">
        <v>0.99</v>
      </c>
      <c r="N427">
        <v>2.4950000000000001</v>
      </c>
      <c r="O427">
        <v>362.6</v>
      </c>
      <c r="P427">
        <v>0.314</v>
      </c>
      <c r="Q427">
        <v>0.876</v>
      </c>
      <c r="R427" t="s">
        <v>57</v>
      </c>
      <c r="S427" t="s">
        <v>2901</v>
      </c>
      <c r="T427" t="b">
        <v>1</v>
      </c>
      <c r="U427" t="s">
        <v>2902</v>
      </c>
      <c r="V427" t="s">
        <v>2903</v>
      </c>
      <c r="W427" t="s">
        <v>2904</v>
      </c>
      <c r="X427" t="s">
        <v>47</v>
      </c>
      <c r="AA427" t="s">
        <v>114</v>
      </c>
      <c r="AC427" t="s">
        <v>63</v>
      </c>
      <c r="AD427" t="b">
        <v>0</v>
      </c>
      <c r="AF427">
        <v>6</v>
      </c>
      <c r="AG427" t="s">
        <v>64</v>
      </c>
    </row>
    <row r="428" spans="1:33" x14ac:dyDescent="0.2">
      <c r="A428">
        <v>1139</v>
      </c>
      <c r="B428" t="s">
        <v>2905</v>
      </c>
      <c r="C428" t="s">
        <v>34</v>
      </c>
      <c r="D428" t="s">
        <v>35</v>
      </c>
      <c r="E428" t="s">
        <v>168</v>
      </c>
      <c r="F428" t="s">
        <v>169</v>
      </c>
      <c r="G428" t="s">
        <v>312</v>
      </c>
      <c r="H428" t="s">
        <v>313</v>
      </c>
      <c r="I428" t="s">
        <v>618</v>
      </c>
      <c r="J428" t="s">
        <v>227</v>
      </c>
      <c r="K428">
        <v>2001</v>
      </c>
      <c r="L428">
        <v>2001</v>
      </c>
      <c r="M428">
        <v>0.72</v>
      </c>
      <c r="N428">
        <v>2.2269999999999999</v>
      </c>
      <c r="R428" t="s">
        <v>84</v>
      </c>
      <c r="S428" t="s">
        <v>2906</v>
      </c>
      <c r="T428" t="b">
        <v>1</v>
      </c>
      <c r="U428" t="s">
        <v>1103</v>
      </c>
      <c r="V428" t="s">
        <v>174</v>
      </c>
      <c r="W428" t="s">
        <v>113</v>
      </c>
      <c r="X428" t="s">
        <v>47</v>
      </c>
      <c r="AA428" t="s">
        <v>2615</v>
      </c>
      <c r="AC428" t="s">
        <v>2616</v>
      </c>
      <c r="AD428" t="b">
        <v>0</v>
      </c>
      <c r="AF428">
        <v>4</v>
      </c>
      <c r="AG428" t="s">
        <v>321</v>
      </c>
    </row>
    <row r="429" spans="1:33" x14ac:dyDescent="0.2">
      <c r="A429">
        <v>945</v>
      </c>
      <c r="B429" t="s">
        <v>2907</v>
      </c>
      <c r="C429" t="s">
        <v>34</v>
      </c>
      <c r="D429" t="s">
        <v>35</v>
      </c>
      <c r="E429" t="s">
        <v>2908</v>
      </c>
      <c r="F429" t="s">
        <v>2909</v>
      </c>
      <c r="G429" t="s">
        <v>53</v>
      </c>
      <c r="H429" t="s">
        <v>54</v>
      </c>
      <c r="I429" t="s">
        <v>147</v>
      </c>
      <c r="J429" t="s">
        <v>148</v>
      </c>
      <c r="K429">
        <v>1998</v>
      </c>
      <c r="L429">
        <v>1998</v>
      </c>
      <c r="M429">
        <v>0.5</v>
      </c>
      <c r="N429">
        <v>1.0660000000000001</v>
      </c>
      <c r="R429" t="s">
        <v>72</v>
      </c>
      <c r="S429" t="s">
        <v>2910</v>
      </c>
      <c r="T429" t="b">
        <v>1</v>
      </c>
      <c r="U429" t="s">
        <v>455</v>
      </c>
      <c r="V429" t="s">
        <v>2911</v>
      </c>
      <c r="W429" t="s">
        <v>2912</v>
      </c>
      <c r="X429" t="s">
        <v>47</v>
      </c>
      <c r="AA429" t="s">
        <v>153</v>
      </c>
      <c r="AC429" t="s">
        <v>154</v>
      </c>
      <c r="AD429" t="b">
        <v>0</v>
      </c>
      <c r="AF429">
        <v>13</v>
      </c>
      <c r="AG429" t="s">
        <v>155</v>
      </c>
    </row>
    <row r="430" spans="1:33" x14ac:dyDescent="0.2">
      <c r="A430">
        <v>1359</v>
      </c>
      <c r="B430" t="s">
        <v>2913</v>
      </c>
      <c r="C430" t="s">
        <v>34</v>
      </c>
      <c r="D430" t="s">
        <v>35</v>
      </c>
      <c r="E430" t="s">
        <v>2914</v>
      </c>
      <c r="F430" t="s">
        <v>2915</v>
      </c>
      <c r="G430" t="s">
        <v>93</v>
      </c>
      <c r="H430" t="s">
        <v>94</v>
      </c>
      <c r="I430" t="s">
        <v>569</v>
      </c>
      <c r="J430" t="s">
        <v>245</v>
      </c>
      <c r="K430">
        <v>2006</v>
      </c>
      <c r="L430">
        <v>2006</v>
      </c>
      <c r="M430">
        <v>0.08</v>
      </c>
      <c r="N430">
        <v>0.22500000000000001</v>
      </c>
      <c r="R430" t="s">
        <v>72</v>
      </c>
      <c r="S430" t="s">
        <v>2916</v>
      </c>
      <c r="T430" t="b">
        <v>1</v>
      </c>
      <c r="U430" t="s">
        <v>2917</v>
      </c>
      <c r="V430" t="s">
        <v>2918</v>
      </c>
      <c r="W430" t="s">
        <v>2919</v>
      </c>
      <c r="X430" t="s">
        <v>47</v>
      </c>
      <c r="AA430" t="s">
        <v>340</v>
      </c>
      <c r="AC430" t="s">
        <v>341</v>
      </c>
      <c r="AD430" t="b">
        <v>0</v>
      </c>
      <c r="AF430">
        <v>8</v>
      </c>
      <c r="AG430" t="s">
        <v>78</v>
      </c>
    </row>
    <row r="431" spans="1:33" x14ac:dyDescent="0.2">
      <c r="A431">
        <v>1835</v>
      </c>
      <c r="B431" t="s">
        <v>2920</v>
      </c>
      <c r="C431" t="s">
        <v>34</v>
      </c>
      <c r="D431" t="s">
        <v>35</v>
      </c>
      <c r="E431" t="s">
        <v>728</v>
      </c>
      <c r="F431" t="s">
        <v>729</v>
      </c>
      <c r="G431" t="s">
        <v>53</v>
      </c>
      <c r="H431" t="s">
        <v>54</v>
      </c>
      <c r="I431" t="s">
        <v>362</v>
      </c>
      <c r="J431" t="s">
        <v>256</v>
      </c>
      <c r="K431">
        <v>2016</v>
      </c>
      <c r="L431">
        <v>2016</v>
      </c>
      <c r="M431">
        <v>1.1299999999999999</v>
      </c>
      <c r="N431">
        <v>3.984</v>
      </c>
      <c r="O431">
        <v>85.7</v>
      </c>
      <c r="P431">
        <v>1.63</v>
      </c>
      <c r="Q431">
        <v>0.193</v>
      </c>
      <c r="R431" t="s">
        <v>72</v>
      </c>
      <c r="S431" t="s">
        <v>2921</v>
      </c>
      <c r="T431" t="b">
        <v>1</v>
      </c>
      <c r="U431" t="s">
        <v>2922</v>
      </c>
      <c r="V431" t="s">
        <v>2923</v>
      </c>
      <c r="W431" t="s">
        <v>2924</v>
      </c>
      <c r="X431" t="s">
        <v>47</v>
      </c>
      <c r="AA431" t="s">
        <v>2925</v>
      </c>
      <c r="AB431" t="s">
        <v>401</v>
      </c>
      <c r="AC431" t="s">
        <v>2926</v>
      </c>
      <c r="AD431" t="b">
        <v>0</v>
      </c>
      <c r="AF431">
        <v>13</v>
      </c>
      <c r="AG431" t="s">
        <v>155</v>
      </c>
    </row>
    <row r="432" spans="1:33" x14ac:dyDescent="0.2">
      <c r="A432">
        <v>847</v>
      </c>
      <c r="B432" t="s">
        <v>2927</v>
      </c>
      <c r="C432" t="s">
        <v>34</v>
      </c>
      <c r="D432" t="s">
        <v>35</v>
      </c>
      <c r="E432" t="s">
        <v>2928</v>
      </c>
      <c r="F432" t="s">
        <v>2929</v>
      </c>
      <c r="G432" t="s">
        <v>503</v>
      </c>
      <c r="H432" t="s">
        <v>462</v>
      </c>
      <c r="I432" t="s">
        <v>2930</v>
      </c>
      <c r="J432" t="s">
        <v>676</v>
      </c>
      <c r="K432">
        <v>2006</v>
      </c>
      <c r="L432">
        <v>2006</v>
      </c>
      <c r="M432">
        <v>25.32</v>
      </c>
      <c r="N432">
        <v>59.761000000000003</v>
      </c>
      <c r="O432">
        <v>389</v>
      </c>
      <c r="P432">
        <v>7.5</v>
      </c>
      <c r="Q432">
        <v>0.93799999999999994</v>
      </c>
      <c r="R432" t="s">
        <v>84</v>
      </c>
      <c r="S432" t="s">
        <v>2931</v>
      </c>
      <c r="T432" t="b">
        <v>1</v>
      </c>
      <c r="U432" t="s">
        <v>2932</v>
      </c>
      <c r="V432" t="s">
        <v>2933</v>
      </c>
      <c r="W432" t="s">
        <v>2934</v>
      </c>
      <c r="X432" t="s">
        <v>47</v>
      </c>
      <c r="AA432" t="s">
        <v>583</v>
      </c>
      <c r="AB432" t="s">
        <v>266</v>
      </c>
      <c r="AC432" t="s">
        <v>585</v>
      </c>
      <c r="AD432" t="b">
        <v>0</v>
      </c>
      <c r="AF432">
        <v>3</v>
      </c>
      <c r="AG432" t="s">
        <v>332</v>
      </c>
    </row>
    <row r="433" spans="1:33" x14ac:dyDescent="0.2">
      <c r="A433">
        <v>1479</v>
      </c>
      <c r="B433" t="s">
        <v>2935</v>
      </c>
      <c r="C433" t="s">
        <v>34</v>
      </c>
      <c r="D433" t="s">
        <v>35</v>
      </c>
      <c r="E433" t="s">
        <v>1320</v>
      </c>
      <c r="F433" t="s">
        <v>1321</v>
      </c>
      <c r="G433" t="s">
        <v>242</v>
      </c>
      <c r="H433" t="s">
        <v>243</v>
      </c>
      <c r="I433" t="s">
        <v>963</v>
      </c>
      <c r="J433" t="s">
        <v>964</v>
      </c>
      <c r="K433">
        <v>2009</v>
      </c>
      <c r="L433">
        <v>2009</v>
      </c>
      <c r="M433">
        <v>1.49</v>
      </c>
      <c r="N433">
        <v>3.4060000000000001</v>
      </c>
      <c r="O433">
        <v>223</v>
      </c>
      <c r="P433">
        <v>0.8</v>
      </c>
      <c r="Q433">
        <v>0.51700000000000002</v>
      </c>
      <c r="R433" t="s">
        <v>72</v>
      </c>
      <c r="S433" t="s">
        <v>2936</v>
      </c>
      <c r="T433" t="b">
        <v>1</v>
      </c>
      <c r="U433" t="s">
        <v>2937</v>
      </c>
      <c r="V433" t="s">
        <v>1324</v>
      </c>
      <c r="W433" t="s">
        <v>2938</v>
      </c>
      <c r="X433" t="s">
        <v>47</v>
      </c>
      <c r="AA433" t="s">
        <v>969</v>
      </c>
      <c r="AB433" t="s">
        <v>56</v>
      </c>
      <c r="AC433" t="s">
        <v>970</v>
      </c>
      <c r="AD433" t="b">
        <v>0</v>
      </c>
      <c r="AF433">
        <v>8</v>
      </c>
      <c r="AG433" t="s">
        <v>78</v>
      </c>
    </row>
    <row r="434" spans="1:33" x14ac:dyDescent="0.2">
      <c r="A434">
        <v>1669</v>
      </c>
      <c r="B434" t="s">
        <v>2939</v>
      </c>
      <c r="C434" t="s">
        <v>34</v>
      </c>
      <c r="D434" t="s">
        <v>35</v>
      </c>
      <c r="E434" t="s">
        <v>961</v>
      </c>
      <c r="F434" t="s">
        <v>962</v>
      </c>
      <c r="G434" t="s">
        <v>242</v>
      </c>
      <c r="H434" t="s">
        <v>243</v>
      </c>
      <c r="I434" t="s">
        <v>2193</v>
      </c>
      <c r="J434" t="s">
        <v>378</v>
      </c>
      <c r="K434">
        <v>2012</v>
      </c>
      <c r="L434">
        <v>2012</v>
      </c>
      <c r="M434">
        <v>1.3</v>
      </c>
      <c r="N434">
        <v>4.843</v>
      </c>
      <c r="O434">
        <v>53</v>
      </c>
      <c r="P434">
        <v>2.5</v>
      </c>
      <c r="Q434">
        <v>0.14399999999999999</v>
      </c>
      <c r="R434" t="s">
        <v>72</v>
      </c>
      <c r="S434" t="s">
        <v>2940</v>
      </c>
      <c r="T434" t="b">
        <v>1</v>
      </c>
      <c r="U434" t="s">
        <v>2941</v>
      </c>
      <c r="V434" t="s">
        <v>967</v>
      </c>
      <c r="W434" t="s">
        <v>2942</v>
      </c>
      <c r="X434" t="s">
        <v>47</v>
      </c>
      <c r="AA434" t="s">
        <v>2943</v>
      </c>
      <c r="AB434" t="s">
        <v>177</v>
      </c>
      <c r="AC434" t="s">
        <v>2944</v>
      </c>
      <c r="AD434" t="b">
        <v>0</v>
      </c>
      <c r="AF434">
        <v>8</v>
      </c>
      <c r="AG434" t="s">
        <v>78</v>
      </c>
    </row>
    <row r="435" spans="1:33" x14ac:dyDescent="0.2">
      <c r="A435">
        <v>1635</v>
      </c>
      <c r="B435" t="s">
        <v>2945</v>
      </c>
      <c r="C435" t="s">
        <v>34</v>
      </c>
      <c r="D435" t="s">
        <v>35</v>
      </c>
      <c r="E435" t="s">
        <v>2946</v>
      </c>
      <c r="F435" t="s">
        <v>2947</v>
      </c>
      <c r="G435" t="s">
        <v>213</v>
      </c>
      <c r="H435" t="s">
        <v>83</v>
      </c>
      <c r="I435" t="s">
        <v>635</v>
      </c>
      <c r="J435" t="s">
        <v>94</v>
      </c>
      <c r="K435">
        <v>2006</v>
      </c>
      <c r="L435">
        <v>2006</v>
      </c>
      <c r="M435">
        <v>0.95599999999999996</v>
      </c>
      <c r="N435">
        <v>3.7749999999999999</v>
      </c>
      <c r="O435">
        <v>339</v>
      </c>
      <c r="P435">
        <v>0.35</v>
      </c>
      <c r="Q435">
        <v>0.75900000000000001</v>
      </c>
      <c r="R435" t="s">
        <v>84</v>
      </c>
      <c r="S435" t="s">
        <v>2948</v>
      </c>
      <c r="T435" t="b">
        <v>1</v>
      </c>
      <c r="U435" t="s">
        <v>2949</v>
      </c>
      <c r="V435" t="s">
        <v>2950</v>
      </c>
      <c r="W435" t="s">
        <v>2951</v>
      </c>
      <c r="X435" t="s">
        <v>47</v>
      </c>
      <c r="AA435" t="s">
        <v>2952</v>
      </c>
      <c r="AC435" t="s">
        <v>63</v>
      </c>
      <c r="AD435" t="b">
        <v>0</v>
      </c>
      <c r="AF435">
        <v>3</v>
      </c>
      <c r="AG435" t="s">
        <v>332</v>
      </c>
    </row>
    <row r="436" spans="1:33" x14ac:dyDescent="0.2">
      <c r="A436">
        <v>1920</v>
      </c>
      <c r="B436" t="s">
        <v>2953</v>
      </c>
      <c r="C436" t="s">
        <v>34</v>
      </c>
      <c r="D436" t="s">
        <v>35</v>
      </c>
      <c r="E436" t="s">
        <v>2946</v>
      </c>
      <c r="F436" t="s">
        <v>2947</v>
      </c>
      <c r="G436" t="s">
        <v>213</v>
      </c>
      <c r="H436" t="s">
        <v>83</v>
      </c>
      <c r="I436" t="s">
        <v>635</v>
      </c>
      <c r="J436" t="s">
        <v>94</v>
      </c>
      <c r="K436">
        <v>2018</v>
      </c>
      <c r="L436">
        <v>2018</v>
      </c>
      <c r="M436">
        <v>0.5</v>
      </c>
      <c r="N436">
        <v>2.573</v>
      </c>
      <c r="O436">
        <v>182.5</v>
      </c>
      <c r="P436">
        <v>0.32</v>
      </c>
      <c r="Q436">
        <v>0.434</v>
      </c>
      <c r="R436" t="s">
        <v>84</v>
      </c>
      <c r="S436" t="s">
        <v>2954</v>
      </c>
      <c r="T436" t="b">
        <v>1</v>
      </c>
      <c r="U436" t="s">
        <v>2955</v>
      </c>
      <c r="V436" t="s">
        <v>2950</v>
      </c>
      <c r="W436" t="s">
        <v>2956</v>
      </c>
      <c r="X436" t="s">
        <v>47</v>
      </c>
      <c r="AA436" t="s">
        <v>2952</v>
      </c>
      <c r="AC436" t="s">
        <v>63</v>
      </c>
      <c r="AD436" t="b">
        <v>0</v>
      </c>
      <c r="AF436">
        <v>3</v>
      </c>
      <c r="AG436" t="s">
        <v>332</v>
      </c>
    </row>
    <row r="437" spans="1:33" x14ac:dyDescent="0.2">
      <c r="A437">
        <v>1859</v>
      </c>
      <c r="B437" t="s">
        <v>2957</v>
      </c>
      <c r="C437" t="s">
        <v>34</v>
      </c>
      <c r="D437" t="s">
        <v>35</v>
      </c>
      <c r="E437" t="s">
        <v>2958</v>
      </c>
      <c r="F437" t="s">
        <v>2959</v>
      </c>
      <c r="G437" t="s">
        <v>224</v>
      </c>
      <c r="H437" t="s">
        <v>225</v>
      </c>
      <c r="I437" t="s">
        <v>2960</v>
      </c>
      <c r="J437" t="s">
        <v>612</v>
      </c>
      <c r="K437">
        <v>1907</v>
      </c>
      <c r="L437">
        <v>1907</v>
      </c>
      <c r="M437">
        <v>0.86</v>
      </c>
      <c r="N437">
        <v>3.6419999999999999</v>
      </c>
      <c r="O437">
        <v>64</v>
      </c>
      <c r="P437">
        <v>1.48</v>
      </c>
      <c r="Q437">
        <v>0.161</v>
      </c>
      <c r="R437" t="s">
        <v>97</v>
      </c>
      <c r="S437" t="s">
        <v>2961</v>
      </c>
      <c r="T437" t="b">
        <v>1</v>
      </c>
      <c r="U437" t="s">
        <v>2962</v>
      </c>
      <c r="V437" t="s">
        <v>2963</v>
      </c>
      <c r="W437" t="s">
        <v>113</v>
      </c>
      <c r="X437" t="s">
        <v>47</v>
      </c>
      <c r="AA437" t="s">
        <v>2964</v>
      </c>
      <c r="AC437" t="s">
        <v>2965</v>
      </c>
      <c r="AD437" t="b">
        <v>0</v>
      </c>
      <c r="AF437">
        <v>1</v>
      </c>
      <c r="AG437" t="s">
        <v>104</v>
      </c>
    </row>
    <row r="438" spans="1:33" x14ac:dyDescent="0.2">
      <c r="A438">
        <v>1945</v>
      </c>
      <c r="B438" t="s">
        <v>2966</v>
      </c>
      <c r="C438" t="s">
        <v>34</v>
      </c>
      <c r="D438" t="s">
        <v>35</v>
      </c>
      <c r="E438" t="s">
        <v>1492</v>
      </c>
      <c r="F438" t="s">
        <v>1493</v>
      </c>
      <c r="G438" t="s">
        <v>134</v>
      </c>
      <c r="H438" t="s">
        <v>135</v>
      </c>
      <c r="I438" t="s">
        <v>2967</v>
      </c>
      <c r="J438" t="s">
        <v>83</v>
      </c>
      <c r="K438">
        <v>2018</v>
      </c>
      <c r="L438">
        <v>2018</v>
      </c>
      <c r="M438">
        <v>6.35</v>
      </c>
      <c r="N438">
        <v>21.738</v>
      </c>
      <c r="O438">
        <v>165.2</v>
      </c>
      <c r="P438">
        <v>4.5</v>
      </c>
      <c r="Q438">
        <v>0.39200000000000002</v>
      </c>
      <c r="R438" t="s">
        <v>42</v>
      </c>
      <c r="S438" t="s">
        <v>2968</v>
      </c>
      <c r="T438" t="b">
        <v>1</v>
      </c>
      <c r="U438" t="s">
        <v>2969</v>
      </c>
      <c r="V438" t="s">
        <v>1496</v>
      </c>
      <c r="W438" t="s">
        <v>2970</v>
      </c>
      <c r="X438" t="s">
        <v>47</v>
      </c>
      <c r="AA438" t="s">
        <v>2971</v>
      </c>
      <c r="AB438" t="s">
        <v>83</v>
      </c>
      <c r="AC438" t="s">
        <v>2972</v>
      </c>
      <c r="AD438" t="b">
        <v>0</v>
      </c>
      <c r="AF438">
        <v>10</v>
      </c>
      <c r="AG438" t="s">
        <v>143</v>
      </c>
    </row>
    <row r="439" spans="1:33" x14ac:dyDescent="0.2">
      <c r="A439">
        <v>830</v>
      </c>
      <c r="B439" t="s">
        <v>2973</v>
      </c>
      <c r="C439" t="s">
        <v>34</v>
      </c>
      <c r="D439" t="s">
        <v>35</v>
      </c>
      <c r="E439" t="s">
        <v>168</v>
      </c>
      <c r="F439" t="s">
        <v>169</v>
      </c>
      <c r="G439" t="s">
        <v>93</v>
      </c>
      <c r="H439" t="s">
        <v>94</v>
      </c>
      <c r="I439" t="s">
        <v>2974</v>
      </c>
      <c r="J439" t="s">
        <v>731</v>
      </c>
      <c r="K439">
        <v>2005</v>
      </c>
      <c r="L439">
        <v>2005</v>
      </c>
      <c r="M439">
        <v>1.125</v>
      </c>
      <c r="N439">
        <v>3.6920000000000002</v>
      </c>
      <c r="O439">
        <v>52</v>
      </c>
      <c r="P439">
        <v>2.8</v>
      </c>
      <c r="Q439">
        <v>0.111</v>
      </c>
      <c r="R439" t="s">
        <v>97</v>
      </c>
      <c r="S439" t="s">
        <v>2975</v>
      </c>
      <c r="T439" t="b">
        <v>1</v>
      </c>
      <c r="U439" t="s">
        <v>2976</v>
      </c>
      <c r="V439" t="s">
        <v>174</v>
      </c>
      <c r="W439" t="s">
        <v>2977</v>
      </c>
      <c r="X439" t="s">
        <v>47</v>
      </c>
      <c r="AA439" t="s">
        <v>102</v>
      </c>
      <c r="AB439" t="s">
        <v>973</v>
      </c>
      <c r="AC439" t="s">
        <v>103</v>
      </c>
      <c r="AD439" t="b">
        <v>0</v>
      </c>
      <c r="AF439">
        <v>1</v>
      </c>
      <c r="AG439" t="s">
        <v>104</v>
      </c>
    </row>
    <row r="440" spans="1:33" x14ac:dyDescent="0.2">
      <c r="A440">
        <v>1867</v>
      </c>
      <c r="B440" t="s">
        <v>2978</v>
      </c>
      <c r="C440" t="s">
        <v>34</v>
      </c>
      <c r="D440" t="s">
        <v>35</v>
      </c>
      <c r="E440" t="s">
        <v>2979</v>
      </c>
      <c r="F440" t="s">
        <v>2980</v>
      </c>
      <c r="G440" t="s">
        <v>68</v>
      </c>
      <c r="H440" t="s">
        <v>69</v>
      </c>
      <c r="I440" t="s">
        <v>453</v>
      </c>
      <c r="J440" t="s">
        <v>192</v>
      </c>
      <c r="K440">
        <v>2016</v>
      </c>
      <c r="L440">
        <v>2016</v>
      </c>
      <c r="M440">
        <v>5.9</v>
      </c>
      <c r="N440">
        <v>10.17</v>
      </c>
      <c r="O440">
        <v>570.5</v>
      </c>
      <c r="P440">
        <v>1.19</v>
      </c>
      <c r="Q440">
        <v>1.377</v>
      </c>
      <c r="R440" t="s">
        <v>72</v>
      </c>
      <c r="S440" t="s">
        <v>2981</v>
      </c>
      <c r="T440" t="b">
        <v>1</v>
      </c>
      <c r="U440" t="s">
        <v>2982</v>
      </c>
      <c r="V440" t="s">
        <v>2983</v>
      </c>
      <c r="W440" t="s">
        <v>2984</v>
      </c>
      <c r="X440" t="s">
        <v>47</v>
      </c>
      <c r="AA440" t="s">
        <v>114</v>
      </c>
      <c r="AB440" t="s">
        <v>49</v>
      </c>
      <c r="AC440" t="s">
        <v>2985</v>
      </c>
      <c r="AD440" t="b">
        <v>0</v>
      </c>
      <c r="AF440">
        <v>8</v>
      </c>
      <c r="AG440" t="s">
        <v>78</v>
      </c>
    </row>
    <row r="441" spans="1:33" x14ac:dyDescent="0.2">
      <c r="A441">
        <v>1248</v>
      </c>
      <c r="B441" t="s">
        <v>2986</v>
      </c>
      <c r="C441" t="s">
        <v>34</v>
      </c>
      <c r="D441" t="s">
        <v>35</v>
      </c>
      <c r="E441" t="s">
        <v>2987</v>
      </c>
      <c r="F441" t="s">
        <v>2988</v>
      </c>
      <c r="G441" t="s">
        <v>53</v>
      </c>
      <c r="H441" t="s">
        <v>54</v>
      </c>
      <c r="I441" t="s">
        <v>675</v>
      </c>
      <c r="J441" t="s">
        <v>676</v>
      </c>
      <c r="K441">
        <v>2006</v>
      </c>
      <c r="L441">
        <v>2006</v>
      </c>
      <c r="M441">
        <v>3.5</v>
      </c>
      <c r="N441">
        <v>13.339</v>
      </c>
      <c r="O441">
        <v>350</v>
      </c>
      <c r="P441">
        <v>1.39</v>
      </c>
      <c r="Q441">
        <v>0.69899999999999995</v>
      </c>
      <c r="R441" t="s">
        <v>57</v>
      </c>
      <c r="S441" t="s">
        <v>2989</v>
      </c>
      <c r="T441" t="b">
        <v>1</v>
      </c>
      <c r="U441" t="s">
        <v>2990</v>
      </c>
      <c r="V441" t="s">
        <v>2991</v>
      </c>
      <c r="W441" t="s">
        <v>2992</v>
      </c>
      <c r="X441" t="s">
        <v>47</v>
      </c>
      <c r="AA441" t="s">
        <v>2993</v>
      </c>
      <c r="AB441" t="s">
        <v>49</v>
      </c>
      <c r="AC441" t="s">
        <v>2994</v>
      </c>
      <c r="AD441" t="b">
        <v>0</v>
      </c>
      <c r="AF441">
        <v>6</v>
      </c>
      <c r="AG441" t="s">
        <v>64</v>
      </c>
    </row>
    <row r="442" spans="1:33" x14ac:dyDescent="0.2">
      <c r="A442">
        <v>116</v>
      </c>
      <c r="B442" t="s">
        <v>2995</v>
      </c>
      <c r="C442" t="s">
        <v>34</v>
      </c>
      <c r="D442" t="s">
        <v>35</v>
      </c>
      <c r="E442" t="s">
        <v>36</v>
      </c>
      <c r="F442" t="s">
        <v>37</v>
      </c>
      <c r="G442" t="s">
        <v>68</v>
      </c>
      <c r="H442" t="s">
        <v>69</v>
      </c>
      <c r="I442" t="s">
        <v>445</v>
      </c>
      <c r="J442" t="s">
        <v>203</v>
      </c>
      <c r="K442">
        <v>1975</v>
      </c>
      <c r="L442">
        <v>1975</v>
      </c>
      <c r="M442">
        <v>143.5</v>
      </c>
      <c r="N442">
        <v>518.11699999999996</v>
      </c>
      <c r="O442">
        <v>953.4</v>
      </c>
      <c r="P442">
        <v>17.7</v>
      </c>
      <c r="Q442">
        <v>2.2519999999999998</v>
      </c>
      <c r="R442" t="s">
        <v>72</v>
      </c>
      <c r="S442" t="s">
        <v>2996</v>
      </c>
      <c r="T442" t="b">
        <v>1</v>
      </c>
      <c r="U442" t="s">
        <v>2997</v>
      </c>
      <c r="V442" t="s">
        <v>2998</v>
      </c>
      <c r="W442" t="s">
        <v>2999</v>
      </c>
      <c r="X442" t="s">
        <v>47</v>
      </c>
      <c r="AA442" t="s">
        <v>445</v>
      </c>
      <c r="AB442" t="s">
        <v>83</v>
      </c>
      <c r="AC442" t="s">
        <v>3000</v>
      </c>
      <c r="AD442" t="b">
        <v>0</v>
      </c>
      <c r="AF442">
        <v>8</v>
      </c>
      <c r="AG442" t="s">
        <v>78</v>
      </c>
    </row>
    <row r="443" spans="1:33" x14ac:dyDescent="0.2">
      <c r="A443">
        <v>907</v>
      </c>
      <c r="B443" t="s">
        <v>2995</v>
      </c>
      <c r="C443" t="s">
        <v>34</v>
      </c>
      <c r="D443" t="s">
        <v>35</v>
      </c>
      <c r="E443" t="s">
        <v>3001</v>
      </c>
      <c r="F443" t="s">
        <v>3002</v>
      </c>
      <c r="G443" t="s">
        <v>53</v>
      </c>
      <c r="H443" t="s">
        <v>54</v>
      </c>
      <c r="I443" t="s">
        <v>362</v>
      </c>
      <c r="J443" t="s">
        <v>256</v>
      </c>
      <c r="K443">
        <v>2000</v>
      </c>
      <c r="L443">
        <v>2000</v>
      </c>
      <c r="M443">
        <v>7.0000000000000007E-2</v>
      </c>
      <c r="N443">
        <v>7.8E-2</v>
      </c>
      <c r="R443" t="s">
        <v>72</v>
      </c>
      <c r="S443" t="s">
        <v>3003</v>
      </c>
      <c r="T443" t="b">
        <v>1</v>
      </c>
      <c r="U443" t="s">
        <v>754</v>
      </c>
      <c r="V443" t="s">
        <v>3004</v>
      </c>
      <c r="W443" t="s">
        <v>3005</v>
      </c>
      <c r="X443" t="s">
        <v>47</v>
      </c>
      <c r="AA443" t="s">
        <v>114</v>
      </c>
      <c r="AC443" t="s">
        <v>63</v>
      </c>
      <c r="AD443" t="b">
        <v>0</v>
      </c>
      <c r="AF443">
        <v>13</v>
      </c>
      <c r="AG443" t="s">
        <v>155</v>
      </c>
    </row>
    <row r="444" spans="1:33" x14ac:dyDescent="0.2">
      <c r="A444">
        <v>117</v>
      </c>
      <c r="B444" t="s">
        <v>3006</v>
      </c>
      <c r="C444" t="s">
        <v>34</v>
      </c>
      <c r="D444" t="s">
        <v>35</v>
      </c>
      <c r="E444" t="s">
        <v>132</v>
      </c>
      <c r="F444" t="s">
        <v>133</v>
      </c>
      <c r="G444" t="s">
        <v>134</v>
      </c>
      <c r="H444" t="s">
        <v>135</v>
      </c>
      <c r="I444" t="s">
        <v>136</v>
      </c>
      <c r="J444" t="s">
        <v>41</v>
      </c>
      <c r="K444">
        <v>1963</v>
      </c>
      <c r="L444">
        <v>2023</v>
      </c>
      <c r="M444">
        <v>60.2</v>
      </c>
      <c r="N444">
        <v>240.30799999999999</v>
      </c>
      <c r="O444">
        <v>198</v>
      </c>
      <c r="P444">
        <v>37</v>
      </c>
      <c r="Q444">
        <v>0.45200000000000001</v>
      </c>
      <c r="R444" t="s">
        <v>42</v>
      </c>
      <c r="S444" t="s">
        <v>3007</v>
      </c>
      <c r="T444" t="b">
        <v>1</v>
      </c>
      <c r="U444" t="s">
        <v>3008</v>
      </c>
      <c r="V444" t="s">
        <v>139</v>
      </c>
      <c r="W444" t="s">
        <v>3009</v>
      </c>
      <c r="X444" t="s">
        <v>47</v>
      </c>
      <c r="AA444" t="s">
        <v>2943</v>
      </c>
      <c r="AB444" t="s">
        <v>49</v>
      </c>
      <c r="AC444" t="s">
        <v>3010</v>
      </c>
      <c r="AD444" t="b">
        <v>0</v>
      </c>
      <c r="AF444">
        <v>10</v>
      </c>
      <c r="AG444" t="s">
        <v>143</v>
      </c>
    </row>
    <row r="445" spans="1:33" x14ac:dyDescent="0.2">
      <c r="A445">
        <v>1458</v>
      </c>
      <c r="B445" t="s">
        <v>3011</v>
      </c>
      <c r="C445" t="s">
        <v>34</v>
      </c>
      <c r="D445" t="s">
        <v>35</v>
      </c>
      <c r="E445" t="s">
        <v>3012</v>
      </c>
      <c r="F445" t="s">
        <v>3013</v>
      </c>
      <c r="G445" t="s">
        <v>134</v>
      </c>
      <c r="H445" t="s">
        <v>135</v>
      </c>
      <c r="I445" t="s">
        <v>136</v>
      </c>
      <c r="J445" t="s">
        <v>41</v>
      </c>
      <c r="K445">
        <v>2008</v>
      </c>
      <c r="L445">
        <v>2008</v>
      </c>
      <c r="M445">
        <v>1.3</v>
      </c>
      <c r="N445">
        <v>8.0329999999999995</v>
      </c>
      <c r="O445">
        <v>189.3</v>
      </c>
      <c r="P445">
        <v>0.92500000000000004</v>
      </c>
      <c r="Q445">
        <v>0.39</v>
      </c>
      <c r="R445" t="s">
        <v>42</v>
      </c>
      <c r="S445" t="s">
        <v>3014</v>
      </c>
      <c r="T445" t="b">
        <v>1</v>
      </c>
      <c r="U445" t="s">
        <v>74</v>
      </c>
      <c r="V445" t="s">
        <v>3015</v>
      </c>
      <c r="W445" t="s">
        <v>3016</v>
      </c>
      <c r="X445" t="s">
        <v>47</v>
      </c>
      <c r="AA445" t="s">
        <v>2943</v>
      </c>
      <c r="AB445" t="s">
        <v>177</v>
      </c>
      <c r="AC445" t="s">
        <v>3010</v>
      </c>
      <c r="AD445" t="b">
        <v>0</v>
      </c>
      <c r="AF445">
        <v>10</v>
      </c>
      <c r="AG445" t="s">
        <v>143</v>
      </c>
    </row>
    <row r="446" spans="1:33" x14ac:dyDescent="0.2">
      <c r="A446">
        <v>1704</v>
      </c>
      <c r="B446" t="s">
        <v>3017</v>
      </c>
      <c r="C446" t="s">
        <v>34</v>
      </c>
      <c r="D446" t="s">
        <v>35</v>
      </c>
      <c r="E446" t="s">
        <v>91</v>
      </c>
      <c r="F446" t="s">
        <v>92</v>
      </c>
      <c r="G446" t="s">
        <v>503</v>
      </c>
      <c r="H446" t="s">
        <v>462</v>
      </c>
      <c r="I446" t="s">
        <v>564</v>
      </c>
      <c r="J446" t="s">
        <v>515</v>
      </c>
      <c r="K446">
        <v>2012</v>
      </c>
      <c r="L446">
        <v>2012</v>
      </c>
      <c r="M446">
        <v>0.85599999999999998</v>
      </c>
      <c r="N446">
        <v>3.0369999999999999</v>
      </c>
      <c r="O446">
        <v>117.42</v>
      </c>
      <c r="P446">
        <v>0.87</v>
      </c>
      <c r="Q446">
        <v>0.27300000000000002</v>
      </c>
      <c r="R446" t="s">
        <v>84</v>
      </c>
      <c r="S446" t="s">
        <v>3018</v>
      </c>
      <c r="T446" t="b">
        <v>1</v>
      </c>
      <c r="U446" t="s">
        <v>3019</v>
      </c>
      <c r="V446" t="s">
        <v>100</v>
      </c>
      <c r="W446" t="s">
        <v>3020</v>
      </c>
      <c r="X446" t="s">
        <v>47</v>
      </c>
      <c r="AA446" t="s">
        <v>509</v>
      </c>
      <c r="AC446" t="s">
        <v>510</v>
      </c>
      <c r="AD446" t="b">
        <v>0</v>
      </c>
      <c r="AF446">
        <v>3</v>
      </c>
      <c r="AG446" t="s">
        <v>332</v>
      </c>
    </row>
    <row r="447" spans="1:33" x14ac:dyDescent="0.2">
      <c r="A447">
        <v>1707</v>
      </c>
      <c r="B447" t="s">
        <v>3021</v>
      </c>
      <c r="C447" t="s">
        <v>34</v>
      </c>
      <c r="D447" t="s">
        <v>35</v>
      </c>
      <c r="E447" t="s">
        <v>3022</v>
      </c>
      <c r="F447" t="s">
        <v>3023</v>
      </c>
      <c r="G447" t="s">
        <v>312</v>
      </c>
      <c r="H447" t="s">
        <v>313</v>
      </c>
      <c r="I447" t="s">
        <v>3024</v>
      </c>
      <c r="J447" t="s">
        <v>262</v>
      </c>
      <c r="K447">
        <v>2017</v>
      </c>
      <c r="L447">
        <v>2017</v>
      </c>
      <c r="M447">
        <v>1.2E-2</v>
      </c>
      <c r="N447">
        <v>7.4999999999999997E-2</v>
      </c>
      <c r="O447">
        <v>35</v>
      </c>
      <c r="P447">
        <v>5.5E-2</v>
      </c>
      <c r="Q447">
        <v>6.0999999999999999E-2</v>
      </c>
      <c r="R447" t="s">
        <v>84</v>
      </c>
      <c r="S447" t="s">
        <v>3025</v>
      </c>
      <c r="T447" t="b">
        <v>1</v>
      </c>
      <c r="U447" t="s">
        <v>3026</v>
      </c>
      <c r="V447" t="s">
        <v>3027</v>
      </c>
      <c r="W447" t="s">
        <v>3028</v>
      </c>
      <c r="X447" t="s">
        <v>47</v>
      </c>
      <c r="AA447" t="s">
        <v>3029</v>
      </c>
      <c r="AC447" t="s">
        <v>3030</v>
      </c>
      <c r="AD447" t="b">
        <v>0</v>
      </c>
      <c r="AF447">
        <v>4</v>
      </c>
      <c r="AG447" t="s">
        <v>321</v>
      </c>
    </row>
    <row r="448" spans="1:33" x14ac:dyDescent="0.2">
      <c r="A448">
        <v>767</v>
      </c>
      <c r="B448" t="s">
        <v>3031</v>
      </c>
      <c r="C448" t="s">
        <v>34</v>
      </c>
      <c r="D448" t="s">
        <v>35</v>
      </c>
      <c r="E448" t="s">
        <v>3032</v>
      </c>
      <c r="F448" t="s">
        <v>3033</v>
      </c>
      <c r="G448" t="s">
        <v>68</v>
      </c>
      <c r="H448" t="s">
        <v>69</v>
      </c>
      <c r="I448" t="s">
        <v>265</v>
      </c>
      <c r="J448" t="s">
        <v>266</v>
      </c>
      <c r="K448">
        <v>1999</v>
      </c>
      <c r="L448">
        <v>1999</v>
      </c>
      <c r="M448">
        <v>34.700000000000003</v>
      </c>
      <c r="N448">
        <v>78.798000000000002</v>
      </c>
      <c r="O448">
        <v>353</v>
      </c>
      <c r="P448">
        <v>11.5</v>
      </c>
      <c r="Q448">
        <v>0.83799999999999997</v>
      </c>
      <c r="R448" t="s">
        <v>72</v>
      </c>
      <c r="S448" t="s">
        <v>3034</v>
      </c>
      <c r="T448" t="b">
        <v>1</v>
      </c>
      <c r="U448" t="s">
        <v>3035</v>
      </c>
      <c r="V448" t="s">
        <v>3036</v>
      </c>
      <c r="W448" t="s">
        <v>3037</v>
      </c>
      <c r="X448" t="s">
        <v>47</v>
      </c>
      <c r="AA448" t="s">
        <v>1638</v>
      </c>
      <c r="AB448" t="s">
        <v>49</v>
      </c>
      <c r="AC448" t="s">
        <v>1645</v>
      </c>
      <c r="AD448" t="b">
        <v>0</v>
      </c>
      <c r="AF448">
        <v>8</v>
      </c>
      <c r="AG448" t="s">
        <v>78</v>
      </c>
    </row>
    <row r="449" spans="1:33" x14ac:dyDescent="0.2">
      <c r="A449">
        <v>1052</v>
      </c>
      <c r="B449" t="s">
        <v>3038</v>
      </c>
      <c r="C449" t="s">
        <v>34</v>
      </c>
      <c r="D449" t="s">
        <v>35</v>
      </c>
      <c r="G449" t="s">
        <v>213</v>
      </c>
      <c r="H449" t="s">
        <v>83</v>
      </c>
      <c r="I449" t="s">
        <v>711</v>
      </c>
      <c r="J449" t="s">
        <v>515</v>
      </c>
      <c r="K449">
        <v>2001</v>
      </c>
      <c r="L449">
        <v>2001</v>
      </c>
      <c r="M449">
        <v>1.4999999999999999E-2</v>
      </c>
      <c r="N449">
        <v>6.3E-2</v>
      </c>
      <c r="O449">
        <v>110</v>
      </c>
      <c r="R449" t="s">
        <v>84</v>
      </c>
      <c r="S449" t="s">
        <v>3039</v>
      </c>
      <c r="T449" t="b">
        <v>1</v>
      </c>
      <c r="U449" t="s">
        <v>1103</v>
      </c>
      <c r="V449" t="s">
        <v>3040</v>
      </c>
      <c r="W449" t="s">
        <v>3041</v>
      </c>
      <c r="X449" t="s">
        <v>47</v>
      </c>
      <c r="AA449" t="s">
        <v>114</v>
      </c>
      <c r="AC449" t="s">
        <v>63</v>
      </c>
      <c r="AD449" t="b">
        <v>0</v>
      </c>
      <c r="AF449">
        <v>4</v>
      </c>
      <c r="AG449" t="s">
        <v>321</v>
      </c>
    </row>
    <row r="450" spans="1:33" x14ac:dyDescent="0.2">
      <c r="A450">
        <v>118</v>
      </c>
      <c r="B450" t="s">
        <v>3042</v>
      </c>
      <c r="C450" t="s">
        <v>34</v>
      </c>
      <c r="D450" t="s">
        <v>35</v>
      </c>
      <c r="E450" t="s">
        <v>1647</v>
      </c>
      <c r="F450" t="s">
        <v>1648</v>
      </c>
      <c r="G450" t="s">
        <v>213</v>
      </c>
      <c r="H450" t="s">
        <v>83</v>
      </c>
      <c r="I450" t="s">
        <v>1786</v>
      </c>
      <c r="J450" t="s">
        <v>49</v>
      </c>
      <c r="K450">
        <v>1939</v>
      </c>
      <c r="L450">
        <v>1939</v>
      </c>
      <c r="M450">
        <v>3.08</v>
      </c>
      <c r="N450">
        <v>18.052</v>
      </c>
      <c r="O450">
        <v>62</v>
      </c>
      <c r="P450">
        <v>6.5</v>
      </c>
      <c r="Q450">
        <v>0.14099999999999999</v>
      </c>
      <c r="R450" t="s">
        <v>84</v>
      </c>
      <c r="S450" t="s">
        <v>3043</v>
      </c>
      <c r="T450" t="b">
        <v>1</v>
      </c>
      <c r="U450" t="s">
        <v>3044</v>
      </c>
      <c r="V450" t="s">
        <v>1651</v>
      </c>
      <c r="W450" t="s">
        <v>3045</v>
      </c>
      <c r="X450" t="s">
        <v>47</v>
      </c>
      <c r="AA450" t="s">
        <v>3046</v>
      </c>
      <c r="AB450" t="s">
        <v>49</v>
      </c>
      <c r="AC450" t="s">
        <v>3047</v>
      </c>
      <c r="AD450" t="b">
        <v>0</v>
      </c>
      <c r="AF450">
        <v>4</v>
      </c>
      <c r="AG450" t="s">
        <v>321</v>
      </c>
    </row>
    <row r="451" spans="1:33" x14ac:dyDescent="0.2">
      <c r="A451">
        <v>1055</v>
      </c>
      <c r="B451" t="s">
        <v>3048</v>
      </c>
      <c r="C451" t="s">
        <v>34</v>
      </c>
      <c r="D451" t="s">
        <v>35</v>
      </c>
      <c r="E451" t="s">
        <v>3049</v>
      </c>
      <c r="F451" t="s">
        <v>3050</v>
      </c>
      <c r="G451" t="s">
        <v>213</v>
      </c>
      <c r="H451" t="s">
        <v>83</v>
      </c>
      <c r="I451" t="s">
        <v>1672</v>
      </c>
      <c r="J451" t="s">
        <v>231</v>
      </c>
      <c r="K451">
        <v>1999</v>
      </c>
      <c r="L451">
        <v>1999</v>
      </c>
      <c r="M451">
        <v>2.1999999999999999E-2</v>
      </c>
      <c r="N451">
        <v>1.0999999999999999E-2</v>
      </c>
      <c r="R451" t="s">
        <v>84</v>
      </c>
      <c r="S451" t="s">
        <v>3051</v>
      </c>
      <c r="T451" t="b">
        <v>1</v>
      </c>
      <c r="U451" t="s">
        <v>571</v>
      </c>
      <c r="V451" t="s">
        <v>3052</v>
      </c>
      <c r="W451" t="s">
        <v>3053</v>
      </c>
      <c r="X451" t="s">
        <v>47</v>
      </c>
      <c r="AA451" t="s">
        <v>3054</v>
      </c>
      <c r="AC451" t="s">
        <v>63</v>
      </c>
      <c r="AD451" t="b">
        <v>0</v>
      </c>
      <c r="AF451">
        <v>4</v>
      </c>
      <c r="AG451" t="s">
        <v>321</v>
      </c>
    </row>
    <row r="452" spans="1:33" x14ac:dyDescent="0.2">
      <c r="A452">
        <v>2044</v>
      </c>
      <c r="B452" t="s">
        <v>3055</v>
      </c>
      <c r="C452" t="s">
        <v>34</v>
      </c>
      <c r="D452" t="s">
        <v>35</v>
      </c>
      <c r="E452" t="s">
        <v>3056</v>
      </c>
      <c r="F452" t="s">
        <v>3057</v>
      </c>
      <c r="G452" t="s">
        <v>242</v>
      </c>
      <c r="H452" t="s">
        <v>243</v>
      </c>
      <c r="I452" t="s">
        <v>255</v>
      </c>
      <c r="J452" t="s">
        <v>256</v>
      </c>
      <c r="K452">
        <v>2022</v>
      </c>
      <c r="L452">
        <v>2022</v>
      </c>
      <c r="M452">
        <v>9.6199999999999992</v>
      </c>
      <c r="N452">
        <v>31.952999999999999</v>
      </c>
      <c r="O452">
        <v>91.6</v>
      </c>
      <c r="P452">
        <v>12</v>
      </c>
      <c r="Q452">
        <v>0.223</v>
      </c>
      <c r="R452" t="s">
        <v>42</v>
      </c>
      <c r="S452" t="s">
        <v>3058</v>
      </c>
      <c r="T452" t="b">
        <v>1</v>
      </c>
      <c r="U452" t="s">
        <v>3059</v>
      </c>
      <c r="V452" t="s">
        <v>3060</v>
      </c>
      <c r="W452" t="s">
        <v>3061</v>
      </c>
      <c r="X452" t="s">
        <v>47</v>
      </c>
      <c r="AA452" t="s">
        <v>261</v>
      </c>
      <c r="AB452" t="s">
        <v>1242</v>
      </c>
      <c r="AC452" t="s">
        <v>263</v>
      </c>
      <c r="AD452" t="b">
        <v>0</v>
      </c>
      <c r="AF452">
        <v>10</v>
      </c>
      <c r="AG452" t="s">
        <v>143</v>
      </c>
    </row>
    <row r="453" spans="1:33" x14ac:dyDescent="0.2">
      <c r="A453">
        <v>2048</v>
      </c>
      <c r="B453" t="s">
        <v>3055</v>
      </c>
      <c r="C453" t="s">
        <v>34</v>
      </c>
      <c r="D453" t="s">
        <v>35</v>
      </c>
      <c r="E453" t="s">
        <v>3062</v>
      </c>
      <c r="F453" t="s">
        <v>3063</v>
      </c>
      <c r="G453" t="s">
        <v>53</v>
      </c>
      <c r="H453" t="s">
        <v>54</v>
      </c>
      <c r="I453" t="s">
        <v>325</v>
      </c>
      <c r="J453" t="s">
        <v>135</v>
      </c>
      <c r="K453">
        <v>2021</v>
      </c>
      <c r="L453">
        <v>2021</v>
      </c>
      <c r="M453">
        <v>3.3</v>
      </c>
      <c r="N453">
        <v>9.3550000000000004</v>
      </c>
      <c r="O453">
        <v>124.55</v>
      </c>
      <c r="P453">
        <v>3.2</v>
      </c>
      <c r="Q453">
        <v>0.28599999999999998</v>
      </c>
      <c r="R453" t="s">
        <v>84</v>
      </c>
      <c r="S453" t="s">
        <v>3064</v>
      </c>
      <c r="T453" t="b">
        <v>1</v>
      </c>
      <c r="U453" t="s">
        <v>3065</v>
      </c>
      <c r="V453" t="s">
        <v>3066</v>
      </c>
      <c r="W453" t="s">
        <v>3067</v>
      </c>
      <c r="X453" t="s">
        <v>47</v>
      </c>
      <c r="AA453" t="s">
        <v>958</v>
      </c>
      <c r="AC453" t="s">
        <v>959</v>
      </c>
      <c r="AD453" t="b">
        <v>0</v>
      </c>
      <c r="AF453">
        <v>3</v>
      </c>
      <c r="AG453" t="s">
        <v>332</v>
      </c>
    </row>
    <row r="454" spans="1:33" x14ac:dyDescent="0.2">
      <c r="A454">
        <v>1482</v>
      </c>
      <c r="B454" t="s">
        <v>3068</v>
      </c>
      <c r="C454" t="s">
        <v>574</v>
      </c>
      <c r="D454" t="s">
        <v>575</v>
      </c>
      <c r="E454" t="s">
        <v>1200</v>
      </c>
      <c r="F454" t="s">
        <v>1201</v>
      </c>
      <c r="G454" t="s">
        <v>53</v>
      </c>
      <c r="H454" t="s">
        <v>54</v>
      </c>
      <c r="I454" t="s">
        <v>55</v>
      </c>
      <c r="J454" t="s">
        <v>56</v>
      </c>
      <c r="K454">
        <v>1975</v>
      </c>
      <c r="L454">
        <v>1975</v>
      </c>
      <c r="M454">
        <v>-1.36</v>
      </c>
      <c r="N454">
        <v>-8.0649999999999995</v>
      </c>
      <c r="O454">
        <v>0</v>
      </c>
      <c r="P454">
        <v>4</v>
      </c>
      <c r="Q454">
        <v>-9.4E-2</v>
      </c>
      <c r="R454" t="s">
        <v>57</v>
      </c>
      <c r="S454" t="s">
        <v>3069</v>
      </c>
      <c r="T454" t="b">
        <v>1</v>
      </c>
      <c r="U454" t="s">
        <v>3070</v>
      </c>
      <c r="V454" t="s">
        <v>1204</v>
      </c>
      <c r="W454" t="s">
        <v>3071</v>
      </c>
      <c r="X454" t="s">
        <v>47</v>
      </c>
      <c r="AA454" t="s">
        <v>949</v>
      </c>
      <c r="AB454" t="s">
        <v>765</v>
      </c>
      <c r="AC454" t="s">
        <v>742</v>
      </c>
      <c r="AD454" t="b">
        <v>0</v>
      </c>
      <c r="AF454">
        <v>6</v>
      </c>
      <c r="AG454" t="s">
        <v>64</v>
      </c>
    </row>
    <row r="455" spans="1:33" x14ac:dyDescent="0.2">
      <c r="A455">
        <v>1215</v>
      </c>
      <c r="B455" t="s">
        <v>3072</v>
      </c>
      <c r="C455" t="s">
        <v>34</v>
      </c>
      <c r="D455" t="s">
        <v>35</v>
      </c>
      <c r="E455" t="s">
        <v>3073</v>
      </c>
      <c r="F455" t="s">
        <v>3074</v>
      </c>
      <c r="G455" t="s">
        <v>53</v>
      </c>
      <c r="H455" t="s">
        <v>54</v>
      </c>
      <c r="I455" t="s">
        <v>147</v>
      </c>
      <c r="J455" t="s">
        <v>148</v>
      </c>
      <c r="K455">
        <v>2006</v>
      </c>
      <c r="L455">
        <v>2006</v>
      </c>
      <c r="M455">
        <v>0.95</v>
      </c>
      <c r="N455">
        <v>6.4669999999999996</v>
      </c>
      <c r="R455" t="s">
        <v>72</v>
      </c>
      <c r="S455" t="s">
        <v>850</v>
      </c>
      <c r="T455" t="b">
        <v>1</v>
      </c>
      <c r="U455" t="s">
        <v>3075</v>
      </c>
      <c r="V455" t="s">
        <v>3076</v>
      </c>
      <c r="W455" t="s">
        <v>3077</v>
      </c>
      <c r="X455" t="s">
        <v>47</v>
      </c>
      <c r="AA455" t="s">
        <v>374</v>
      </c>
      <c r="AC455" t="s">
        <v>375</v>
      </c>
      <c r="AD455" t="b">
        <v>0</v>
      </c>
      <c r="AF455">
        <v>13</v>
      </c>
      <c r="AG455" t="s">
        <v>155</v>
      </c>
    </row>
    <row r="456" spans="1:33" x14ac:dyDescent="0.2">
      <c r="A456">
        <v>1148</v>
      </c>
      <c r="B456" t="s">
        <v>3078</v>
      </c>
      <c r="C456" t="s">
        <v>34</v>
      </c>
      <c r="D456" t="s">
        <v>35</v>
      </c>
      <c r="E456" t="s">
        <v>3079</v>
      </c>
      <c r="F456" t="s">
        <v>3080</v>
      </c>
      <c r="G456" t="s">
        <v>53</v>
      </c>
      <c r="H456" t="s">
        <v>54</v>
      </c>
      <c r="I456" t="s">
        <v>1241</v>
      </c>
      <c r="J456" t="s">
        <v>1242</v>
      </c>
      <c r="K456">
        <v>2000</v>
      </c>
      <c r="L456">
        <v>2000</v>
      </c>
      <c r="M456">
        <v>1</v>
      </c>
      <c r="N456">
        <v>4.6760000000000002</v>
      </c>
      <c r="O456">
        <v>144</v>
      </c>
      <c r="P456">
        <v>0.8</v>
      </c>
      <c r="Q456">
        <v>0.34699999999999998</v>
      </c>
      <c r="R456" t="s">
        <v>57</v>
      </c>
      <c r="S456" t="s">
        <v>3081</v>
      </c>
      <c r="T456" t="b">
        <v>1</v>
      </c>
      <c r="U456" t="s">
        <v>754</v>
      </c>
      <c r="V456" t="s">
        <v>3082</v>
      </c>
      <c r="W456" t="s">
        <v>3083</v>
      </c>
      <c r="X456" t="s">
        <v>47</v>
      </c>
      <c r="AA456" t="s">
        <v>3084</v>
      </c>
      <c r="AC456" t="s">
        <v>63</v>
      </c>
      <c r="AD456" t="b">
        <v>0</v>
      </c>
      <c r="AF456">
        <v>6</v>
      </c>
      <c r="AG456" t="s">
        <v>64</v>
      </c>
    </row>
    <row r="457" spans="1:33" x14ac:dyDescent="0.2">
      <c r="A457">
        <v>900</v>
      </c>
      <c r="B457" t="s">
        <v>3085</v>
      </c>
      <c r="C457" t="s">
        <v>34</v>
      </c>
      <c r="D457" t="s">
        <v>35</v>
      </c>
      <c r="E457" t="s">
        <v>3086</v>
      </c>
      <c r="F457" t="s">
        <v>3087</v>
      </c>
      <c r="G457" t="s">
        <v>224</v>
      </c>
      <c r="H457" t="s">
        <v>225</v>
      </c>
      <c r="I457" t="s">
        <v>3088</v>
      </c>
      <c r="J457" t="s">
        <v>109</v>
      </c>
      <c r="K457">
        <v>2004</v>
      </c>
      <c r="L457">
        <v>2004</v>
      </c>
      <c r="M457">
        <v>6.5000000000000002E-2</v>
      </c>
      <c r="N457">
        <v>0.5</v>
      </c>
      <c r="R457" t="s">
        <v>97</v>
      </c>
      <c r="S457" t="s">
        <v>3089</v>
      </c>
      <c r="T457" t="b">
        <v>1</v>
      </c>
      <c r="U457" t="s">
        <v>637</v>
      </c>
      <c r="V457" t="s">
        <v>3090</v>
      </c>
      <c r="W457" t="s">
        <v>3091</v>
      </c>
      <c r="X457" t="s">
        <v>47</v>
      </c>
      <c r="AA457" t="s">
        <v>102</v>
      </c>
      <c r="AC457" t="s">
        <v>103</v>
      </c>
      <c r="AD457" t="b">
        <v>0</v>
      </c>
      <c r="AF457">
        <v>1</v>
      </c>
      <c r="AG457" t="s">
        <v>104</v>
      </c>
    </row>
    <row r="458" spans="1:33" x14ac:dyDescent="0.2">
      <c r="A458">
        <v>1825</v>
      </c>
      <c r="B458" t="s">
        <v>3092</v>
      </c>
      <c r="C458" t="s">
        <v>34</v>
      </c>
      <c r="D458" t="s">
        <v>35</v>
      </c>
      <c r="E458" t="s">
        <v>3093</v>
      </c>
      <c r="F458" t="s">
        <v>3094</v>
      </c>
      <c r="G458" t="s">
        <v>377</v>
      </c>
      <c r="H458" t="s">
        <v>378</v>
      </c>
      <c r="I458" t="s">
        <v>3095</v>
      </c>
      <c r="J458" t="s">
        <v>676</v>
      </c>
      <c r="K458">
        <v>2015</v>
      </c>
      <c r="L458">
        <v>2015</v>
      </c>
      <c r="M458">
        <v>2.4</v>
      </c>
      <c r="N458">
        <v>6.0670000000000002</v>
      </c>
      <c r="O458">
        <v>169.02</v>
      </c>
      <c r="P458">
        <v>1.73</v>
      </c>
      <c r="Q458">
        <v>0.38500000000000001</v>
      </c>
      <c r="R458" t="s">
        <v>42</v>
      </c>
      <c r="S458" t="s">
        <v>3096</v>
      </c>
      <c r="T458" t="b">
        <v>1</v>
      </c>
      <c r="U458" t="s">
        <v>3097</v>
      </c>
      <c r="V458" t="s">
        <v>3098</v>
      </c>
      <c r="W458" t="s">
        <v>3099</v>
      </c>
      <c r="X458" t="s">
        <v>47</v>
      </c>
      <c r="AA458" t="s">
        <v>3100</v>
      </c>
      <c r="AB458" t="s">
        <v>49</v>
      </c>
      <c r="AC458" t="s">
        <v>3101</v>
      </c>
      <c r="AD458" t="b">
        <v>0</v>
      </c>
      <c r="AF458">
        <v>11</v>
      </c>
      <c r="AG458" t="s">
        <v>198</v>
      </c>
    </row>
    <row r="459" spans="1:33" x14ac:dyDescent="0.2">
      <c r="A459">
        <v>119</v>
      </c>
      <c r="B459" t="s">
        <v>3102</v>
      </c>
      <c r="C459" t="s">
        <v>34</v>
      </c>
      <c r="D459" t="s">
        <v>35</v>
      </c>
      <c r="E459" t="s">
        <v>157</v>
      </c>
      <c r="F459" t="s">
        <v>158</v>
      </c>
      <c r="G459" t="s">
        <v>68</v>
      </c>
      <c r="H459" t="s">
        <v>69</v>
      </c>
      <c r="I459" t="s">
        <v>453</v>
      </c>
      <c r="J459" t="s">
        <v>192</v>
      </c>
      <c r="K459">
        <v>1947</v>
      </c>
      <c r="L459">
        <v>1947</v>
      </c>
      <c r="M459">
        <v>1.76</v>
      </c>
      <c r="N459">
        <v>5.7249999999999996</v>
      </c>
      <c r="O459">
        <v>60</v>
      </c>
      <c r="P459">
        <v>3.2</v>
      </c>
      <c r="Q459">
        <v>0.153</v>
      </c>
      <c r="R459" t="s">
        <v>72</v>
      </c>
      <c r="S459" t="s">
        <v>3103</v>
      </c>
      <c r="T459" t="b">
        <v>1</v>
      </c>
      <c r="U459" t="s">
        <v>3104</v>
      </c>
      <c r="V459" t="s">
        <v>163</v>
      </c>
      <c r="W459" t="s">
        <v>113</v>
      </c>
      <c r="X459" t="s">
        <v>47</v>
      </c>
      <c r="AA459" t="s">
        <v>3105</v>
      </c>
      <c r="AB459" t="s">
        <v>177</v>
      </c>
      <c r="AC459" t="s">
        <v>3106</v>
      </c>
      <c r="AD459" t="b">
        <v>0</v>
      </c>
      <c r="AF459">
        <v>8</v>
      </c>
      <c r="AG459" t="s">
        <v>78</v>
      </c>
    </row>
    <row r="460" spans="1:33" x14ac:dyDescent="0.2">
      <c r="A460">
        <v>1995</v>
      </c>
      <c r="B460" t="s">
        <v>3107</v>
      </c>
      <c r="C460" t="s">
        <v>34</v>
      </c>
      <c r="D460" t="s">
        <v>35</v>
      </c>
      <c r="E460" t="s">
        <v>3108</v>
      </c>
      <c r="F460" t="s">
        <v>3109</v>
      </c>
      <c r="G460" t="s">
        <v>242</v>
      </c>
      <c r="H460" t="s">
        <v>243</v>
      </c>
      <c r="I460" t="s">
        <v>1302</v>
      </c>
      <c r="J460" t="s">
        <v>1303</v>
      </c>
      <c r="K460">
        <v>2019</v>
      </c>
      <c r="L460">
        <v>2019</v>
      </c>
      <c r="M460">
        <v>0.95</v>
      </c>
      <c r="N460">
        <v>2.7309999999999999</v>
      </c>
      <c r="O460">
        <v>45</v>
      </c>
      <c r="P460">
        <v>2.6</v>
      </c>
      <c r="Q460">
        <v>0.10100000000000001</v>
      </c>
      <c r="R460" t="s">
        <v>72</v>
      </c>
      <c r="S460" t="s">
        <v>3110</v>
      </c>
      <c r="T460" t="b">
        <v>1</v>
      </c>
      <c r="U460" t="s">
        <v>3111</v>
      </c>
      <c r="V460" t="s">
        <v>3112</v>
      </c>
      <c r="W460" t="s">
        <v>3113</v>
      </c>
      <c r="X460" t="s">
        <v>47</v>
      </c>
      <c r="AA460" t="s">
        <v>3114</v>
      </c>
      <c r="AC460" t="s">
        <v>3115</v>
      </c>
      <c r="AD460" t="b">
        <v>0</v>
      </c>
      <c r="AF460">
        <v>9</v>
      </c>
      <c r="AG460" t="s">
        <v>251</v>
      </c>
    </row>
    <row r="461" spans="1:33" x14ac:dyDescent="0.2">
      <c r="A461">
        <v>120</v>
      </c>
      <c r="B461" t="s">
        <v>3116</v>
      </c>
      <c r="C461" t="s">
        <v>34</v>
      </c>
      <c r="D461" t="s">
        <v>35</v>
      </c>
      <c r="E461" t="s">
        <v>1200</v>
      </c>
      <c r="F461" t="s">
        <v>1201</v>
      </c>
      <c r="G461" t="s">
        <v>53</v>
      </c>
      <c r="H461" t="s">
        <v>54</v>
      </c>
      <c r="I461" t="s">
        <v>1723</v>
      </c>
      <c r="J461" t="s">
        <v>1697</v>
      </c>
      <c r="K461">
        <v>1948</v>
      </c>
      <c r="L461">
        <v>1948</v>
      </c>
      <c r="M461">
        <v>36</v>
      </c>
      <c r="N461">
        <v>139.559</v>
      </c>
      <c r="O461">
        <v>165</v>
      </c>
      <c r="P461">
        <v>22</v>
      </c>
      <c r="Q461">
        <v>0.45500000000000002</v>
      </c>
      <c r="R461" t="s">
        <v>57</v>
      </c>
      <c r="S461" t="s">
        <v>3117</v>
      </c>
      <c r="T461" t="b">
        <v>1</v>
      </c>
      <c r="U461" t="s">
        <v>3118</v>
      </c>
      <c r="V461" t="s">
        <v>1204</v>
      </c>
      <c r="W461" t="s">
        <v>3119</v>
      </c>
      <c r="X461" t="s">
        <v>47</v>
      </c>
      <c r="AA461" t="s">
        <v>1727</v>
      </c>
      <c r="AB461" t="s">
        <v>612</v>
      </c>
      <c r="AC461" t="s">
        <v>1728</v>
      </c>
      <c r="AD461" t="b">
        <v>0</v>
      </c>
      <c r="AF461">
        <v>6</v>
      </c>
      <c r="AG461" t="s">
        <v>64</v>
      </c>
    </row>
    <row r="462" spans="1:33" x14ac:dyDescent="0.2">
      <c r="A462">
        <v>121</v>
      </c>
      <c r="B462" t="s">
        <v>3120</v>
      </c>
      <c r="C462" t="s">
        <v>34</v>
      </c>
      <c r="D462" t="s">
        <v>35</v>
      </c>
      <c r="E462" t="s">
        <v>91</v>
      </c>
      <c r="F462" t="s">
        <v>92</v>
      </c>
      <c r="G462" t="s">
        <v>503</v>
      </c>
      <c r="H462" t="s">
        <v>462</v>
      </c>
      <c r="I462" t="s">
        <v>2302</v>
      </c>
      <c r="J462" t="s">
        <v>227</v>
      </c>
      <c r="K462">
        <v>1933</v>
      </c>
      <c r="L462">
        <v>1933</v>
      </c>
      <c r="M462">
        <v>33</v>
      </c>
      <c r="N462">
        <v>172.50899999999999</v>
      </c>
      <c r="O462">
        <v>22.6</v>
      </c>
      <c r="P462">
        <v>160</v>
      </c>
      <c r="Q462">
        <v>5.7000000000000002E-2</v>
      </c>
      <c r="R462" t="s">
        <v>84</v>
      </c>
      <c r="S462" t="s">
        <v>3121</v>
      </c>
      <c r="T462" t="b">
        <v>1</v>
      </c>
      <c r="U462" t="s">
        <v>3122</v>
      </c>
      <c r="V462" t="s">
        <v>100</v>
      </c>
      <c r="W462" t="s">
        <v>113</v>
      </c>
      <c r="X462" t="s">
        <v>47</v>
      </c>
      <c r="AA462" t="s">
        <v>583</v>
      </c>
      <c r="AB462" t="s">
        <v>337</v>
      </c>
      <c r="AC462" t="s">
        <v>585</v>
      </c>
      <c r="AD462" t="b">
        <v>0</v>
      </c>
      <c r="AF462">
        <v>3</v>
      </c>
      <c r="AG462" t="s">
        <v>332</v>
      </c>
    </row>
    <row r="463" spans="1:33" x14ac:dyDescent="0.2">
      <c r="A463">
        <v>1935</v>
      </c>
      <c r="B463" t="s">
        <v>3123</v>
      </c>
      <c r="C463" t="s">
        <v>34</v>
      </c>
      <c r="D463" t="s">
        <v>35</v>
      </c>
      <c r="E463" t="s">
        <v>1492</v>
      </c>
      <c r="F463" t="s">
        <v>1493</v>
      </c>
      <c r="G463" t="s">
        <v>224</v>
      </c>
      <c r="H463" t="s">
        <v>225</v>
      </c>
      <c r="I463" t="s">
        <v>3124</v>
      </c>
      <c r="J463" t="s">
        <v>71</v>
      </c>
      <c r="K463">
        <v>2018</v>
      </c>
      <c r="L463">
        <v>2018</v>
      </c>
      <c r="M463">
        <v>5.0199999999999996</v>
      </c>
      <c r="N463">
        <v>10.538</v>
      </c>
      <c r="O463">
        <v>203.2</v>
      </c>
      <c r="P463">
        <v>3</v>
      </c>
      <c r="Q463">
        <v>0.46500000000000002</v>
      </c>
      <c r="R463" t="s">
        <v>57</v>
      </c>
      <c r="S463" t="s">
        <v>3125</v>
      </c>
      <c r="T463" t="b">
        <v>1</v>
      </c>
      <c r="U463" t="s">
        <v>3126</v>
      </c>
      <c r="V463" t="s">
        <v>1496</v>
      </c>
      <c r="W463" t="s">
        <v>3127</v>
      </c>
      <c r="X463" t="s">
        <v>47</v>
      </c>
      <c r="AA463" t="s">
        <v>102</v>
      </c>
      <c r="AC463" t="s">
        <v>103</v>
      </c>
      <c r="AD463" t="b">
        <v>0</v>
      </c>
      <c r="AF463">
        <v>2</v>
      </c>
      <c r="AG463" t="s">
        <v>287</v>
      </c>
    </row>
    <row r="464" spans="1:33" x14ac:dyDescent="0.2">
      <c r="A464">
        <v>882</v>
      </c>
      <c r="B464" t="s">
        <v>3128</v>
      </c>
      <c r="C464" t="s">
        <v>34</v>
      </c>
      <c r="D464" t="s">
        <v>35</v>
      </c>
      <c r="G464" t="s">
        <v>224</v>
      </c>
      <c r="H464" t="s">
        <v>225</v>
      </c>
      <c r="I464" t="s">
        <v>2960</v>
      </c>
      <c r="J464" t="s">
        <v>612</v>
      </c>
      <c r="K464">
        <v>1913</v>
      </c>
      <c r="L464">
        <v>2004</v>
      </c>
      <c r="M464">
        <v>3.7999999999999999E-2</v>
      </c>
      <c r="N464">
        <v>6.3E-2</v>
      </c>
      <c r="R464" t="s">
        <v>97</v>
      </c>
      <c r="S464" t="s">
        <v>3129</v>
      </c>
      <c r="T464" t="b">
        <v>1</v>
      </c>
      <c r="U464" t="s">
        <v>637</v>
      </c>
      <c r="V464" t="s">
        <v>3040</v>
      </c>
      <c r="W464" t="s">
        <v>113</v>
      </c>
      <c r="X464" t="s">
        <v>47</v>
      </c>
      <c r="AA464" t="s">
        <v>2964</v>
      </c>
      <c r="AC464" t="s">
        <v>2965</v>
      </c>
      <c r="AD464" t="b">
        <v>0</v>
      </c>
      <c r="AF464">
        <v>1</v>
      </c>
      <c r="AG464" t="s">
        <v>104</v>
      </c>
    </row>
    <row r="465" spans="1:33" x14ac:dyDescent="0.2">
      <c r="A465">
        <v>1651</v>
      </c>
      <c r="B465" t="s">
        <v>3130</v>
      </c>
      <c r="C465" t="s">
        <v>34</v>
      </c>
      <c r="D465" t="s">
        <v>35</v>
      </c>
      <c r="E465" t="s">
        <v>757</v>
      </c>
      <c r="F465" t="s">
        <v>758</v>
      </c>
      <c r="G465" t="s">
        <v>53</v>
      </c>
      <c r="H465" t="s">
        <v>54</v>
      </c>
      <c r="I465" t="s">
        <v>147</v>
      </c>
      <c r="J465" t="s">
        <v>148</v>
      </c>
      <c r="K465">
        <v>2011</v>
      </c>
      <c r="L465">
        <v>2011</v>
      </c>
      <c r="M465">
        <v>2.84</v>
      </c>
      <c r="N465">
        <v>5.8780000000000001</v>
      </c>
      <c r="O465">
        <v>339</v>
      </c>
      <c r="P465">
        <v>1</v>
      </c>
      <c r="Q465">
        <v>0.78900000000000003</v>
      </c>
      <c r="R465" t="s">
        <v>72</v>
      </c>
      <c r="S465" t="s">
        <v>3131</v>
      </c>
      <c r="T465" t="b">
        <v>1</v>
      </c>
      <c r="U465" t="s">
        <v>3132</v>
      </c>
      <c r="V465" t="s">
        <v>761</v>
      </c>
      <c r="W465" t="s">
        <v>3133</v>
      </c>
      <c r="X465" t="s">
        <v>47</v>
      </c>
      <c r="AA465" t="s">
        <v>153</v>
      </c>
      <c r="AB465" t="s">
        <v>313</v>
      </c>
      <c r="AC465" t="s">
        <v>154</v>
      </c>
      <c r="AD465" t="b">
        <v>0</v>
      </c>
      <c r="AF465">
        <v>13</v>
      </c>
      <c r="AG465" t="s">
        <v>155</v>
      </c>
    </row>
    <row r="466" spans="1:33" x14ac:dyDescent="0.2">
      <c r="A466">
        <v>1758</v>
      </c>
      <c r="B466" t="s">
        <v>3134</v>
      </c>
      <c r="C466" t="s">
        <v>34</v>
      </c>
      <c r="D466" t="s">
        <v>35</v>
      </c>
      <c r="E466" t="s">
        <v>3135</v>
      </c>
      <c r="F466" t="s">
        <v>3136</v>
      </c>
      <c r="G466" t="s">
        <v>53</v>
      </c>
      <c r="H466" t="s">
        <v>54</v>
      </c>
      <c r="I466" t="s">
        <v>235</v>
      </c>
      <c r="J466" t="s">
        <v>41</v>
      </c>
      <c r="K466">
        <v>2014</v>
      </c>
      <c r="L466">
        <v>2014</v>
      </c>
      <c r="M466">
        <v>1.089</v>
      </c>
      <c r="N466">
        <v>2.052</v>
      </c>
      <c r="O466">
        <v>319</v>
      </c>
      <c r="P466">
        <v>0.39040000000000002</v>
      </c>
      <c r="Q466">
        <v>0.78300000000000003</v>
      </c>
      <c r="R466" t="s">
        <v>84</v>
      </c>
      <c r="S466" t="s">
        <v>3137</v>
      </c>
      <c r="T466" t="b">
        <v>1</v>
      </c>
      <c r="U466" t="s">
        <v>3138</v>
      </c>
      <c r="V466" t="s">
        <v>3139</v>
      </c>
      <c r="W466" t="s">
        <v>3140</v>
      </c>
      <c r="X466" t="s">
        <v>47</v>
      </c>
      <c r="AA466" t="s">
        <v>1000</v>
      </c>
      <c r="AC466" t="s">
        <v>63</v>
      </c>
      <c r="AD466" t="b">
        <v>0</v>
      </c>
      <c r="AF466">
        <v>5</v>
      </c>
      <c r="AG466" t="s">
        <v>89</v>
      </c>
    </row>
    <row r="467" spans="1:33" x14ac:dyDescent="0.2">
      <c r="A467">
        <v>122</v>
      </c>
      <c r="B467" t="s">
        <v>3141</v>
      </c>
      <c r="C467" t="s">
        <v>34</v>
      </c>
      <c r="D467" t="s">
        <v>35</v>
      </c>
      <c r="E467" t="s">
        <v>36</v>
      </c>
      <c r="F467" t="s">
        <v>37</v>
      </c>
      <c r="G467" t="s">
        <v>68</v>
      </c>
      <c r="H467" t="s">
        <v>69</v>
      </c>
      <c r="I467" t="s">
        <v>413</v>
      </c>
      <c r="J467" t="s">
        <v>414</v>
      </c>
      <c r="K467">
        <v>1970</v>
      </c>
      <c r="L467">
        <v>1970</v>
      </c>
      <c r="M467">
        <v>15</v>
      </c>
      <c r="N467">
        <v>67.941000000000003</v>
      </c>
      <c r="O467">
        <v>55</v>
      </c>
      <c r="P467">
        <v>26</v>
      </c>
      <c r="Q467">
        <v>0.16</v>
      </c>
      <c r="R467" t="s">
        <v>72</v>
      </c>
      <c r="S467" t="s">
        <v>3142</v>
      </c>
      <c r="T467" t="b">
        <v>1</v>
      </c>
      <c r="U467" t="s">
        <v>3143</v>
      </c>
      <c r="V467" t="s">
        <v>45</v>
      </c>
      <c r="W467" t="s">
        <v>3144</v>
      </c>
      <c r="X467" t="s">
        <v>47</v>
      </c>
      <c r="AA467" t="s">
        <v>969</v>
      </c>
      <c r="AB467" t="s">
        <v>308</v>
      </c>
      <c r="AC467" t="s">
        <v>970</v>
      </c>
      <c r="AD467" t="b">
        <v>0</v>
      </c>
      <c r="AF467">
        <v>8</v>
      </c>
      <c r="AG467" t="s">
        <v>78</v>
      </c>
    </row>
    <row r="468" spans="1:33" x14ac:dyDescent="0.2">
      <c r="A468">
        <v>1972</v>
      </c>
      <c r="B468" t="s">
        <v>3145</v>
      </c>
      <c r="C468" t="s">
        <v>34</v>
      </c>
      <c r="D468" t="s">
        <v>35</v>
      </c>
      <c r="E468" t="s">
        <v>3146</v>
      </c>
      <c r="F468" t="s">
        <v>3147</v>
      </c>
      <c r="G468" t="s">
        <v>242</v>
      </c>
      <c r="H468" t="s">
        <v>243</v>
      </c>
      <c r="I468" t="s">
        <v>2581</v>
      </c>
      <c r="J468" t="s">
        <v>94</v>
      </c>
      <c r="K468">
        <v>2020</v>
      </c>
      <c r="L468">
        <v>2020</v>
      </c>
      <c r="M468">
        <v>4.5999999999999996</v>
      </c>
      <c r="N468">
        <v>11</v>
      </c>
      <c r="O468">
        <v>248</v>
      </c>
      <c r="P468">
        <v>2.2000000000000002</v>
      </c>
      <c r="Q468">
        <v>0.58099999999999996</v>
      </c>
      <c r="R468" t="s">
        <v>72</v>
      </c>
      <c r="S468" t="s">
        <v>3148</v>
      </c>
      <c r="T468" t="b">
        <v>1</v>
      </c>
      <c r="U468" t="s">
        <v>3149</v>
      </c>
      <c r="V468" t="s">
        <v>3150</v>
      </c>
      <c r="W468" t="s">
        <v>3151</v>
      </c>
      <c r="X468" t="s">
        <v>47</v>
      </c>
      <c r="AA468" t="s">
        <v>250</v>
      </c>
      <c r="AB468" t="s">
        <v>765</v>
      </c>
      <c r="AC468" t="s">
        <v>2585</v>
      </c>
      <c r="AD468" t="b">
        <v>0</v>
      </c>
      <c r="AF468">
        <v>9</v>
      </c>
      <c r="AG468" t="s">
        <v>251</v>
      </c>
    </row>
    <row r="469" spans="1:33" x14ac:dyDescent="0.2">
      <c r="A469">
        <v>2108</v>
      </c>
      <c r="B469" t="s">
        <v>3152</v>
      </c>
      <c r="C469" t="s">
        <v>34</v>
      </c>
      <c r="D469" t="s">
        <v>35</v>
      </c>
      <c r="E469" t="s">
        <v>3153</v>
      </c>
      <c r="F469" t="s">
        <v>3154</v>
      </c>
      <c r="G469" t="s">
        <v>242</v>
      </c>
      <c r="H469" t="s">
        <v>243</v>
      </c>
      <c r="I469" t="s">
        <v>436</v>
      </c>
      <c r="J469" t="s">
        <v>437</v>
      </c>
      <c r="K469">
        <v>2024</v>
      </c>
      <c r="L469">
        <v>2024</v>
      </c>
      <c r="M469">
        <v>2.86</v>
      </c>
      <c r="N469">
        <v>8.3000000000000007</v>
      </c>
      <c r="O469">
        <v>205.8</v>
      </c>
      <c r="P469">
        <v>1.68</v>
      </c>
      <c r="Q469">
        <v>0.84299999999999997</v>
      </c>
      <c r="R469" t="s">
        <v>72</v>
      </c>
      <c r="S469" t="s">
        <v>3155</v>
      </c>
      <c r="T469" t="b">
        <v>1</v>
      </c>
      <c r="U469" t="s">
        <v>3156</v>
      </c>
      <c r="V469" t="s">
        <v>3157</v>
      </c>
      <c r="W469" t="s">
        <v>3158</v>
      </c>
      <c r="X469" t="s">
        <v>47</v>
      </c>
      <c r="AA469" t="s">
        <v>1106</v>
      </c>
      <c r="AB469" t="s">
        <v>308</v>
      </c>
      <c r="AC469" t="s">
        <v>1107</v>
      </c>
      <c r="AD469" t="b">
        <v>0</v>
      </c>
      <c r="AF469">
        <v>9</v>
      </c>
      <c r="AG469" t="s">
        <v>251</v>
      </c>
    </row>
    <row r="470" spans="1:33" x14ac:dyDescent="0.2">
      <c r="A470">
        <v>942</v>
      </c>
      <c r="B470" t="s">
        <v>3159</v>
      </c>
      <c r="C470" t="s">
        <v>34</v>
      </c>
      <c r="D470" t="s">
        <v>35</v>
      </c>
      <c r="E470" t="s">
        <v>2759</v>
      </c>
      <c r="F470" t="s">
        <v>2760</v>
      </c>
      <c r="G470" t="s">
        <v>53</v>
      </c>
      <c r="H470" t="s">
        <v>54</v>
      </c>
      <c r="I470" t="s">
        <v>147</v>
      </c>
      <c r="J470" t="s">
        <v>148</v>
      </c>
      <c r="K470">
        <v>1995</v>
      </c>
      <c r="L470">
        <v>1995</v>
      </c>
      <c r="M470">
        <v>0.182</v>
      </c>
      <c r="N470">
        <v>1.341</v>
      </c>
      <c r="R470" t="s">
        <v>72</v>
      </c>
      <c r="S470" t="s">
        <v>3160</v>
      </c>
      <c r="T470" t="b">
        <v>1</v>
      </c>
      <c r="U470" t="s">
        <v>2566</v>
      </c>
      <c r="V470" t="s">
        <v>3161</v>
      </c>
      <c r="W470" t="s">
        <v>2763</v>
      </c>
      <c r="X470" t="s">
        <v>47</v>
      </c>
      <c r="AA470" t="s">
        <v>374</v>
      </c>
      <c r="AC470" t="s">
        <v>375</v>
      </c>
      <c r="AD470" t="b">
        <v>0</v>
      </c>
      <c r="AF470">
        <v>13</v>
      </c>
      <c r="AG470" t="s">
        <v>155</v>
      </c>
    </row>
    <row r="471" spans="1:33" x14ac:dyDescent="0.2">
      <c r="A471">
        <v>123</v>
      </c>
      <c r="B471" t="s">
        <v>3162</v>
      </c>
      <c r="C471" t="s">
        <v>34</v>
      </c>
      <c r="D471" t="s">
        <v>35</v>
      </c>
      <c r="E471" t="s">
        <v>512</v>
      </c>
      <c r="F471" t="s">
        <v>513</v>
      </c>
      <c r="G471" t="s">
        <v>377</v>
      </c>
      <c r="H471" t="s">
        <v>378</v>
      </c>
      <c r="I471" t="s">
        <v>3163</v>
      </c>
      <c r="J471" t="s">
        <v>462</v>
      </c>
      <c r="K471">
        <v>1971</v>
      </c>
      <c r="L471">
        <v>1971</v>
      </c>
      <c r="M471">
        <v>80</v>
      </c>
      <c r="N471">
        <v>332.96899999999999</v>
      </c>
      <c r="O471">
        <v>719.09</v>
      </c>
      <c r="P471">
        <v>13.3</v>
      </c>
      <c r="Q471">
        <v>1.671</v>
      </c>
      <c r="R471" t="s">
        <v>42</v>
      </c>
      <c r="S471" t="s">
        <v>3164</v>
      </c>
      <c r="T471" t="b">
        <v>1</v>
      </c>
      <c r="U471" t="s">
        <v>3165</v>
      </c>
      <c r="V471" t="s">
        <v>518</v>
      </c>
      <c r="W471" t="s">
        <v>3166</v>
      </c>
      <c r="X471" t="s">
        <v>47</v>
      </c>
      <c r="AA471" t="s">
        <v>3167</v>
      </c>
      <c r="AB471" t="s">
        <v>49</v>
      </c>
      <c r="AC471" t="s">
        <v>3168</v>
      </c>
      <c r="AD471" t="b">
        <v>0</v>
      </c>
      <c r="AF471">
        <v>12</v>
      </c>
      <c r="AG471" t="s">
        <v>51</v>
      </c>
    </row>
    <row r="472" spans="1:33" x14ac:dyDescent="0.2">
      <c r="A472">
        <v>1137</v>
      </c>
      <c r="B472" t="s">
        <v>3169</v>
      </c>
      <c r="C472" t="s">
        <v>34</v>
      </c>
      <c r="D472" t="s">
        <v>35</v>
      </c>
      <c r="E472" t="s">
        <v>3170</v>
      </c>
      <c r="F472" t="s">
        <v>3171</v>
      </c>
      <c r="G472" t="s">
        <v>312</v>
      </c>
      <c r="H472" t="s">
        <v>313</v>
      </c>
      <c r="I472" t="s">
        <v>3172</v>
      </c>
      <c r="J472" t="s">
        <v>177</v>
      </c>
      <c r="K472">
        <v>1998</v>
      </c>
      <c r="L472">
        <v>1998</v>
      </c>
      <c r="M472">
        <v>0.17799999999999999</v>
      </c>
      <c r="N472">
        <v>0.84299999999999997</v>
      </c>
      <c r="R472" t="s">
        <v>84</v>
      </c>
      <c r="S472" t="s">
        <v>3173</v>
      </c>
      <c r="T472" t="b">
        <v>1</v>
      </c>
      <c r="U472" t="s">
        <v>455</v>
      </c>
      <c r="V472" t="s">
        <v>3174</v>
      </c>
      <c r="W472" t="s">
        <v>3175</v>
      </c>
      <c r="X472" t="s">
        <v>47</v>
      </c>
      <c r="AA472" t="s">
        <v>509</v>
      </c>
      <c r="AC472" t="s">
        <v>510</v>
      </c>
      <c r="AD472" t="b">
        <v>0</v>
      </c>
      <c r="AF472">
        <v>4</v>
      </c>
      <c r="AG472" t="s">
        <v>321</v>
      </c>
    </row>
    <row r="473" spans="1:33" x14ac:dyDescent="0.2">
      <c r="A473">
        <v>1549</v>
      </c>
      <c r="B473" t="s">
        <v>3176</v>
      </c>
      <c r="C473" t="s">
        <v>34</v>
      </c>
      <c r="D473" t="s">
        <v>35</v>
      </c>
      <c r="E473" t="s">
        <v>3177</v>
      </c>
      <c r="F473" t="s">
        <v>3178</v>
      </c>
      <c r="G473" t="s">
        <v>213</v>
      </c>
      <c r="H473" t="s">
        <v>83</v>
      </c>
      <c r="I473" t="s">
        <v>611</v>
      </c>
      <c r="J473" t="s">
        <v>612</v>
      </c>
      <c r="K473">
        <v>2009</v>
      </c>
      <c r="L473">
        <v>2009</v>
      </c>
      <c r="M473">
        <v>0.215</v>
      </c>
      <c r="N473">
        <v>1.155</v>
      </c>
      <c r="R473" t="s">
        <v>84</v>
      </c>
      <c r="S473" t="s">
        <v>3179</v>
      </c>
      <c r="T473" t="b">
        <v>1</v>
      </c>
      <c r="U473" t="s">
        <v>3180</v>
      </c>
      <c r="V473" t="s">
        <v>3181</v>
      </c>
      <c r="W473" t="s">
        <v>3182</v>
      </c>
      <c r="X473" t="s">
        <v>47</v>
      </c>
      <c r="AA473" t="s">
        <v>615</v>
      </c>
      <c r="AC473" t="s">
        <v>616</v>
      </c>
      <c r="AD473" t="b">
        <v>0</v>
      </c>
      <c r="AF473">
        <v>4</v>
      </c>
      <c r="AG473" t="s">
        <v>321</v>
      </c>
    </row>
    <row r="474" spans="1:33" x14ac:dyDescent="0.2">
      <c r="A474">
        <v>1445</v>
      </c>
      <c r="B474" t="s">
        <v>3183</v>
      </c>
      <c r="C474" t="s">
        <v>34</v>
      </c>
      <c r="D474" t="s">
        <v>35</v>
      </c>
      <c r="E474" t="s">
        <v>3184</v>
      </c>
      <c r="F474" t="s">
        <v>3185</v>
      </c>
      <c r="G474" t="s">
        <v>68</v>
      </c>
      <c r="H474" t="s">
        <v>69</v>
      </c>
      <c r="I474" t="s">
        <v>3186</v>
      </c>
      <c r="J474" t="s">
        <v>215</v>
      </c>
      <c r="K474">
        <v>2007</v>
      </c>
      <c r="L474">
        <v>2007</v>
      </c>
      <c r="M474">
        <v>1.38</v>
      </c>
      <c r="N474">
        <v>4.5960000000000001</v>
      </c>
      <c r="O474">
        <v>316.5</v>
      </c>
      <c r="P474">
        <v>0.55000000000000004</v>
      </c>
      <c r="Q474">
        <v>0.76700000000000002</v>
      </c>
      <c r="R474" t="s">
        <v>72</v>
      </c>
      <c r="S474" t="s">
        <v>3187</v>
      </c>
      <c r="T474" t="b">
        <v>1</v>
      </c>
      <c r="U474" t="s">
        <v>3188</v>
      </c>
      <c r="V474" t="s">
        <v>3189</v>
      </c>
      <c r="W474" t="s">
        <v>3190</v>
      </c>
      <c r="X474" t="s">
        <v>47</v>
      </c>
      <c r="AA474" t="s">
        <v>3191</v>
      </c>
      <c r="AC474" t="s">
        <v>3192</v>
      </c>
      <c r="AD474" t="b">
        <v>0</v>
      </c>
      <c r="AF474">
        <v>8</v>
      </c>
      <c r="AG474" t="s">
        <v>78</v>
      </c>
    </row>
    <row r="475" spans="1:33" x14ac:dyDescent="0.2">
      <c r="A475">
        <v>1871</v>
      </c>
      <c r="B475" t="s">
        <v>3193</v>
      </c>
      <c r="C475" t="s">
        <v>34</v>
      </c>
      <c r="D475" t="s">
        <v>35</v>
      </c>
      <c r="E475" t="s">
        <v>404</v>
      </c>
      <c r="F475" t="s">
        <v>405</v>
      </c>
      <c r="G475" t="s">
        <v>312</v>
      </c>
      <c r="H475" t="s">
        <v>313</v>
      </c>
      <c r="I475" t="s">
        <v>3194</v>
      </c>
      <c r="J475" t="s">
        <v>1697</v>
      </c>
      <c r="K475">
        <v>2016</v>
      </c>
      <c r="L475">
        <v>2016</v>
      </c>
      <c r="M475">
        <v>0.24</v>
      </c>
      <c r="N475">
        <v>1.0589999999999999</v>
      </c>
      <c r="O475">
        <v>14.75</v>
      </c>
      <c r="P475">
        <v>2</v>
      </c>
      <c r="Q475">
        <v>3.3000000000000002E-2</v>
      </c>
      <c r="R475" t="s">
        <v>84</v>
      </c>
      <c r="S475" t="s">
        <v>3195</v>
      </c>
      <c r="T475" t="b">
        <v>1</v>
      </c>
      <c r="U475" t="s">
        <v>3196</v>
      </c>
      <c r="V475" t="s">
        <v>408</v>
      </c>
      <c r="W475" t="s">
        <v>3197</v>
      </c>
      <c r="X475" t="s">
        <v>47</v>
      </c>
      <c r="AA475" t="s">
        <v>319</v>
      </c>
      <c r="AC475" t="s">
        <v>320</v>
      </c>
      <c r="AD475" t="b">
        <v>0</v>
      </c>
      <c r="AF475">
        <v>4</v>
      </c>
      <c r="AG475" t="s">
        <v>321</v>
      </c>
    </row>
    <row r="476" spans="1:33" x14ac:dyDescent="0.2">
      <c r="A476">
        <v>1072</v>
      </c>
      <c r="B476" t="s">
        <v>3198</v>
      </c>
      <c r="C476" t="s">
        <v>34</v>
      </c>
      <c r="D476" t="s">
        <v>35</v>
      </c>
      <c r="E476" t="s">
        <v>3199</v>
      </c>
      <c r="F476" t="s">
        <v>3200</v>
      </c>
      <c r="G476" t="s">
        <v>242</v>
      </c>
      <c r="H476" t="s">
        <v>243</v>
      </c>
      <c r="I476" t="s">
        <v>799</v>
      </c>
      <c r="J476" t="s">
        <v>96</v>
      </c>
      <c r="K476">
        <v>2001</v>
      </c>
      <c r="L476">
        <v>2001</v>
      </c>
      <c r="M476">
        <v>0.56000000000000005</v>
      </c>
      <c r="N476">
        <v>1.23</v>
      </c>
      <c r="R476" t="s">
        <v>72</v>
      </c>
      <c r="S476" t="s">
        <v>3201</v>
      </c>
      <c r="T476" t="b">
        <v>1</v>
      </c>
      <c r="U476" t="s">
        <v>1103</v>
      </c>
      <c r="V476" t="s">
        <v>3202</v>
      </c>
      <c r="W476" t="s">
        <v>3203</v>
      </c>
      <c r="X476" t="s">
        <v>47</v>
      </c>
      <c r="AA476" t="s">
        <v>3204</v>
      </c>
      <c r="AC476" t="s">
        <v>63</v>
      </c>
      <c r="AD476" t="b">
        <v>0</v>
      </c>
      <c r="AF476">
        <v>9</v>
      </c>
      <c r="AG476" t="s">
        <v>251</v>
      </c>
    </row>
    <row r="477" spans="1:33" x14ac:dyDescent="0.2">
      <c r="A477">
        <v>1270</v>
      </c>
      <c r="B477" t="s">
        <v>3205</v>
      </c>
      <c r="C477" t="s">
        <v>34</v>
      </c>
      <c r="D477" t="s">
        <v>35</v>
      </c>
      <c r="E477" t="s">
        <v>3206</v>
      </c>
      <c r="F477" t="s">
        <v>3207</v>
      </c>
      <c r="G477" t="s">
        <v>134</v>
      </c>
      <c r="H477" t="s">
        <v>135</v>
      </c>
      <c r="I477" t="s">
        <v>641</v>
      </c>
      <c r="J477" t="s">
        <v>109</v>
      </c>
      <c r="K477">
        <v>2007</v>
      </c>
      <c r="L477">
        <v>2007</v>
      </c>
      <c r="M477">
        <v>0.9</v>
      </c>
      <c r="N477">
        <v>2.6240000000000001</v>
      </c>
      <c r="O477">
        <v>99</v>
      </c>
      <c r="P477">
        <v>1.2</v>
      </c>
      <c r="Q477">
        <v>0.20799999999999999</v>
      </c>
      <c r="R477" t="s">
        <v>42</v>
      </c>
      <c r="S477" t="s">
        <v>3208</v>
      </c>
      <c r="T477" t="b">
        <v>1</v>
      </c>
      <c r="U477" t="s">
        <v>3209</v>
      </c>
      <c r="V477" t="s">
        <v>3210</v>
      </c>
      <c r="W477" t="s">
        <v>3211</v>
      </c>
      <c r="X477" t="s">
        <v>47</v>
      </c>
      <c r="AA477" t="s">
        <v>645</v>
      </c>
      <c r="AC477" t="s">
        <v>3212</v>
      </c>
      <c r="AD477" t="b">
        <v>0</v>
      </c>
      <c r="AF477">
        <v>10</v>
      </c>
      <c r="AG477" t="s">
        <v>143</v>
      </c>
    </row>
    <row r="478" spans="1:33" x14ac:dyDescent="0.2">
      <c r="A478">
        <v>124</v>
      </c>
      <c r="B478" t="s">
        <v>3213</v>
      </c>
      <c r="C478" t="s">
        <v>34</v>
      </c>
      <c r="D478" t="s">
        <v>35</v>
      </c>
      <c r="E478" t="s">
        <v>277</v>
      </c>
      <c r="F478" t="s">
        <v>278</v>
      </c>
      <c r="G478" t="s">
        <v>916</v>
      </c>
      <c r="H478" t="s">
        <v>567</v>
      </c>
      <c r="I478" t="s">
        <v>917</v>
      </c>
      <c r="J478" t="s">
        <v>227</v>
      </c>
      <c r="K478">
        <v>1899</v>
      </c>
      <c r="L478">
        <v>1933</v>
      </c>
      <c r="M478">
        <v>34.31</v>
      </c>
      <c r="N478">
        <v>177.69399999999999</v>
      </c>
      <c r="O478">
        <v>20.5</v>
      </c>
      <c r="P478">
        <v>200</v>
      </c>
      <c r="Q478">
        <v>4.2999999999999997E-2</v>
      </c>
      <c r="R478" t="s">
        <v>97</v>
      </c>
      <c r="S478" t="s">
        <v>3214</v>
      </c>
      <c r="T478" t="b">
        <v>1</v>
      </c>
      <c r="U478" t="s">
        <v>3122</v>
      </c>
      <c r="V478" t="s">
        <v>2115</v>
      </c>
      <c r="W478" t="s">
        <v>3215</v>
      </c>
      <c r="X478" t="s">
        <v>47</v>
      </c>
      <c r="AA478" t="s">
        <v>340</v>
      </c>
      <c r="AB478" t="s">
        <v>49</v>
      </c>
      <c r="AC478" t="s">
        <v>341</v>
      </c>
      <c r="AD478" t="b">
        <v>0</v>
      </c>
      <c r="AF478">
        <v>1</v>
      </c>
      <c r="AG478" t="s">
        <v>104</v>
      </c>
    </row>
    <row r="479" spans="1:33" x14ac:dyDescent="0.2">
      <c r="A479">
        <v>1077</v>
      </c>
      <c r="B479" t="s">
        <v>3216</v>
      </c>
      <c r="C479" t="s">
        <v>34</v>
      </c>
      <c r="D479" t="s">
        <v>35</v>
      </c>
      <c r="G479" t="s">
        <v>242</v>
      </c>
      <c r="H479" t="s">
        <v>243</v>
      </c>
      <c r="I479" t="s">
        <v>2193</v>
      </c>
      <c r="J479" t="s">
        <v>378</v>
      </c>
      <c r="K479">
        <v>2005</v>
      </c>
      <c r="L479">
        <v>2005</v>
      </c>
      <c r="M479">
        <v>0.84</v>
      </c>
      <c r="N479">
        <v>1.181</v>
      </c>
      <c r="R479" t="s">
        <v>72</v>
      </c>
      <c r="S479" t="s">
        <v>3217</v>
      </c>
      <c r="T479" t="b">
        <v>1</v>
      </c>
      <c r="U479" t="s">
        <v>3218</v>
      </c>
      <c r="V479" t="s">
        <v>274</v>
      </c>
      <c r="W479" t="s">
        <v>3219</v>
      </c>
      <c r="X479" t="s">
        <v>47</v>
      </c>
      <c r="AA479" t="s">
        <v>3216</v>
      </c>
      <c r="AB479" t="s">
        <v>49</v>
      </c>
      <c r="AC479" t="s">
        <v>3220</v>
      </c>
      <c r="AD479" t="b">
        <v>0</v>
      </c>
      <c r="AF479">
        <v>8</v>
      </c>
      <c r="AG479" t="s">
        <v>78</v>
      </c>
    </row>
    <row r="480" spans="1:33" x14ac:dyDescent="0.2">
      <c r="A480">
        <v>125</v>
      </c>
      <c r="B480" t="s">
        <v>3221</v>
      </c>
      <c r="C480" t="s">
        <v>34</v>
      </c>
      <c r="D480" t="s">
        <v>35</v>
      </c>
      <c r="E480" t="s">
        <v>36</v>
      </c>
      <c r="F480" t="s">
        <v>37</v>
      </c>
      <c r="G480" t="s">
        <v>224</v>
      </c>
      <c r="H480" t="s">
        <v>225</v>
      </c>
      <c r="I480" t="s">
        <v>3222</v>
      </c>
      <c r="J480" t="s">
        <v>337</v>
      </c>
      <c r="K480">
        <v>1922</v>
      </c>
      <c r="L480">
        <v>2019</v>
      </c>
      <c r="M480">
        <v>6.5</v>
      </c>
      <c r="N480">
        <v>24.552</v>
      </c>
      <c r="O480">
        <v>388.5</v>
      </c>
      <c r="P480">
        <v>2.2000000000000002</v>
      </c>
      <c r="Q480">
        <v>0.82099999999999995</v>
      </c>
      <c r="R480" t="s">
        <v>97</v>
      </c>
      <c r="S480" t="s">
        <v>3223</v>
      </c>
      <c r="T480" t="b">
        <v>1</v>
      </c>
      <c r="U480" t="s">
        <v>3224</v>
      </c>
      <c r="V480" t="s">
        <v>45</v>
      </c>
      <c r="W480" t="s">
        <v>3225</v>
      </c>
      <c r="X480" t="s">
        <v>47</v>
      </c>
      <c r="AA480" t="s">
        <v>102</v>
      </c>
      <c r="AB480" t="s">
        <v>3226</v>
      </c>
      <c r="AC480" t="s">
        <v>103</v>
      </c>
      <c r="AD480" t="b">
        <v>0</v>
      </c>
      <c r="AF480">
        <v>1</v>
      </c>
      <c r="AG480" t="s">
        <v>104</v>
      </c>
    </row>
    <row r="481" spans="1:33" x14ac:dyDescent="0.2">
      <c r="A481">
        <v>1208</v>
      </c>
      <c r="B481" t="s">
        <v>3227</v>
      </c>
      <c r="C481" t="s">
        <v>34</v>
      </c>
      <c r="D481" t="s">
        <v>35</v>
      </c>
      <c r="E481" t="s">
        <v>3228</v>
      </c>
      <c r="F481" t="s">
        <v>3229</v>
      </c>
      <c r="G481" t="s">
        <v>38</v>
      </c>
      <c r="H481" t="s">
        <v>39</v>
      </c>
      <c r="I481" t="s">
        <v>125</v>
      </c>
      <c r="J481" t="s">
        <v>49</v>
      </c>
      <c r="K481">
        <v>1994</v>
      </c>
      <c r="L481">
        <v>1994</v>
      </c>
      <c r="M481">
        <v>0.8</v>
      </c>
      <c r="N481">
        <v>1.915</v>
      </c>
      <c r="R481" t="s">
        <v>42</v>
      </c>
      <c r="S481" t="s">
        <v>3230</v>
      </c>
      <c r="T481" t="b">
        <v>1</v>
      </c>
      <c r="U481" t="s">
        <v>372</v>
      </c>
      <c r="V481" t="s">
        <v>3231</v>
      </c>
      <c r="W481" t="s">
        <v>3232</v>
      </c>
      <c r="X481" t="s">
        <v>47</v>
      </c>
      <c r="AA481" t="s">
        <v>114</v>
      </c>
      <c r="AC481" t="s">
        <v>63</v>
      </c>
      <c r="AD481" t="b">
        <v>0</v>
      </c>
      <c r="AF481">
        <v>12</v>
      </c>
      <c r="AG481" t="s">
        <v>51</v>
      </c>
    </row>
    <row r="482" spans="1:33" x14ac:dyDescent="0.2">
      <c r="A482">
        <v>1701</v>
      </c>
      <c r="B482" t="s">
        <v>3233</v>
      </c>
      <c r="C482" t="s">
        <v>34</v>
      </c>
      <c r="D482" t="s">
        <v>35</v>
      </c>
      <c r="E482" t="s">
        <v>3234</v>
      </c>
      <c r="F482" t="s">
        <v>3235</v>
      </c>
      <c r="G482" t="s">
        <v>1859</v>
      </c>
      <c r="H482" t="s">
        <v>203</v>
      </c>
      <c r="I482" t="s">
        <v>2550</v>
      </c>
      <c r="J482" t="s">
        <v>584</v>
      </c>
      <c r="K482">
        <v>2006</v>
      </c>
      <c r="L482">
        <v>2006</v>
      </c>
      <c r="M482">
        <v>1.9E-2</v>
      </c>
      <c r="N482">
        <v>9.6000000000000002E-2</v>
      </c>
      <c r="O482">
        <v>10</v>
      </c>
      <c r="P482">
        <v>0.31</v>
      </c>
      <c r="Q482">
        <v>1.7000000000000001E-2</v>
      </c>
      <c r="R482" t="s">
        <v>84</v>
      </c>
      <c r="S482" t="s">
        <v>3236</v>
      </c>
      <c r="T482" t="b">
        <v>1</v>
      </c>
      <c r="U482" t="s">
        <v>1305</v>
      </c>
      <c r="V482" t="s">
        <v>3237</v>
      </c>
      <c r="W482" t="s">
        <v>3238</v>
      </c>
      <c r="X482" t="s">
        <v>47</v>
      </c>
      <c r="AA482" t="s">
        <v>3239</v>
      </c>
      <c r="AC482" t="s">
        <v>63</v>
      </c>
      <c r="AD482" t="b">
        <v>0</v>
      </c>
      <c r="AF482">
        <v>3</v>
      </c>
      <c r="AG482" t="s">
        <v>332</v>
      </c>
    </row>
    <row r="483" spans="1:33" x14ac:dyDescent="0.2">
      <c r="A483">
        <v>1954</v>
      </c>
      <c r="B483" t="s">
        <v>3240</v>
      </c>
      <c r="C483" t="s">
        <v>34</v>
      </c>
      <c r="D483" t="s">
        <v>35</v>
      </c>
      <c r="G483" t="s">
        <v>53</v>
      </c>
      <c r="H483" t="s">
        <v>54</v>
      </c>
      <c r="I483" t="s">
        <v>1663</v>
      </c>
      <c r="J483" t="s">
        <v>973</v>
      </c>
      <c r="K483">
        <v>2007</v>
      </c>
      <c r="L483">
        <v>2007</v>
      </c>
      <c r="M483">
        <v>0.01</v>
      </c>
      <c r="N483">
        <v>4.1000000000000002E-2</v>
      </c>
      <c r="R483" t="s">
        <v>57</v>
      </c>
      <c r="S483" t="s">
        <v>3241</v>
      </c>
      <c r="T483" t="b">
        <v>1</v>
      </c>
      <c r="U483" t="s">
        <v>59</v>
      </c>
      <c r="V483" t="s">
        <v>274</v>
      </c>
      <c r="W483" t="s">
        <v>113</v>
      </c>
      <c r="X483" t="s">
        <v>47</v>
      </c>
      <c r="AA483" t="s">
        <v>1548</v>
      </c>
      <c r="AC483" t="s">
        <v>1549</v>
      </c>
      <c r="AD483" t="b">
        <v>0</v>
      </c>
      <c r="AF483">
        <v>2</v>
      </c>
      <c r="AG483" t="s">
        <v>287</v>
      </c>
    </row>
    <row r="484" spans="1:33" x14ac:dyDescent="0.2">
      <c r="A484">
        <v>1803</v>
      </c>
      <c r="B484" t="s">
        <v>3242</v>
      </c>
      <c r="C484" t="s">
        <v>34</v>
      </c>
      <c r="D484" t="s">
        <v>35</v>
      </c>
      <c r="E484" t="s">
        <v>3243</v>
      </c>
      <c r="F484" t="s">
        <v>3244</v>
      </c>
      <c r="G484" t="s">
        <v>242</v>
      </c>
      <c r="H484" t="s">
        <v>243</v>
      </c>
      <c r="I484" t="s">
        <v>3245</v>
      </c>
      <c r="J484" t="s">
        <v>109</v>
      </c>
      <c r="K484">
        <v>2014</v>
      </c>
      <c r="L484">
        <v>2014</v>
      </c>
      <c r="M484">
        <v>0.59099999999999997</v>
      </c>
      <c r="N484">
        <v>1.4930000000000001</v>
      </c>
      <c r="O484">
        <v>196.6</v>
      </c>
      <c r="P484">
        <v>0.375</v>
      </c>
      <c r="Q484">
        <v>0.438</v>
      </c>
      <c r="R484" t="s">
        <v>72</v>
      </c>
      <c r="S484" t="s">
        <v>3246</v>
      </c>
      <c r="T484" t="b">
        <v>1</v>
      </c>
      <c r="U484" t="s">
        <v>3247</v>
      </c>
      <c r="V484" t="s">
        <v>3248</v>
      </c>
      <c r="W484" t="s">
        <v>3249</v>
      </c>
      <c r="X484" t="s">
        <v>47</v>
      </c>
      <c r="AA484" t="s">
        <v>982</v>
      </c>
      <c r="AC484" t="s">
        <v>983</v>
      </c>
      <c r="AD484" t="b">
        <v>0</v>
      </c>
      <c r="AF484">
        <v>9</v>
      </c>
      <c r="AG484" t="s">
        <v>251</v>
      </c>
    </row>
    <row r="485" spans="1:33" x14ac:dyDescent="0.2">
      <c r="A485">
        <v>1311</v>
      </c>
      <c r="B485" t="s">
        <v>3250</v>
      </c>
      <c r="C485" t="s">
        <v>34</v>
      </c>
      <c r="D485" t="s">
        <v>35</v>
      </c>
      <c r="G485" t="s">
        <v>242</v>
      </c>
      <c r="H485" t="s">
        <v>243</v>
      </c>
      <c r="I485" t="s">
        <v>3251</v>
      </c>
      <c r="J485" t="s">
        <v>1242</v>
      </c>
      <c r="K485">
        <v>2005</v>
      </c>
      <c r="L485">
        <v>2005</v>
      </c>
      <c r="M485">
        <v>0.05</v>
      </c>
      <c r="N485">
        <v>9.9000000000000005E-2</v>
      </c>
      <c r="R485" t="s">
        <v>72</v>
      </c>
      <c r="S485" t="s">
        <v>3252</v>
      </c>
      <c r="T485" t="b">
        <v>1</v>
      </c>
      <c r="U485" t="s">
        <v>237</v>
      </c>
      <c r="V485" t="s">
        <v>274</v>
      </c>
      <c r="W485" t="s">
        <v>3253</v>
      </c>
      <c r="X485" t="s">
        <v>47</v>
      </c>
      <c r="AA485" t="s">
        <v>3254</v>
      </c>
      <c r="AC485" t="s">
        <v>63</v>
      </c>
      <c r="AD485" t="b">
        <v>0</v>
      </c>
      <c r="AF485">
        <v>8</v>
      </c>
      <c r="AG485" t="s">
        <v>78</v>
      </c>
    </row>
    <row r="486" spans="1:33" x14ac:dyDescent="0.2">
      <c r="A486">
        <v>126</v>
      </c>
      <c r="B486" t="s">
        <v>3255</v>
      </c>
      <c r="C486" t="s">
        <v>34</v>
      </c>
      <c r="D486" t="s">
        <v>35</v>
      </c>
      <c r="E486" t="s">
        <v>277</v>
      </c>
      <c r="F486" t="s">
        <v>278</v>
      </c>
      <c r="G486" t="s">
        <v>3256</v>
      </c>
      <c r="H486" t="s">
        <v>308</v>
      </c>
      <c r="I486" t="s">
        <v>3256</v>
      </c>
      <c r="J486" t="s">
        <v>49</v>
      </c>
      <c r="K486">
        <v>1901</v>
      </c>
      <c r="L486">
        <v>1901</v>
      </c>
      <c r="M486">
        <v>4.7</v>
      </c>
      <c r="N486">
        <v>18.669</v>
      </c>
      <c r="O486">
        <v>105</v>
      </c>
      <c r="P486">
        <v>6.8</v>
      </c>
      <c r="Q486">
        <v>0.192</v>
      </c>
      <c r="R486" t="s">
        <v>97</v>
      </c>
      <c r="S486" t="s">
        <v>3257</v>
      </c>
      <c r="T486" t="b">
        <v>1</v>
      </c>
      <c r="U486" t="s">
        <v>3258</v>
      </c>
      <c r="V486" t="s">
        <v>3259</v>
      </c>
      <c r="W486" t="s">
        <v>113</v>
      </c>
      <c r="X486" t="s">
        <v>47</v>
      </c>
      <c r="AA486" t="s">
        <v>3260</v>
      </c>
      <c r="AB486" t="s">
        <v>49</v>
      </c>
      <c r="AC486" t="s">
        <v>3261</v>
      </c>
      <c r="AD486" t="b">
        <v>0</v>
      </c>
      <c r="AF486">
        <v>1</v>
      </c>
      <c r="AG486" t="s">
        <v>104</v>
      </c>
    </row>
    <row r="487" spans="1:33" x14ac:dyDescent="0.2">
      <c r="A487">
        <v>1790</v>
      </c>
      <c r="B487" t="s">
        <v>3255</v>
      </c>
      <c r="C487" t="s">
        <v>34</v>
      </c>
      <c r="D487" t="s">
        <v>35</v>
      </c>
      <c r="E487" t="s">
        <v>3262</v>
      </c>
      <c r="F487" t="s">
        <v>3263</v>
      </c>
      <c r="G487" t="s">
        <v>134</v>
      </c>
      <c r="H487" t="s">
        <v>135</v>
      </c>
      <c r="I487" t="s">
        <v>2074</v>
      </c>
      <c r="J487" t="s">
        <v>225</v>
      </c>
      <c r="K487">
        <v>2014</v>
      </c>
      <c r="L487">
        <v>2014</v>
      </c>
      <c r="M487">
        <v>0.13200000000000001</v>
      </c>
      <c r="N487">
        <v>0.218</v>
      </c>
      <c r="P487">
        <v>0.14000000000000001</v>
      </c>
      <c r="R487" t="s">
        <v>42</v>
      </c>
      <c r="S487" t="s">
        <v>3264</v>
      </c>
      <c r="T487" t="b">
        <v>1</v>
      </c>
      <c r="U487" t="s">
        <v>3265</v>
      </c>
      <c r="V487" t="s">
        <v>3266</v>
      </c>
      <c r="W487" t="s">
        <v>113</v>
      </c>
      <c r="X487" t="s">
        <v>47</v>
      </c>
      <c r="AA487" t="s">
        <v>2652</v>
      </c>
      <c r="AC487" t="s">
        <v>2653</v>
      </c>
      <c r="AD487" t="b">
        <v>0</v>
      </c>
      <c r="AF487">
        <v>10</v>
      </c>
      <c r="AG487" t="s">
        <v>143</v>
      </c>
    </row>
    <row r="488" spans="1:33" x14ac:dyDescent="0.2">
      <c r="A488">
        <v>127</v>
      </c>
      <c r="B488" t="s">
        <v>3267</v>
      </c>
      <c r="C488" t="s">
        <v>34</v>
      </c>
      <c r="D488" t="s">
        <v>35</v>
      </c>
      <c r="E488" t="s">
        <v>1074</v>
      </c>
      <c r="F488" t="s">
        <v>1075</v>
      </c>
      <c r="G488" t="s">
        <v>38</v>
      </c>
      <c r="H488" t="s">
        <v>39</v>
      </c>
      <c r="I488" t="s">
        <v>3267</v>
      </c>
      <c r="J488" t="s">
        <v>308</v>
      </c>
      <c r="K488">
        <v>1947</v>
      </c>
      <c r="L488">
        <v>1947</v>
      </c>
      <c r="M488">
        <v>1.1000000000000001</v>
      </c>
      <c r="N488">
        <v>4.8630000000000004</v>
      </c>
      <c r="O488">
        <v>88</v>
      </c>
      <c r="P488">
        <v>1.79</v>
      </c>
      <c r="Q488">
        <v>0.17</v>
      </c>
      <c r="R488" t="s">
        <v>42</v>
      </c>
      <c r="S488" t="s">
        <v>3268</v>
      </c>
      <c r="T488" t="b">
        <v>1</v>
      </c>
      <c r="U488" t="s">
        <v>3104</v>
      </c>
      <c r="V488" t="s">
        <v>1080</v>
      </c>
      <c r="W488" t="s">
        <v>3269</v>
      </c>
      <c r="X488" t="s">
        <v>47</v>
      </c>
      <c r="AA488" t="s">
        <v>3270</v>
      </c>
      <c r="AB488" t="s">
        <v>49</v>
      </c>
      <c r="AC488" t="s">
        <v>3271</v>
      </c>
      <c r="AD488" t="b">
        <v>0</v>
      </c>
      <c r="AF488">
        <v>12</v>
      </c>
      <c r="AG488" t="s">
        <v>51</v>
      </c>
    </row>
    <row r="489" spans="1:33" x14ac:dyDescent="0.2">
      <c r="A489">
        <v>1490</v>
      </c>
      <c r="B489" t="s">
        <v>3272</v>
      </c>
      <c r="C489" t="s">
        <v>34</v>
      </c>
      <c r="D489" t="s">
        <v>35</v>
      </c>
      <c r="E489" t="s">
        <v>168</v>
      </c>
      <c r="F489" t="s">
        <v>169</v>
      </c>
      <c r="G489" t="s">
        <v>242</v>
      </c>
      <c r="H489" t="s">
        <v>243</v>
      </c>
      <c r="I489" t="s">
        <v>3251</v>
      </c>
      <c r="J489" t="s">
        <v>1242</v>
      </c>
      <c r="K489">
        <v>1920</v>
      </c>
      <c r="L489">
        <v>1920</v>
      </c>
      <c r="M489">
        <v>0.72</v>
      </c>
      <c r="N489">
        <v>1.913</v>
      </c>
      <c r="O489">
        <v>175</v>
      </c>
      <c r="P489">
        <v>0.7</v>
      </c>
      <c r="R489" t="s">
        <v>72</v>
      </c>
      <c r="S489" t="s">
        <v>3273</v>
      </c>
      <c r="T489" t="b">
        <v>1</v>
      </c>
      <c r="U489" t="s">
        <v>3274</v>
      </c>
      <c r="V489" t="s">
        <v>174</v>
      </c>
      <c r="W489" t="s">
        <v>113</v>
      </c>
      <c r="X489" t="s">
        <v>47</v>
      </c>
      <c r="AA489" t="s">
        <v>1276</v>
      </c>
      <c r="AC489" t="s">
        <v>63</v>
      </c>
      <c r="AD489" t="b">
        <v>0</v>
      </c>
      <c r="AF489">
        <v>8</v>
      </c>
      <c r="AG489" t="s">
        <v>78</v>
      </c>
    </row>
    <row r="490" spans="1:33" x14ac:dyDescent="0.2">
      <c r="A490">
        <v>885</v>
      </c>
      <c r="B490" t="s">
        <v>3275</v>
      </c>
      <c r="C490" t="s">
        <v>34</v>
      </c>
      <c r="D490" t="s">
        <v>35</v>
      </c>
      <c r="E490" t="s">
        <v>3276</v>
      </c>
      <c r="F490" t="s">
        <v>3277</v>
      </c>
      <c r="G490" t="s">
        <v>213</v>
      </c>
      <c r="H490" t="s">
        <v>83</v>
      </c>
      <c r="I490" t="s">
        <v>635</v>
      </c>
      <c r="J490" t="s">
        <v>94</v>
      </c>
      <c r="K490">
        <v>1997</v>
      </c>
      <c r="L490">
        <v>1997</v>
      </c>
      <c r="M490">
        <v>7.0000000000000007E-2</v>
      </c>
      <c r="N490">
        <v>0.42699999999999999</v>
      </c>
      <c r="R490" t="s">
        <v>84</v>
      </c>
      <c r="S490" t="s">
        <v>3278</v>
      </c>
      <c r="T490" t="b">
        <v>1</v>
      </c>
      <c r="U490" t="s">
        <v>111</v>
      </c>
      <c r="V490" t="s">
        <v>3279</v>
      </c>
      <c r="W490" t="s">
        <v>3280</v>
      </c>
      <c r="X490" t="s">
        <v>47</v>
      </c>
      <c r="AA490" t="s">
        <v>958</v>
      </c>
      <c r="AC490" t="s">
        <v>959</v>
      </c>
      <c r="AD490" t="b">
        <v>0</v>
      </c>
      <c r="AF490">
        <v>3</v>
      </c>
      <c r="AG490" t="s">
        <v>332</v>
      </c>
    </row>
    <row r="491" spans="1:33" x14ac:dyDescent="0.2">
      <c r="A491">
        <v>128</v>
      </c>
      <c r="B491" t="s">
        <v>3281</v>
      </c>
      <c r="C491" t="s">
        <v>34</v>
      </c>
      <c r="D491" t="s">
        <v>35</v>
      </c>
      <c r="E491" t="s">
        <v>404</v>
      </c>
      <c r="F491" t="s">
        <v>405</v>
      </c>
      <c r="G491" t="s">
        <v>312</v>
      </c>
      <c r="H491" t="s">
        <v>313</v>
      </c>
      <c r="I491" t="s">
        <v>2218</v>
      </c>
      <c r="J491" t="s">
        <v>1077</v>
      </c>
      <c r="K491">
        <v>1961</v>
      </c>
      <c r="L491">
        <v>1961</v>
      </c>
      <c r="M491">
        <v>22</v>
      </c>
      <c r="N491">
        <v>114.01600000000001</v>
      </c>
      <c r="O491">
        <v>70</v>
      </c>
      <c r="P491">
        <v>40</v>
      </c>
      <c r="Q491">
        <v>0.153</v>
      </c>
      <c r="R491" t="s">
        <v>84</v>
      </c>
      <c r="S491" t="s">
        <v>3282</v>
      </c>
      <c r="T491" t="b">
        <v>1</v>
      </c>
      <c r="U491" t="s">
        <v>3283</v>
      </c>
      <c r="V491" t="s">
        <v>408</v>
      </c>
      <c r="W491" t="s">
        <v>3284</v>
      </c>
      <c r="X491" t="s">
        <v>47</v>
      </c>
      <c r="AA491" t="s">
        <v>860</v>
      </c>
      <c r="AB491" t="s">
        <v>83</v>
      </c>
      <c r="AC491" t="s">
        <v>861</v>
      </c>
      <c r="AD491" t="b">
        <v>0</v>
      </c>
      <c r="AF491">
        <v>4</v>
      </c>
      <c r="AG491" t="s">
        <v>321</v>
      </c>
    </row>
    <row r="492" spans="1:33" x14ac:dyDescent="0.2">
      <c r="A492">
        <v>1716</v>
      </c>
      <c r="B492" t="s">
        <v>3285</v>
      </c>
      <c r="C492" t="s">
        <v>34</v>
      </c>
      <c r="D492" t="s">
        <v>35</v>
      </c>
      <c r="E492" t="s">
        <v>3286</v>
      </c>
      <c r="F492" t="s">
        <v>3287</v>
      </c>
      <c r="G492" t="s">
        <v>93</v>
      </c>
      <c r="H492" t="s">
        <v>94</v>
      </c>
      <c r="I492" t="s">
        <v>3288</v>
      </c>
      <c r="J492" t="s">
        <v>41</v>
      </c>
      <c r="K492">
        <v>2012</v>
      </c>
      <c r="L492">
        <v>2012</v>
      </c>
      <c r="M492">
        <v>2.4649999999999999</v>
      </c>
      <c r="N492">
        <v>6.1319999999999997</v>
      </c>
      <c r="O492">
        <v>90.6</v>
      </c>
      <c r="P492">
        <v>3.25</v>
      </c>
      <c r="Q492">
        <v>0.21099999999999999</v>
      </c>
      <c r="R492" t="s">
        <v>97</v>
      </c>
      <c r="S492" t="s">
        <v>3289</v>
      </c>
      <c r="T492" t="b">
        <v>1</v>
      </c>
      <c r="U492" t="s">
        <v>3290</v>
      </c>
      <c r="V492" t="s">
        <v>3291</v>
      </c>
      <c r="W492" t="s">
        <v>3292</v>
      </c>
      <c r="X492" t="s">
        <v>47</v>
      </c>
      <c r="AA492" t="s">
        <v>340</v>
      </c>
      <c r="AB492" t="s">
        <v>474</v>
      </c>
      <c r="AC492" t="s">
        <v>341</v>
      </c>
      <c r="AD492" t="b">
        <v>0</v>
      </c>
      <c r="AF492">
        <v>1</v>
      </c>
      <c r="AG492" t="s">
        <v>104</v>
      </c>
    </row>
    <row r="493" spans="1:33" x14ac:dyDescent="0.2">
      <c r="A493">
        <v>617</v>
      </c>
      <c r="B493" t="s">
        <v>3293</v>
      </c>
      <c r="C493" t="s">
        <v>34</v>
      </c>
      <c r="D493" t="s">
        <v>35</v>
      </c>
      <c r="E493" t="s">
        <v>501</v>
      </c>
      <c r="F493" t="s">
        <v>502</v>
      </c>
      <c r="G493" t="s">
        <v>242</v>
      </c>
      <c r="H493" t="s">
        <v>243</v>
      </c>
      <c r="I493" t="s">
        <v>1302</v>
      </c>
      <c r="J493" t="s">
        <v>1303</v>
      </c>
      <c r="K493">
        <v>1988</v>
      </c>
      <c r="L493">
        <v>1988</v>
      </c>
      <c r="M493">
        <v>1.2999000000000001</v>
      </c>
      <c r="N493">
        <v>4.375</v>
      </c>
      <c r="O493">
        <v>48</v>
      </c>
      <c r="P493">
        <v>3.1</v>
      </c>
      <c r="Q493">
        <v>0.115</v>
      </c>
      <c r="R493" t="s">
        <v>72</v>
      </c>
      <c r="S493" t="s">
        <v>3294</v>
      </c>
      <c r="T493" t="b">
        <v>1</v>
      </c>
      <c r="U493" t="s">
        <v>3295</v>
      </c>
      <c r="V493" t="s">
        <v>507</v>
      </c>
      <c r="W493" t="s">
        <v>113</v>
      </c>
      <c r="X493" t="s">
        <v>47</v>
      </c>
      <c r="AA493" t="s">
        <v>3296</v>
      </c>
      <c r="AB493" t="s">
        <v>177</v>
      </c>
      <c r="AC493" t="s">
        <v>3297</v>
      </c>
      <c r="AD493" t="b">
        <v>0</v>
      </c>
      <c r="AF493">
        <v>9</v>
      </c>
      <c r="AG493" t="s">
        <v>251</v>
      </c>
    </row>
    <row r="494" spans="1:33" x14ac:dyDescent="0.2">
      <c r="A494">
        <v>130</v>
      </c>
      <c r="B494" t="s">
        <v>3298</v>
      </c>
      <c r="C494" t="s">
        <v>34</v>
      </c>
      <c r="D494" t="s">
        <v>35</v>
      </c>
      <c r="E494" t="s">
        <v>818</v>
      </c>
      <c r="F494" t="s">
        <v>819</v>
      </c>
      <c r="G494" t="s">
        <v>53</v>
      </c>
      <c r="H494" t="s">
        <v>54</v>
      </c>
      <c r="I494" t="s">
        <v>82</v>
      </c>
      <c r="J494" t="s">
        <v>83</v>
      </c>
      <c r="K494">
        <v>1958</v>
      </c>
      <c r="L494">
        <v>2025</v>
      </c>
      <c r="M494">
        <v>12</v>
      </c>
      <c r="N494">
        <v>49.465000000000003</v>
      </c>
      <c r="O494">
        <v>325</v>
      </c>
      <c r="P494">
        <v>4.5</v>
      </c>
      <c r="Q494">
        <v>0.74</v>
      </c>
      <c r="R494" t="s">
        <v>84</v>
      </c>
      <c r="S494" t="s">
        <v>3299</v>
      </c>
      <c r="T494" t="b">
        <v>1</v>
      </c>
      <c r="U494" t="s">
        <v>3300</v>
      </c>
      <c r="V494" t="s">
        <v>822</v>
      </c>
      <c r="W494" t="s">
        <v>3301</v>
      </c>
      <c r="X494" t="s">
        <v>47</v>
      </c>
      <c r="AA494" t="s">
        <v>3302</v>
      </c>
      <c r="AB494" t="s">
        <v>612</v>
      </c>
      <c r="AC494" t="s">
        <v>3303</v>
      </c>
      <c r="AD494" t="b">
        <v>0</v>
      </c>
      <c r="AF494">
        <v>5</v>
      </c>
      <c r="AG494" t="s">
        <v>89</v>
      </c>
    </row>
    <row r="495" spans="1:33" x14ac:dyDescent="0.2">
      <c r="A495">
        <v>131</v>
      </c>
      <c r="B495" t="s">
        <v>3304</v>
      </c>
      <c r="C495" t="s">
        <v>34</v>
      </c>
      <c r="D495" t="s">
        <v>35</v>
      </c>
      <c r="E495" t="s">
        <v>277</v>
      </c>
      <c r="F495" t="s">
        <v>278</v>
      </c>
      <c r="G495" t="s">
        <v>93</v>
      </c>
      <c r="H495" t="s">
        <v>94</v>
      </c>
      <c r="I495" t="s">
        <v>2497</v>
      </c>
      <c r="J495" t="s">
        <v>426</v>
      </c>
      <c r="K495">
        <v>1965</v>
      </c>
      <c r="L495">
        <v>1965</v>
      </c>
      <c r="M495">
        <v>108</v>
      </c>
      <c r="N495">
        <v>473.51</v>
      </c>
      <c r="O495">
        <v>34.619999999999997</v>
      </c>
      <c r="P495">
        <v>400</v>
      </c>
      <c r="Q495">
        <v>7.4999999999999997E-2</v>
      </c>
      <c r="R495" t="s">
        <v>97</v>
      </c>
      <c r="S495" t="s">
        <v>3305</v>
      </c>
      <c r="T495" t="b">
        <v>1</v>
      </c>
      <c r="U495" t="s">
        <v>3306</v>
      </c>
      <c r="V495" t="s">
        <v>3307</v>
      </c>
      <c r="W495" t="s">
        <v>3308</v>
      </c>
      <c r="X495" t="s">
        <v>47</v>
      </c>
      <c r="AA495" t="s">
        <v>340</v>
      </c>
      <c r="AB495" t="s">
        <v>1242</v>
      </c>
      <c r="AC495" t="s">
        <v>1063</v>
      </c>
      <c r="AD495" t="b">
        <v>0</v>
      </c>
      <c r="AF495">
        <v>1</v>
      </c>
      <c r="AG495" t="s">
        <v>104</v>
      </c>
    </row>
    <row r="496" spans="1:33" x14ac:dyDescent="0.2">
      <c r="A496">
        <v>1585</v>
      </c>
      <c r="B496" t="s">
        <v>3309</v>
      </c>
      <c r="C496" t="s">
        <v>34</v>
      </c>
      <c r="D496" t="s">
        <v>35</v>
      </c>
      <c r="E496" t="s">
        <v>892</v>
      </c>
      <c r="F496" t="s">
        <v>893</v>
      </c>
      <c r="G496" t="s">
        <v>312</v>
      </c>
      <c r="H496" t="s">
        <v>313</v>
      </c>
      <c r="I496" t="s">
        <v>2224</v>
      </c>
      <c r="J496" t="s">
        <v>119</v>
      </c>
      <c r="K496">
        <v>2009</v>
      </c>
      <c r="L496">
        <v>2009</v>
      </c>
      <c r="M496">
        <v>1.8</v>
      </c>
      <c r="N496">
        <v>6.4119999999999999</v>
      </c>
      <c r="O496">
        <v>240</v>
      </c>
      <c r="P496">
        <v>1.1000000000000001</v>
      </c>
      <c r="Q496">
        <v>0.45500000000000002</v>
      </c>
      <c r="R496" t="s">
        <v>84</v>
      </c>
      <c r="S496" t="s">
        <v>3310</v>
      </c>
      <c r="T496" t="b">
        <v>1</v>
      </c>
      <c r="U496" t="s">
        <v>3311</v>
      </c>
      <c r="V496" t="s">
        <v>896</v>
      </c>
      <c r="W496" t="s">
        <v>3312</v>
      </c>
      <c r="X496" t="s">
        <v>47</v>
      </c>
      <c r="AA496" t="s">
        <v>509</v>
      </c>
      <c r="AB496" t="s">
        <v>256</v>
      </c>
      <c r="AC496" t="s">
        <v>510</v>
      </c>
      <c r="AD496" t="b">
        <v>0</v>
      </c>
      <c r="AF496">
        <v>4</v>
      </c>
      <c r="AG496" t="s">
        <v>321</v>
      </c>
    </row>
    <row r="497" spans="1:33" x14ac:dyDescent="0.2">
      <c r="A497">
        <v>132</v>
      </c>
      <c r="B497" t="s">
        <v>3313</v>
      </c>
      <c r="C497" t="s">
        <v>34</v>
      </c>
      <c r="D497" t="s">
        <v>35</v>
      </c>
      <c r="E497" t="s">
        <v>3314</v>
      </c>
      <c r="F497" t="s">
        <v>3315</v>
      </c>
      <c r="G497" t="s">
        <v>242</v>
      </c>
      <c r="H497" t="s">
        <v>243</v>
      </c>
      <c r="I497" t="s">
        <v>799</v>
      </c>
      <c r="J497" t="s">
        <v>96</v>
      </c>
      <c r="K497">
        <v>1980</v>
      </c>
      <c r="L497">
        <v>1980</v>
      </c>
      <c r="M497">
        <v>1.1000000000000001</v>
      </c>
      <c r="N497">
        <v>2.6949999999999998</v>
      </c>
      <c r="O497">
        <v>60</v>
      </c>
      <c r="P497">
        <v>2.29</v>
      </c>
      <c r="Q497">
        <v>0.13300000000000001</v>
      </c>
      <c r="R497" t="s">
        <v>72</v>
      </c>
      <c r="S497" t="s">
        <v>3316</v>
      </c>
      <c r="T497" t="b">
        <v>1</v>
      </c>
      <c r="U497" t="s">
        <v>3317</v>
      </c>
      <c r="V497" t="s">
        <v>3318</v>
      </c>
      <c r="W497" t="s">
        <v>113</v>
      </c>
      <c r="X497" t="s">
        <v>47</v>
      </c>
      <c r="AA497" t="s">
        <v>3319</v>
      </c>
      <c r="AB497" t="s">
        <v>49</v>
      </c>
      <c r="AC497" t="s">
        <v>3320</v>
      </c>
      <c r="AD497" t="b">
        <v>0</v>
      </c>
      <c r="AF497">
        <v>9</v>
      </c>
      <c r="AG497" t="s">
        <v>251</v>
      </c>
    </row>
    <row r="498" spans="1:33" x14ac:dyDescent="0.2">
      <c r="A498">
        <v>1523</v>
      </c>
      <c r="B498" t="s">
        <v>3321</v>
      </c>
      <c r="C498" t="s">
        <v>34</v>
      </c>
      <c r="D498" t="s">
        <v>35</v>
      </c>
      <c r="E498" t="s">
        <v>3322</v>
      </c>
      <c r="F498" t="s">
        <v>3323</v>
      </c>
      <c r="G498" t="s">
        <v>68</v>
      </c>
      <c r="H498" t="s">
        <v>69</v>
      </c>
      <c r="I498" t="s">
        <v>1209</v>
      </c>
      <c r="J498" t="s">
        <v>171</v>
      </c>
      <c r="K498">
        <v>2009</v>
      </c>
      <c r="L498">
        <v>2009</v>
      </c>
      <c r="M498">
        <v>0.215</v>
      </c>
      <c r="N498">
        <v>0.53300000000000003</v>
      </c>
      <c r="O498">
        <v>47</v>
      </c>
      <c r="P498">
        <v>0.55000000000000004</v>
      </c>
      <c r="Q498">
        <v>0.109</v>
      </c>
      <c r="R498" t="s">
        <v>72</v>
      </c>
      <c r="S498" t="s">
        <v>3324</v>
      </c>
      <c r="T498" t="b">
        <v>1</v>
      </c>
      <c r="U498" t="s">
        <v>3325</v>
      </c>
      <c r="V498" t="s">
        <v>3326</v>
      </c>
      <c r="W498" t="s">
        <v>3327</v>
      </c>
      <c r="X498" t="s">
        <v>47</v>
      </c>
      <c r="AA498" t="s">
        <v>3328</v>
      </c>
      <c r="AC498" t="s">
        <v>63</v>
      </c>
      <c r="AD498" t="b">
        <v>0</v>
      </c>
      <c r="AF498">
        <v>8</v>
      </c>
      <c r="AG498" t="s">
        <v>78</v>
      </c>
    </row>
    <row r="499" spans="1:33" x14ac:dyDescent="0.2">
      <c r="A499">
        <v>1910</v>
      </c>
      <c r="B499" t="s">
        <v>3329</v>
      </c>
      <c r="C499" t="s">
        <v>34</v>
      </c>
      <c r="D499" t="s">
        <v>35</v>
      </c>
      <c r="E499" t="s">
        <v>459</v>
      </c>
      <c r="F499" t="s">
        <v>460</v>
      </c>
      <c r="G499" t="s">
        <v>53</v>
      </c>
      <c r="H499" t="s">
        <v>54</v>
      </c>
      <c r="I499" t="s">
        <v>461</v>
      </c>
      <c r="J499" t="s">
        <v>462</v>
      </c>
      <c r="K499">
        <v>2018</v>
      </c>
      <c r="L499">
        <v>2018</v>
      </c>
      <c r="M499">
        <v>4.49</v>
      </c>
      <c r="N499">
        <v>7.9829999999999997</v>
      </c>
      <c r="O499">
        <v>626.35</v>
      </c>
      <c r="P499">
        <v>0.85</v>
      </c>
      <c r="Q499">
        <v>1.4670000000000001</v>
      </c>
      <c r="R499" t="s">
        <v>57</v>
      </c>
      <c r="S499" t="s">
        <v>3330</v>
      </c>
      <c r="T499" t="b">
        <v>1</v>
      </c>
      <c r="U499" t="s">
        <v>3331</v>
      </c>
      <c r="V499" t="s">
        <v>465</v>
      </c>
      <c r="W499" t="s">
        <v>3332</v>
      </c>
      <c r="X499" t="s">
        <v>47</v>
      </c>
      <c r="AA499" t="s">
        <v>114</v>
      </c>
      <c r="AB499" t="s">
        <v>49</v>
      </c>
      <c r="AC499" t="s">
        <v>3333</v>
      </c>
      <c r="AD499" t="b">
        <v>0</v>
      </c>
      <c r="AF499">
        <v>7</v>
      </c>
      <c r="AG499" t="s">
        <v>469</v>
      </c>
    </row>
    <row r="500" spans="1:33" x14ac:dyDescent="0.2">
      <c r="A500">
        <v>280</v>
      </c>
      <c r="B500" t="s">
        <v>3334</v>
      </c>
      <c r="C500" t="s">
        <v>34</v>
      </c>
      <c r="D500" t="s">
        <v>35</v>
      </c>
      <c r="E500" t="s">
        <v>3335</v>
      </c>
      <c r="F500" t="s">
        <v>3336</v>
      </c>
      <c r="G500" t="s">
        <v>53</v>
      </c>
      <c r="H500" t="s">
        <v>54</v>
      </c>
      <c r="I500" t="s">
        <v>118</v>
      </c>
      <c r="J500" t="s">
        <v>119</v>
      </c>
      <c r="K500">
        <v>1954</v>
      </c>
      <c r="L500">
        <v>2011</v>
      </c>
      <c r="M500">
        <v>4.96</v>
      </c>
      <c r="N500">
        <v>26.728000000000002</v>
      </c>
      <c r="O500">
        <v>155.5</v>
      </c>
      <c r="P500">
        <v>3.63</v>
      </c>
      <c r="Q500">
        <v>0.38</v>
      </c>
      <c r="R500" t="s">
        <v>84</v>
      </c>
      <c r="S500" t="s">
        <v>3337</v>
      </c>
      <c r="T500" t="b">
        <v>1</v>
      </c>
      <c r="U500" t="s">
        <v>3338</v>
      </c>
      <c r="V500" t="s">
        <v>3339</v>
      </c>
      <c r="W500" t="s">
        <v>3340</v>
      </c>
      <c r="X500" t="s">
        <v>47</v>
      </c>
      <c r="AA500" t="s">
        <v>3341</v>
      </c>
      <c r="AB500" t="s">
        <v>49</v>
      </c>
      <c r="AC500" t="s">
        <v>3342</v>
      </c>
      <c r="AD500" t="b">
        <v>0</v>
      </c>
      <c r="AF500">
        <v>5</v>
      </c>
      <c r="AG500" t="s">
        <v>89</v>
      </c>
    </row>
    <row r="501" spans="1:33" x14ac:dyDescent="0.2">
      <c r="A501">
        <v>1588</v>
      </c>
      <c r="B501" t="s">
        <v>3343</v>
      </c>
      <c r="C501" t="s">
        <v>34</v>
      </c>
      <c r="D501" t="s">
        <v>35</v>
      </c>
      <c r="E501" t="s">
        <v>3344</v>
      </c>
      <c r="F501" t="s">
        <v>3345</v>
      </c>
      <c r="G501" t="s">
        <v>53</v>
      </c>
      <c r="H501" t="s">
        <v>54</v>
      </c>
      <c r="I501" t="s">
        <v>235</v>
      </c>
      <c r="J501" t="s">
        <v>41</v>
      </c>
      <c r="K501">
        <v>2010</v>
      </c>
      <c r="L501">
        <v>2010</v>
      </c>
      <c r="M501">
        <v>2</v>
      </c>
      <c r="N501">
        <v>4.665</v>
      </c>
      <c r="O501">
        <v>206</v>
      </c>
      <c r="P501">
        <v>1.25</v>
      </c>
      <c r="Q501">
        <v>0.44400000000000001</v>
      </c>
      <c r="R501" t="s">
        <v>84</v>
      </c>
      <c r="S501" t="s">
        <v>3346</v>
      </c>
      <c r="T501" t="b">
        <v>1</v>
      </c>
      <c r="U501" t="s">
        <v>3347</v>
      </c>
      <c r="V501" t="s">
        <v>3348</v>
      </c>
      <c r="W501" t="s">
        <v>3349</v>
      </c>
      <c r="X501" t="s">
        <v>47</v>
      </c>
      <c r="AA501" t="s">
        <v>3343</v>
      </c>
      <c r="AC501" t="s">
        <v>63</v>
      </c>
      <c r="AD501" t="b">
        <v>0</v>
      </c>
      <c r="AF501">
        <v>5</v>
      </c>
      <c r="AG501" t="s">
        <v>89</v>
      </c>
    </row>
    <row r="502" spans="1:33" x14ac:dyDescent="0.2">
      <c r="A502">
        <v>1944</v>
      </c>
      <c r="B502" t="s">
        <v>3350</v>
      </c>
      <c r="C502" t="s">
        <v>34</v>
      </c>
      <c r="D502" t="s">
        <v>35</v>
      </c>
      <c r="E502" t="s">
        <v>1821</v>
      </c>
      <c r="F502" t="s">
        <v>1822</v>
      </c>
      <c r="G502" t="s">
        <v>53</v>
      </c>
      <c r="H502" t="s">
        <v>54</v>
      </c>
      <c r="I502" t="s">
        <v>325</v>
      </c>
      <c r="J502" t="s">
        <v>135</v>
      </c>
      <c r="K502">
        <v>2018</v>
      </c>
      <c r="L502">
        <v>2018</v>
      </c>
      <c r="M502">
        <v>5.43</v>
      </c>
      <c r="N502">
        <v>15.087</v>
      </c>
      <c r="O502">
        <v>42</v>
      </c>
      <c r="P502">
        <v>14.8</v>
      </c>
      <c r="Q502">
        <v>0.10199999999999999</v>
      </c>
      <c r="R502" t="s">
        <v>57</v>
      </c>
      <c r="S502" t="s">
        <v>3351</v>
      </c>
      <c r="T502" t="b">
        <v>1</v>
      </c>
      <c r="U502" t="s">
        <v>3352</v>
      </c>
      <c r="V502" t="s">
        <v>1824</v>
      </c>
      <c r="W502" t="s">
        <v>3353</v>
      </c>
      <c r="X502" t="s">
        <v>47</v>
      </c>
      <c r="AA502" t="s">
        <v>991</v>
      </c>
      <c r="AB502" t="s">
        <v>401</v>
      </c>
      <c r="AC502" t="s">
        <v>992</v>
      </c>
      <c r="AD502" t="b">
        <v>0</v>
      </c>
      <c r="AF502">
        <v>6</v>
      </c>
      <c r="AG502" t="s">
        <v>64</v>
      </c>
    </row>
    <row r="503" spans="1:33" x14ac:dyDescent="0.2">
      <c r="A503">
        <v>1562</v>
      </c>
      <c r="B503" t="s">
        <v>3354</v>
      </c>
      <c r="C503" t="s">
        <v>34</v>
      </c>
      <c r="D503" t="s">
        <v>35</v>
      </c>
      <c r="E503" t="s">
        <v>3355</v>
      </c>
      <c r="F503" t="s">
        <v>3356</v>
      </c>
      <c r="G503" t="s">
        <v>53</v>
      </c>
      <c r="H503" t="s">
        <v>54</v>
      </c>
      <c r="I503" t="s">
        <v>1678</v>
      </c>
      <c r="J503" t="s">
        <v>245</v>
      </c>
      <c r="K503">
        <v>2010</v>
      </c>
      <c r="L503">
        <v>2010</v>
      </c>
      <c r="M503">
        <v>0.48</v>
      </c>
      <c r="N503">
        <v>1.6679999999999999</v>
      </c>
      <c r="O503">
        <v>67</v>
      </c>
      <c r="P503">
        <v>0.92</v>
      </c>
      <c r="Q503">
        <v>0.14499999999999999</v>
      </c>
      <c r="R503" t="s">
        <v>57</v>
      </c>
      <c r="S503" t="s">
        <v>2391</v>
      </c>
      <c r="T503" t="b">
        <v>1</v>
      </c>
      <c r="U503" t="s">
        <v>3357</v>
      </c>
      <c r="V503" t="s">
        <v>3358</v>
      </c>
      <c r="W503" t="s">
        <v>3359</v>
      </c>
      <c r="X503" t="s">
        <v>47</v>
      </c>
      <c r="AA503" t="s">
        <v>114</v>
      </c>
      <c r="AC503" t="s">
        <v>63</v>
      </c>
      <c r="AD503" t="b">
        <v>0</v>
      </c>
      <c r="AF503">
        <v>6</v>
      </c>
      <c r="AG503" t="s">
        <v>64</v>
      </c>
    </row>
    <row r="504" spans="1:33" x14ac:dyDescent="0.2">
      <c r="A504">
        <v>133</v>
      </c>
      <c r="B504" t="s">
        <v>3360</v>
      </c>
      <c r="C504" t="s">
        <v>34</v>
      </c>
      <c r="D504" t="s">
        <v>35</v>
      </c>
      <c r="E504" t="s">
        <v>1708</v>
      </c>
      <c r="F504" t="s">
        <v>1709</v>
      </c>
      <c r="G504" t="s">
        <v>224</v>
      </c>
      <c r="H504" t="s">
        <v>225</v>
      </c>
      <c r="I504" t="s">
        <v>1710</v>
      </c>
      <c r="J504" t="s">
        <v>1077</v>
      </c>
      <c r="K504">
        <v>1938</v>
      </c>
      <c r="L504">
        <v>1938</v>
      </c>
      <c r="M504">
        <v>3.6</v>
      </c>
      <c r="N504">
        <v>19.260000000000002</v>
      </c>
      <c r="O504">
        <v>37</v>
      </c>
      <c r="P504">
        <v>12</v>
      </c>
      <c r="Q504">
        <v>8.3000000000000004E-2</v>
      </c>
      <c r="R504" t="s">
        <v>97</v>
      </c>
      <c r="S504" t="s">
        <v>3361</v>
      </c>
      <c r="T504" t="b">
        <v>1</v>
      </c>
      <c r="U504" t="s">
        <v>3362</v>
      </c>
      <c r="V504" t="s">
        <v>1712</v>
      </c>
      <c r="W504" t="s">
        <v>3363</v>
      </c>
      <c r="X504" t="s">
        <v>47</v>
      </c>
      <c r="AA504" t="s">
        <v>102</v>
      </c>
      <c r="AB504" t="s">
        <v>3364</v>
      </c>
      <c r="AC504" t="s">
        <v>103</v>
      </c>
      <c r="AD504" t="b">
        <v>0</v>
      </c>
      <c r="AF504">
        <v>1</v>
      </c>
      <c r="AG504" t="s">
        <v>104</v>
      </c>
    </row>
    <row r="505" spans="1:33" x14ac:dyDescent="0.2">
      <c r="A505">
        <v>1771</v>
      </c>
      <c r="B505" t="s">
        <v>3365</v>
      </c>
      <c r="C505" t="s">
        <v>34</v>
      </c>
      <c r="D505" t="s">
        <v>35</v>
      </c>
      <c r="G505" t="s">
        <v>213</v>
      </c>
      <c r="H505" t="s">
        <v>83</v>
      </c>
      <c r="I505" t="s">
        <v>635</v>
      </c>
      <c r="J505" t="s">
        <v>94</v>
      </c>
      <c r="K505">
        <v>2012</v>
      </c>
      <c r="L505">
        <v>2012</v>
      </c>
      <c r="M505">
        <v>2.1999999999999999E-2</v>
      </c>
      <c r="N505">
        <v>0.14499999999999999</v>
      </c>
      <c r="R505" t="s">
        <v>84</v>
      </c>
      <c r="S505" t="s">
        <v>3366</v>
      </c>
      <c r="T505" t="b">
        <v>1</v>
      </c>
      <c r="U505" t="s">
        <v>3367</v>
      </c>
      <c r="V505" t="s">
        <v>274</v>
      </c>
      <c r="W505" t="s">
        <v>3368</v>
      </c>
      <c r="X505" t="s">
        <v>47</v>
      </c>
      <c r="AA505" t="s">
        <v>3369</v>
      </c>
      <c r="AC505" t="s">
        <v>63</v>
      </c>
      <c r="AD505" t="b">
        <v>0</v>
      </c>
      <c r="AF505">
        <v>3</v>
      </c>
      <c r="AG505" t="s">
        <v>332</v>
      </c>
    </row>
    <row r="506" spans="1:33" x14ac:dyDescent="0.2">
      <c r="A506">
        <v>2150</v>
      </c>
      <c r="B506" t="s">
        <v>3370</v>
      </c>
      <c r="C506" t="s">
        <v>34</v>
      </c>
      <c r="D506" t="s">
        <v>35</v>
      </c>
      <c r="E506" t="s">
        <v>3371</v>
      </c>
      <c r="F506" t="s">
        <v>3372</v>
      </c>
      <c r="G506" t="s">
        <v>53</v>
      </c>
      <c r="H506" t="s">
        <v>54</v>
      </c>
      <c r="I506" t="s">
        <v>811</v>
      </c>
      <c r="J506" t="s">
        <v>94</v>
      </c>
      <c r="K506">
        <v>2024</v>
      </c>
      <c r="L506">
        <v>2024</v>
      </c>
      <c r="M506">
        <v>1.71</v>
      </c>
      <c r="N506">
        <v>4.5999999999999996</v>
      </c>
      <c r="O506">
        <v>149.9</v>
      </c>
      <c r="P506">
        <v>1.32</v>
      </c>
      <c r="Q506">
        <v>0.36</v>
      </c>
      <c r="R506" t="s">
        <v>57</v>
      </c>
      <c r="S506" t="s">
        <v>3373</v>
      </c>
      <c r="T506" t="b">
        <v>1</v>
      </c>
      <c r="U506" t="s">
        <v>3374</v>
      </c>
      <c r="V506" t="s">
        <v>3375</v>
      </c>
      <c r="W506" t="s">
        <v>3376</v>
      </c>
      <c r="X506" t="s">
        <v>47</v>
      </c>
      <c r="AA506" t="s">
        <v>114</v>
      </c>
      <c r="AC506" t="s">
        <v>63</v>
      </c>
      <c r="AD506" t="b">
        <v>0</v>
      </c>
      <c r="AF506">
        <v>6</v>
      </c>
      <c r="AG506" t="s">
        <v>64</v>
      </c>
    </row>
    <row r="507" spans="1:33" x14ac:dyDescent="0.2">
      <c r="A507">
        <v>1094</v>
      </c>
      <c r="B507" t="s">
        <v>3377</v>
      </c>
      <c r="C507" t="s">
        <v>34</v>
      </c>
      <c r="D507" t="s">
        <v>35</v>
      </c>
      <c r="E507" t="s">
        <v>3378</v>
      </c>
      <c r="F507" t="s">
        <v>3379</v>
      </c>
      <c r="G507" t="s">
        <v>916</v>
      </c>
      <c r="H507" t="s">
        <v>567</v>
      </c>
      <c r="I507" t="s">
        <v>1109</v>
      </c>
      <c r="J507" t="s">
        <v>71</v>
      </c>
      <c r="K507">
        <v>1985</v>
      </c>
      <c r="L507">
        <v>1985</v>
      </c>
      <c r="M507">
        <v>0.5</v>
      </c>
      <c r="N507">
        <v>0.68600000000000005</v>
      </c>
      <c r="R507" t="s">
        <v>97</v>
      </c>
      <c r="S507" t="s">
        <v>3380</v>
      </c>
      <c r="T507" t="b">
        <v>1</v>
      </c>
      <c r="U507" t="s">
        <v>517</v>
      </c>
      <c r="V507" t="s">
        <v>3381</v>
      </c>
      <c r="W507" t="s">
        <v>1112</v>
      </c>
      <c r="X507" t="s">
        <v>47</v>
      </c>
      <c r="AA507" t="s">
        <v>340</v>
      </c>
      <c r="AC507" t="s">
        <v>341</v>
      </c>
      <c r="AD507" t="b">
        <v>0</v>
      </c>
      <c r="AF507">
        <v>1</v>
      </c>
      <c r="AG507" t="s">
        <v>104</v>
      </c>
    </row>
    <row r="508" spans="1:33" x14ac:dyDescent="0.2">
      <c r="A508">
        <v>1699</v>
      </c>
      <c r="B508" t="s">
        <v>3382</v>
      </c>
      <c r="C508" t="s">
        <v>34</v>
      </c>
      <c r="D508" t="s">
        <v>35</v>
      </c>
      <c r="E508" t="s">
        <v>3383</v>
      </c>
      <c r="F508" t="s">
        <v>3384</v>
      </c>
      <c r="G508" t="s">
        <v>213</v>
      </c>
      <c r="H508" t="s">
        <v>83</v>
      </c>
      <c r="I508" t="s">
        <v>1672</v>
      </c>
      <c r="J508" t="s">
        <v>231</v>
      </c>
      <c r="K508">
        <v>2001</v>
      </c>
      <c r="L508">
        <v>2001</v>
      </c>
      <c r="M508">
        <v>1.65</v>
      </c>
      <c r="N508">
        <v>4.9539999999999997</v>
      </c>
      <c r="O508">
        <v>331</v>
      </c>
      <c r="P508">
        <v>0.65</v>
      </c>
      <c r="Q508">
        <v>0.70499999999999996</v>
      </c>
      <c r="R508" t="s">
        <v>84</v>
      </c>
      <c r="S508" t="s">
        <v>3385</v>
      </c>
      <c r="T508" t="b">
        <v>1</v>
      </c>
      <c r="U508" t="s">
        <v>1103</v>
      </c>
      <c r="V508" t="s">
        <v>3386</v>
      </c>
      <c r="W508" t="s">
        <v>3387</v>
      </c>
      <c r="X508" t="s">
        <v>47</v>
      </c>
      <c r="AA508" t="s">
        <v>3388</v>
      </c>
      <c r="AC508" t="s">
        <v>63</v>
      </c>
      <c r="AD508" t="b">
        <v>0</v>
      </c>
      <c r="AF508">
        <v>4</v>
      </c>
      <c r="AG508" t="s">
        <v>321</v>
      </c>
    </row>
    <row r="509" spans="1:33" x14ac:dyDescent="0.2">
      <c r="A509">
        <v>134</v>
      </c>
      <c r="B509" t="s">
        <v>3389</v>
      </c>
      <c r="C509" t="s">
        <v>34</v>
      </c>
      <c r="D509" t="s">
        <v>35</v>
      </c>
      <c r="E509" t="s">
        <v>36</v>
      </c>
      <c r="F509" t="s">
        <v>37</v>
      </c>
      <c r="G509" t="s">
        <v>503</v>
      </c>
      <c r="H509" t="s">
        <v>462</v>
      </c>
      <c r="I509" t="s">
        <v>3390</v>
      </c>
      <c r="J509" t="s">
        <v>485</v>
      </c>
      <c r="K509">
        <v>1957</v>
      </c>
      <c r="L509">
        <v>2013</v>
      </c>
      <c r="M509">
        <v>4.9000000000000004</v>
      </c>
      <c r="N509">
        <v>34.776000000000003</v>
      </c>
      <c r="O509">
        <v>268</v>
      </c>
      <c r="P509">
        <v>2.14</v>
      </c>
      <c r="Q509">
        <v>0.63600000000000001</v>
      </c>
      <c r="R509" t="s">
        <v>84</v>
      </c>
      <c r="S509" t="s">
        <v>3391</v>
      </c>
      <c r="T509" t="b">
        <v>1</v>
      </c>
      <c r="U509" t="s">
        <v>2366</v>
      </c>
      <c r="V509" t="s">
        <v>45</v>
      </c>
      <c r="W509" t="s">
        <v>3392</v>
      </c>
      <c r="X509" t="s">
        <v>47</v>
      </c>
      <c r="AA509" t="s">
        <v>583</v>
      </c>
      <c r="AB509" t="s">
        <v>3393</v>
      </c>
      <c r="AC509" t="s">
        <v>585</v>
      </c>
      <c r="AD509" t="b">
        <v>0</v>
      </c>
      <c r="AF509">
        <v>3</v>
      </c>
      <c r="AG509" t="s">
        <v>332</v>
      </c>
    </row>
    <row r="510" spans="1:33" x14ac:dyDescent="0.2">
      <c r="A510">
        <v>135</v>
      </c>
      <c r="B510" t="s">
        <v>3394</v>
      </c>
      <c r="C510" t="s">
        <v>34</v>
      </c>
      <c r="D510" t="s">
        <v>35</v>
      </c>
      <c r="E510" t="s">
        <v>1647</v>
      </c>
      <c r="F510" t="s">
        <v>1648</v>
      </c>
      <c r="G510" t="s">
        <v>213</v>
      </c>
      <c r="H510" t="s">
        <v>83</v>
      </c>
      <c r="I510" t="s">
        <v>611</v>
      </c>
      <c r="J510" t="s">
        <v>612</v>
      </c>
      <c r="K510">
        <v>1949</v>
      </c>
      <c r="L510">
        <v>1949</v>
      </c>
      <c r="M510">
        <v>4.9000000000000004</v>
      </c>
      <c r="N510">
        <v>19.702000000000002</v>
      </c>
      <c r="O510">
        <v>252.5</v>
      </c>
      <c r="P510">
        <v>2.2000000000000002</v>
      </c>
      <c r="Q510">
        <v>0.61899999999999999</v>
      </c>
      <c r="R510" t="s">
        <v>84</v>
      </c>
      <c r="S510" t="s">
        <v>3395</v>
      </c>
      <c r="T510" t="b">
        <v>1</v>
      </c>
      <c r="U510" t="s">
        <v>3396</v>
      </c>
      <c r="V510" t="s">
        <v>1651</v>
      </c>
      <c r="W510" t="s">
        <v>3397</v>
      </c>
      <c r="X510" t="s">
        <v>47</v>
      </c>
      <c r="AA510" t="s">
        <v>615</v>
      </c>
      <c r="AB510" t="s">
        <v>3398</v>
      </c>
      <c r="AC510" t="s">
        <v>616</v>
      </c>
      <c r="AD510" t="b">
        <v>0</v>
      </c>
      <c r="AF510">
        <v>4</v>
      </c>
      <c r="AG510" t="s">
        <v>321</v>
      </c>
    </row>
    <row r="511" spans="1:33" x14ac:dyDescent="0.2">
      <c r="A511">
        <v>610</v>
      </c>
      <c r="B511" t="s">
        <v>3399</v>
      </c>
      <c r="C511" t="s">
        <v>34</v>
      </c>
      <c r="D511" t="s">
        <v>35</v>
      </c>
      <c r="E511" t="s">
        <v>91</v>
      </c>
      <c r="F511" t="s">
        <v>92</v>
      </c>
      <c r="G511" t="s">
        <v>503</v>
      </c>
      <c r="H511" t="s">
        <v>462</v>
      </c>
      <c r="I511" t="s">
        <v>504</v>
      </c>
      <c r="J511" t="s">
        <v>109</v>
      </c>
      <c r="K511">
        <v>1992</v>
      </c>
      <c r="L511">
        <v>1992</v>
      </c>
      <c r="M511">
        <v>16</v>
      </c>
      <c r="N511">
        <v>44.966999999999999</v>
      </c>
      <c r="O511">
        <v>102.5</v>
      </c>
      <c r="P511">
        <v>17.98</v>
      </c>
      <c r="Q511">
        <v>0.246</v>
      </c>
      <c r="R511" t="s">
        <v>84</v>
      </c>
      <c r="S511" t="s">
        <v>3400</v>
      </c>
      <c r="T511" t="b">
        <v>1</v>
      </c>
      <c r="U511" t="s">
        <v>3401</v>
      </c>
      <c r="V511" t="s">
        <v>100</v>
      </c>
      <c r="W511" t="s">
        <v>3402</v>
      </c>
      <c r="X511" t="s">
        <v>47</v>
      </c>
      <c r="AA511" t="s">
        <v>509</v>
      </c>
      <c r="AB511" t="s">
        <v>426</v>
      </c>
      <c r="AC511" t="s">
        <v>510</v>
      </c>
      <c r="AD511" t="b">
        <v>0</v>
      </c>
      <c r="AF511">
        <v>3</v>
      </c>
      <c r="AG511" t="s">
        <v>332</v>
      </c>
    </row>
    <row r="512" spans="1:33" x14ac:dyDescent="0.2">
      <c r="A512">
        <v>614</v>
      </c>
      <c r="B512" t="s">
        <v>3403</v>
      </c>
      <c r="C512" t="s">
        <v>34</v>
      </c>
      <c r="D512" t="s">
        <v>35</v>
      </c>
      <c r="E512" t="s">
        <v>757</v>
      </c>
      <c r="F512" t="s">
        <v>758</v>
      </c>
      <c r="G512" t="s">
        <v>242</v>
      </c>
      <c r="H512" t="s">
        <v>243</v>
      </c>
      <c r="I512" t="s">
        <v>2193</v>
      </c>
      <c r="J512" t="s">
        <v>378</v>
      </c>
      <c r="K512">
        <v>1987</v>
      </c>
      <c r="L512">
        <v>1987</v>
      </c>
      <c r="M512">
        <v>2.6</v>
      </c>
      <c r="N512">
        <v>7.4939999999999998</v>
      </c>
      <c r="O512">
        <v>300</v>
      </c>
      <c r="P512">
        <v>1</v>
      </c>
      <c r="Q512">
        <v>0.72199999999999998</v>
      </c>
      <c r="R512" t="s">
        <v>72</v>
      </c>
      <c r="S512" t="s">
        <v>3404</v>
      </c>
      <c r="T512" t="b">
        <v>1</v>
      </c>
      <c r="U512" t="s">
        <v>1111</v>
      </c>
      <c r="V512" t="s">
        <v>761</v>
      </c>
      <c r="W512" t="s">
        <v>113</v>
      </c>
      <c r="X512" t="s">
        <v>47</v>
      </c>
      <c r="AA512" t="s">
        <v>2192</v>
      </c>
      <c r="AB512" t="s">
        <v>49</v>
      </c>
      <c r="AC512" t="s">
        <v>2197</v>
      </c>
      <c r="AD512" t="b">
        <v>0</v>
      </c>
      <c r="AF512">
        <v>8</v>
      </c>
      <c r="AG512" t="s">
        <v>78</v>
      </c>
    </row>
    <row r="513" spans="1:33" x14ac:dyDescent="0.2">
      <c r="A513">
        <v>1923</v>
      </c>
      <c r="B513" t="s">
        <v>3405</v>
      </c>
      <c r="C513" t="s">
        <v>34</v>
      </c>
      <c r="D513" t="s">
        <v>35</v>
      </c>
      <c r="E513" t="s">
        <v>3406</v>
      </c>
      <c r="F513" t="s">
        <v>3407</v>
      </c>
      <c r="G513" t="s">
        <v>68</v>
      </c>
      <c r="H513" t="s">
        <v>69</v>
      </c>
      <c r="I513" t="s">
        <v>597</v>
      </c>
      <c r="J513" t="s">
        <v>83</v>
      </c>
      <c r="K513">
        <v>2009</v>
      </c>
      <c r="L513">
        <v>2009</v>
      </c>
      <c r="M513">
        <v>8.0000000000000002E-3</v>
      </c>
      <c r="N513">
        <v>2E-3</v>
      </c>
      <c r="R513" t="s">
        <v>72</v>
      </c>
      <c r="S513" t="s">
        <v>3408</v>
      </c>
      <c r="T513" t="b">
        <v>1</v>
      </c>
      <c r="U513" t="s">
        <v>1262</v>
      </c>
      <c r="V513" t="s">
        <v>3409</v>
      </c>
      <c r="W513" t="s">
        <v>113</v>
      </c>
      <c r="X513" t="s">
        <v>47</v>
      </c>
      <c r="AA513" t="s">
        <v>114</v>
      </c>
      <c r="AC513" t="s">
        <v>63</v>
      </c>
      <c r="AD513" t="b">
        <v>0</v>
      </c>
      <c r="AF513">
        <v>13</v>
      </c>
      <c r="AG513" t="s">
        <v>155</v>
      </c>
    </row>
    <row r="514" spans="1:33" x14ac:dyDescent="0.2">
      <c r="A514">
        <v>1066</v>
      </c>
      <c r="B514" t="s">
        <v>3410</v>
      </c>
      <c r="C514" t="s">
        <v>34</v>
      </c>
      <c r="D514" t="s">
        <v>35</v>
      </c>
      <c r="E514" t="s">
        <v>1027</v>
      </c>
      <c r="F514" t="s">
        <v>1028</v>
      </c>
      <c r="G514" t="s">
        <v>213</v>
      </c>
      <c r="H514" t="s">
        <v>83</v>
      </c>
      <c r="I514" t="s">
        <v>1029</v>
      </c>
      <c r="J514" t="s">
        <v>225</v>
      </c>
      <c r="K514">
        <v>1990</v>
      </c>
      <c r="L514">
        <v>1990</v>
      </c>
      <c r="M514">
        <v>0.76</v>
      </c>
      <c r="N514">
        <v>2.5329999999999999</v>
      </c>
      <c r="R514" t="s">
        <v>84</v>
      </c>
      <c r="S514" t="s">
        <v>3411</v>
      </c>
      <c r="T514" t="b">
        <v>1</v>
      </c>
      <c r="U514" t="s">
        <v>3412</v>
      </c>
      <c r="V514" t="s">
        <v>1032</v>
      </c>
      <c r="W514" t="s">
        <v>113</v>
      </c>
      <c r="X514" t="s">
        <v>47</v>
      </c>
      <c r="AA514" t="s">
        <v>3413</v>
      </c>
      <c r="AC514" t="s">
        <v>1350</v>
      </c>
      <c r="AD514" t="b">
        <v>0</v>
      </c>
      <c r="AF514">
        <v>3</v>
      </c>
      <c r="AG514" t="s">
        <v>332</v>
      </c>
    </row>
    <row r="515" spans="1:33" x14ac:dyDescent="0.2">
      <c r="A515">
        <v>1489</v>
      </c>
      <c r="B515" t="s">
        <v>3414</v>
      </c>
      <c r="C515" t="s">
        <v>34</v>
      </c>
      <c r="D515" t="s">
        <v>35</v>
      </c>
      <c r="E515" t="s">
        <v>168</v>
      </c>
      <c r="F515" t="s">
        <v>169</v>
      </c>
      <c r="G515" t="s">
        <v>242</v>
      </c>
      <c r="H515" t="s">
        <v>243</v>
      </c>
      <c r="I515" t="s">
        <v>2155</v>
      </c>
      <c r="J515" t="s">
        <v>313</v>
      </c>
      <c r="K515">
        <v>2009</v>
      </c>
      <c r="L515">
        <v>2009</v>
      </c>
      <c r="M515">
        <v>2.2999999999999998</v>
      </c>
      <c r="N515">
        <v>8.07</v>
      </c>
      <c r="O515">
        <v>51.5</v>
      </c>
      <c r="P515">
        <v>5</v>
      </c>
      <c r="Q515">
        <v>0.127</v>
      </c>
      <c r="R515" t="s">
        <v>42</v>
      </c>
      <c r="S515" t="s">
        <v>3415</v>
      </c>
      <c r="T515" t="b">
        <v>1</v>
      </c>
      <c r="U515" t="s">
        <v>3416</v>
      </c>
      <c r="V515" t="s">
        <v>174</v>
      </c>
      <c r="W515" t="s">
        <v>3417</v>
      </c>
      <c r="X515" t="s">
        <v>47</v>
      </c>
      <c r="AA515" t="s">
        <v>2159</v>
      </c>
      <c r="AB515" t="s">
        <v>49</v>
      </c>
      <c r="AC515" t="s">
        <v>2160</v>
      </c>
      <c r="AD515" t="b">
        <v>0</v>
      </c>
      <c r="AF515">
        <v>10</v>
      </c>
      <c r="AG515" t="s">
        <v>143</v>
      </c>
    </row>
    <row r="516" spans="1:33" x14ac:dyDescent="0.2">
      <c r="A516">
        <v>1717</v>
      </c>
      <c r="B516" t="s">
        <v>3418</v>
      </c>
      <c r="C516" t="s">
        <v>34</v>
      </c>
      <c r="D516" t="s">
        <v>35</v>
      </c>
      <c r="E516" t="s">
        <v>3419</v>
      </c>
      <c r="F516" t="s">
        <v>3420</v>
      </c>
      <c r="G516" t="s">
        <v>213</v>
      </c>
      <c r="H516" t="s">
        <v>83</v>
      </c>
      <c r="I516" t="s">
        <v>635</v>
      </c>
      <c r="J516" t="s">
        <v>94</v>
      </c>
      <c r="K516">
        <v>2010</v>
      </c>
      <c r="L516">
        <v>2010</v>
      </c>
      <c r="M516">
        <v>6.5000000000000002E-2</v>
      </c>
      <c r="N516">
        <v>0.34699999999999998</v>
      </c>
      <c r="O516">
        <v>260</v>
      </c>
      <c r="P516">
        <v>0.03</v>
      </c>
      <c r="R516" t="s">
        <v>84</v>
      </c>
      <c r="S516" t="s">
        <v>3278</v>
      </c>
      <c r="T516" t="b">
        <v>1</v>
      </c>
      <c r="U516" t="s">
        <v>3421</v>
      </c>
      <c r="V516" t="s">
        <v>3422</v>
      </c>
      <c r="W516" t="s">
        <v>3423</v>
      </c>
      <c r="X516" t="s">
        <v>47</v>
      </c>
      <c r="AA516" t="s">
        <v>958</v>
      </c>
      <c r="AC516" t="s">
        <v>959</v>
      </c>
      <c r="AD516" t="b">
        <v>0</v>
      </c>
      <c r="AF516">
        <v>3</v>
      </c>
      <c r="AG516" t="s">
        <v>332</v>
      </c>
    </row>
    <row r="517" spans="1:33" x14ac:dyDescent="0.2">
      <c r="A517">
        <v>1971</v>
      </c>
      <c r="B517" t="s">
        <v>3424</v>
      </c>
      <c r="C517" t="s">
        <v>34</v>
      </c>
      <c r="D517" t="s">
        <v>35</v>
      </c>
      <c r="E517" t="s">
        <v>3425</v>
      </c>
      <c r="F517" t="s">
        <v>3426</v>
      </c>
      <c r="G517" t="s">
        <v>68</v>
      </c>
      <c r="H517" t="s">
        <v>69</v>
      </c>
      <c r="I517" t="s">
        <v>413</v>
      </c>
      <c r="J517" t="s">
        <v>414</v>
      </c>
      <c r="K517">
        <v>2019</v>
      </c>
      <c r="L517">
        <v>2019</v>
      </c>
      <c r="M517">
        <v>7.4999999999999997E-2</v>
      </c>
      <c r="N517">
        <v>0.3</v>
      </c>
      <c r="O517">
        <v>66.5</v>
      </c>
      <c r="P517">
        <v>0.14000000000000001</v>
      </c>
      <c r="Q517">
        <v>0.14899999999999999</v>
      </c>
      <c r="R517" t="s">
        <v>72</v>
      </c>
      <c r="S517" t="s">
        <v>3427</v>
      </c>
      <c r="T517" t="b">
        <v>1</v>
      </c>
      <c r="U517" t="s">
        <v>3428</v>
      </c>
      <c r="V517" t="s">
        <v>3429</v>
      </c>
      <c r="W517" t="s">
        <v>3430</v>
      </c>
      <c r="X517" t="s">
        <v>47</v>
      </c>
      <c r="AA517" t="s">
        <v>114</v>
      </c>
      <c r="AC517" t="s">
        <v>63</v>
      </c>
      <c r="AD517" t="b">
        <v>0</v>
      </c>
      <c r="AF517">
        <v>8</v>
      </c>
      <c r="AG517" t="s">
        <v>78</v>
      </c>
    </row>
    <row r="518" spans="1:33" x14ac:dyDescent="0.2">
      <c r="A518">
        <v>136</v>
      </c>
      <c r="B518" t="s">
        <v>3431</v>
      </c>
      <c r="C518" t="s">
        <v>34</v>
      </c>
      <c r="D518" t="s">
        <v>35</v>
      </c>
      <c r="E518" t="s">
        <v>1085</v>
      </c>
      <c r="F518" t="s">
        <v>1086</v>
      </c>
      <c r="G518" t="s">
        <v>134</v>
      </c>
      <c r="H518" t="s">
        <v>135</v>
      </c>
      <c r="I518" t="s">
        <v>3432</v>
      </c>
      <c r="J518" t="s">
        <v>401</v>
      </c>
      <c r="K518">
        <v>1981</v>
      </c>
      <c r="L518">
        <v>1981</v>
      </c>
      <c r="M518">
        <v>10</v>
      </c>
      <c r="N518">
        <v>54.106999999999999</v>
      </c>
      <c r="O518">
        <v>116.69</v>
      </c>
      <c r="P518">
        <v>9.98</v>
      </c>
      <c r="Q518">
        <v>0.27700000000000002</v>
      </c>
      <c r="R518" t="s">
        <v>42</v>
      </c>
      <c r="S518" t="s">
        <v>3433</v>
      </c>
      <c r="T518" t="b">
        <v>1</v>
      </c>
      <c r="U518" t="s">
        <v>3434</v>
      </c>
      <c r="V518" t="s">
        <v>1089</v>
      </c>
      <c r="W518" t="s">
        <v>3435</v>
      </c>
      <c r="X518" t="s">
        <v>47</v>
      </c>
      <c r="AA518" t="s">
        <v>3436</v>
      </c>
      <c r="AB518" t="s">
        <v>49</v>
      </c>
      <c r="AC518" t="s">
        <v>3437</v>
      </c>
      <c r="AD518" t="b">
        <v>0</v>
      </c>
      <c r="AF518">
        <v>10</v>
      </c>
      <c r="AG518" t="s">
        <v>143</v>
      </c>
    </row>
    <row r="519" spans="1:33" x14ac:dyDescent="0.2">
      <c r="A519">
        <v>1796</v>
      </c>
      <c r="B519" t="s">
        <v>3438</v>
      </c>
      <c r="C519" t="s">
        <v>34</v>
      </c>
      <c r="D519" t="s">
        <v>35</v>
      </c>
      <c r="E519" t="s">
        <v>892</v>
      </c>
      <c r="F519" t="s">
        <v>893</v>
      </c>
      <c r="G519" t="s">
        <v>503</v>
      </c>
      <c r="H519" t="s">
        <v>462</v>
      </c>
      <c r="I519" t="s">
        <v>504</v>
      </c>
      <c r="J519" t="s">
        <v>109</v>
      </c>
      <c r="K519">
        <v>2015</v>
      </c>
      <c r="L519">
        <v>2015</v>
      </c>
      <c r="M519">
        <v>1.66</v>
      </c>
      <c r="N519">
        <v>3.4359999999999999</v>
      </c>
      <c r="O519">
        <v>335</v>
      </c>
      <c r="P519">
        <v>0.59</v>
      </c>
      <c r="Q519">
        <v>0.78200000000000003</v>
      </c>
      <c r="R519" t="s">
        <v>84</v>
      </c>
      <c r="S519" t="s">
        <v>3439</v>
      </c>
      <c r="T519" t="b">
        <v>1</v>
      </c>
      <c r="U519" t="s">
        <v>3440</v>
      </c>
      <c r="V519" t="s">
        <v>896</v>
      </c>
      <c r="W519" t="s">
        <v>3441</v>
      </c>
      <c r="X519" t="s">
        <v>47</v>
      </c>
      <c r="AA519" t="s">
        <v>509</v>
      </c>
      <c r="AB519" t="s">
        <v>765</v>
      </c>
      <c r="AC519" t="s">
        <v>510</v>
      </c>
      <c r="AD519" t="b">
        <v>0</v>
      </c>
      <c r="AF519">
        <v>3</v>
      </c>
      <c r="AG519" t="s">
        <v>332</v>
      </c>
    </row>
    <row r="520" spans="1:33" x14ac:dyDescent="0.2">
      <c r="A520">
        <v>1837</v>
      </c>
      <c r="B520" t="s">
        <v>3442</v>
      </c>
      <c r="C520" t="s">
        <v>34</v>
      </c>
      <c r="D520" t="s">
        <v>35</v>
      </c>
      <c r="E520" t="s">
        <v>36</v>
      </c>
      <c r="F520" t="s">
        <v>37</v>
      </c>
      <c r="G520" t="s">
        <v>242</v>
      </c>
      <c r="H520" t="s">
        <v>243</v>
      </c>
      <c r="I520" t="s">
        <v>2348</v>
      </c>
      <c r="J520" t="s">
        <v>225</v>
      </c>
      <c r="K520">
        <v>2015</v>
      </c>
      <c r="L520">
        <v>2015</v>
      </c>
      <c r="M520">
        <v>0.28000000000000003</v>
      </c>
      <c r="N520">
        <v>0.66400000000000003</v>
      </c>
      <c r="O520">
        <v>29.4</v>
      </c>
      <c r="P520">
        <v>1.2</v>
      </c>
      <c r="Q520">
        <v>6.5000000000000002E-2</v>
      </c>
      <c r="R520" t="s">
        <v>72</v>
      </c>
      <c r="S520" t="s">
        <v>3443</v>
      </c>
      <c r="T520" t="b">
        <v>1</v>
      </c>
      <c r="U520" t="s">
        <v>3444</v>
      </c>
      <c r="V520" t="s">
        <v>45</v>
      </c>
      <c r="W520" t="s">
        <v>3445</v>
      </c>
      <c r="X520" t="s">
        <v>47</v>
      </c>
      <c r="AA520" t="s">
        <v>982</v>
      </c>
      <c r="AC520" t="s">
        <v>983</v>
      </c>
      <c r="AD520" t="b">
        <v>0</v>
      </c>
      <c r="AF520">
        <v>9</v>
      </c>
      <c r="AG520" t="s">
        <v>251</v>
      </c>
    </row>
    <row r="521" spans="1:33" x14ac:dyDescent="0.2">
      <c r="A521">
        <v>137</v>
      </c>
      <c r="B521" t="s">
        <v>3446</v>
      </c>
      <c r="C521" t="s">
        <v>34</v>
      </c>
      <c r="D521" t="s">
        <v>35</v>
      </c>
      <c r="E521" t="s">
        <v>36</v>
      </c>
      <c r="F521" t="s">
        <v>37</v>
      </c>
      <c r="G521" t="s">
        <v>242</v>
      </c>
      <c r="H521" t="s">
        <v>243</v>
      </c>
      <c r="I521" t="s">
        <v>3245</v>
      </c>
      <c r="J521" t="s">
        <v>109</v>
      </c>
      <c r="K521">
        <v>1962</v>
      </c>
      <c r="L521">
        <v>1962</v>
      </c>
      <c r="M521">
        <v>32</v>
      </c>
      <c r="N521">
        <v>28.31</v>
      </c>
      <c r="O521">
        <v>72</v>
      </c>
      <c r="P521">
        <v>64.87</v>
      </c>
      <c r="Q521">
        <v>0.13600000000000001</v>
      </c>
      <c r="R521" t="s">
        <v>72</v>
      </c>
      <c r="S521" t="s">
        <v>3447</v>
      </c>
      <c r="T521" t="b">
        <v>1</v>
      </c>
      <c r="U521" t="s">
        <v>2173</v>
      </c>
      <c r="V521" t="s">
        <v>45</v>
      </c>
      <c r="W521" t="s">
        <v>3448</v>
      </c>
      <c r="X521" t="s">
        <v>47</v>
      </c>
      <c r="AA521" t="s">
        <v>982</v>
      </c>
      <c r="AB521" t="s">
        <v>56</v>
      </c>
      <c r="AC521" t="s">
        <v>983</v>
      </c>
      <c r="AD521" t="b">
        <v>0</v>
      </c>
      <c r="AF521">
        <v>9</v>
      </c>
      <c r="AG521" t="s">
        <v>251</v>
      </c>
    </row>
    <row r="522" spans="1:33" x14ac:dyDescent="0.2">
      <c r="A522">
        <v>931</v>
      </c>
      <c r="B522" t="s">
        <v>3449</v>
      </c>
      <c r="C522" t="s">
        <v>34</v>
      </c>
      <c r="D522" t="s">
        <v>35</v>
      </c>
      <c r="E522" t="s">
        <v>3450</v>
      </c>
      <c r="F522" t="s">
        <v>3451</v>
      </c>
      <c r="G522" t="s">
        <v>68</v>
      </c>
      <c r="H522" t="s">
        <v>69</v>
      </c>
      <c r="I522" t="s">
        <v>1458</v>
      </c>
      <c r="J522" t="s">
        <v>1459</v>
      </c>
      <c r="K522">
        <v>1998</v>
      </c>
      <c r="L522">
        <v>1998</v>
      </c>
      <c r="M522">
        <v>0.5</v>
      </c>
      <c r="N522">
        <v>2.27</v>
      </c>
      <c r="O522">
        <v>220</v>
      </c>
      <c r="P522">
        <v>0.4</v>
      </c>
      <c r="Q522">
        <v>0.34699999999999998</v>
      </c>
      <c r="R522" t="s">
        <v>72</v>
      </c>
      <c r="S522" t="s">
        <v>3452</v>
      </c>
      <c r="T522" t="b">
        <v>1</v>
      </c>
      <c r="U522" t="s">
        <v>3453</v>
      </c>
      <c r="V522" t="s">
        <v>3454</v>
      </c>
      <c r="W522" t="s">
        <v>3455</v>
      </c>
      <c r="X522" t="s">
        <v>47</v>
      </c>
      <c r="AA522" t="s">
        <v>479</v>
      </c>
      <c r="AC522" t="s">
        <v>63</v>
      </c>
      <c r="AD522" t="b">
        <v>0</v>
      </c>
      <c r="AF522">
        <v>8</v>
      </c>
      <c r="AG522" t="s">
        <v>78</v>
      </c>
    </row>
    <row r="523" spans="1:33" x14ac:dyDescent="0.2">
      <c r="A523">
        <v>1884</v>
      </c>
      <c r="B523" t="s">
        <v>3456</v>
      </c>
      <c r="C523" t="s">
        <v>34</v>
      </c>
      <c r="D523" t="s">
        <v>35</v>
      </c>
      <c r="E523" t="s">
        <v>3457</v>
      </c>
      <c r="F523" t="s">
        <v>3458</v>
      </c>
      <c r="G523" t="s">
        <v>224</v>
      </c>
      <c r="H523" t="s">
        <v>225</v>
      </c>
      <c r="I523" t="s">
        <v>226</v>
      </c>
      <c r="J523" t="s">
        <v>227</v>
      </c>
      <c r="K523">
        <v>1981</v>
      </c>
      <c r="L523">
        <v>1981</v>
      </c>
      <c r="M523">
        <v>0.32</v>
      </c>
      <c r="N523">
        <v>0.84</v>
      </c>
      <c r="O523">
        <v>58</v>
      </c>
      <c r="P523">
        <v>0.76</v>
      </c>
      <c r="Q523">
        <v>0.11700000000000001</v>
      </c>
      <c r="R523" t="s">
        <v>97</v>
      </c>
      <c r="S523" t="s">
        <v>3459</v>
      </c>
      <c r="T523" t="b">
        <v>1</v>
      </c>
      <c r="U523" t="s">
        <v>3460</v>
      </c>
      <c r="V523" t="s">
        <v>3461</v>
      </c>
      <c r="W523" t="s">
        <v>113</v>
      </c>
      <c r="X523" t="s">
        <v>47</v>
      </c>
      <c r="AA523" t="s">
        <v>102</v>
      </c>
      <c r="AC523" t="s">
        <v>103</v>
      </c>
      <c r="AD523" t="b">
        <v>0</v>
      </c>
      <c r="AF523">
        <v>1</v>
      </c>
      <c r="AG523" t="s">
        <v>104</v>
      </c>
    </row>
    <row r="524" spans="1:33" x14ac:dyDescent="0.2">
      <c r="A524">
        <v>138</v>
      </c>
      <c r="B524" t="s">
        <v>3462</v>
      </c>
      <c r="C524" t="s">
        <v>34</v>
      </c>
      <c r="D524" t="s">
        <v>35</v>
      </c>
      <c r="E524" t="s">
        <v>3463</v>
      </c>
      <c r="F524" t="s">
        <v>3464</v>
      </c>
      <c r="G524" t="s">
        <v>224</v>
      </c>
      <c r="H524" t="s">
        <v>225</v>
      </c>
      <c r="I524" t="s">
        <v>226</v>
      </c>
      <c r="J524" t="s">
        <v>227</v>
      </c>
      <c r="K524">
        <v>1981</v>
      </c>
      <c r="L524">
        <v>1981</v>
      </c>
      <c r="M524">
        <v>0.6</v>
      </c>
      <c r="N524">
        <v>0.98399999999999999</v>
      </c>
      <c r="O524">
        <v>9.6999999999999993</v>
      </c>
      <c r="P524">
        <v>9</v>
      </c>
      <c r="Q524">
        <v>1.7999999999999999E-2</v>
      </c>
      <c r="R524" t="s">
        <v>97</v>
      </c>
      <c r="S524" t="s">
        <v>3465</v>
      </c>
      <c r="T524" t="b">
        <v>1</v>
      </c>
      <c r="U524" t="s">
        <v>1069</v>
      </c>
      <c r="V524" t="s">
        <v>3466</v>
      </c>
      <c r="W524" t="s">
        <v>3467</v>
      </c>
      <c r="X524" t="s">
        <v>47</v>
      </c>
      <c r="AA524" t="s">
        <v>102</v>
      </c>
      <c r="AB524" t="s">
        <v>96</v>
      </c>
      <c r="AC524" t="s">
        <v>103</v>
      </c>
      <c r="AD524" t="b">
        <v>0</v>
      </c>
      <c r="AF524">
        <v>1</v>
      </c>
      <c r="AG524" t="s">
        <v>104</v>
      </c>
    </row>
    <row r="525" spans="1:33" x14ac:dyDescent="0.2">
      <c r="A525">
        <v>1662</v>
      </c>
      <c r="B525" t="s">
        <v>3468</v>
      </c>
      <c r="C525" t="s">
        <v>34</v>
      </c>
      <c r="D525" t="s">
        <v>35</v>
      </c>
      <c r="E525" t="s">
        <v>3469</v>
      </c>
      <c r="F525" t="s">
        <v>3470</v>
      </c>
      <c r="G525" t="s">
        <v>134</v>
      </c>
      <c r="H525" t="s">
        <v>135</v>
      </c>
      <c r="I525" t="s">
        <v>3471</v>
      </c>
      <c r="J525" t="s">
        <v>215</v>
      </c>
      <c r="K525">
        <v>2009</v>
      </c>
      <c r="L525">
        <v>2009</v>
      </c>
      <c r="M525">
        <v>0.25</v>
      </c>
      <c r="N525">
        <v>1.052</v>
      </c>
      <c r="O525">
        <v>206</v>
      </c>
      <c r="P525">
        <v>0.15</v>
      </c>
      <c r="Q525">
        <v>0.46300000000000002</v>
      </c>
      <c r="R525" t="s">
        <v>42</v>
      </c>
      <c r="S525" t="s">
        <v>3472</v>
      </c>
      <c r="T525" t="b">
        <v>1</v>
      </c>
      <c r="U525" t="s">
        <v>966</v>
      </c>
      <c r="V525" t="s">
        <v>3473</v>
      </c>
      <c r="W525" t="s">
        <v>3474</v>
      </c>
      <c r="X525" t="s">
        <v>47</v>
      </c>
      <c r="AA525" t="s">
        <v>3475</v>
      </c>
      <c r="AC525" t="s">
        <v>63</v>
      </c>
      <c r="AD525" t="b">
        <v>0</v>
      </c>
      <c r="AF525">
        <v>11</v>
      </c>
      <c r="AG525" t="s">
        <v>198</v>
      </c>
    </row>
    <row r="526" spans="1:33" x14ac:dyDescent="0.2">
      <c r="A526">
        <v>1405</v>
      </c>
      <c r="B526" t="s">
        <v>3476</v>
      </c>
      <c r="C526" t="s">
        <v>34</v>
      </c>
      <c r="D526" t="s">
        <v>35</v>
      </c>
      <c r="E526" t="s">
        <v>1492</v>
      </c>
      <c r="F526" t="s">
        <v>1493</v>
      </c>
      <c r="G526" t="s">
        <v>53</v>
      </c>
      <c r="H526" t="s">
        <v>54</v>
      </c>
      <c r="I526" t="s">
        <v>1039</v>
      </c>
      <c r="J526" t="s">
        <v>243</v>
      </c>
      <c r="K526">
        <v>2008</v>
      </c>
      <c r="L526">
        <v>2008</v>
      </c>
      <c r="M526">
        <v>1</v>
      </c>
      <c r="N526">
        <v>4.5679999999999996</v>
      </c>
      <c r="O526">
        <v>49</v>
      </c>
      <c r="P526">
        <v>2.2999999999999998</v>
      </c>
      <c r="Q526">
        <v>0.121</v>
      </c>
      <c r="R526" t="s">
        <v>72</v>
      </c>
      <c r="S526" t="s">
        <v>3477</v>
      </c>
      <c r="T526" t="b">
        <v>1</v>
      </c>
      <c r="U526" t="s">
        <v>3478</v>
      </c>
      <c r="V526" t="s">
        <v>1496</v>
      </c>
      <c r="W526" t="s">
        <v>3479</v>
      </c>
      <c r="X526" t="s">
        <v>47</v>
      </c>
      <c r="AA526" t="s">
        <v>3480</v>
      </c>
      <c r="AC526" t="s">
        <v>63</v>
      </c>
      <c r="AD526" t="b">
        <v>0</v>
      </c>
      <c r="AF526">
        <v>13</v>
      </c>
      <c r="AG526" t="s">
        <v>155</v>
      </c>
    </row>
    <row r="527" spans="1:33" x14ac:dyDescent="0.2">
      <c r="A527">
        <v>1438</v>
      </c>
      <c r="B527" t="s">
        <v>3481</v>
      </c>
      <c r="C527" t="s">
        <v>34</v>
      </c>
      <c r="D527" t="s">
        <v>35</v>
      </c>
      <c r="E527" t="s">
        <v>3482</v>
      </c>
      <c r="F527" t="s">
        <v>3483</v>
      </c>
      <c r="G527" t="s">
        <v>68</v>
      </c>
      <c r="H527" t="s">
        <v>69</v>
      </c>
      <c r="I527" t="s">
        <v>453</v>
      </c>
      <c r="J527" t="s">
        <v>192</v>
      </c>
      <c r="K527">
        <v>2008</v>
      </c>
      <c r="L527">
        <v>2008</v>
      </c>
      <c r="M527">
        <v>2.8</v>
      </c>
      <c r="N527">
        <v>7.923</v>
      </c>
      <c r="O527">
        <v>289</v>
      </c>
      <c r="P527">
        <v>1.1299999999999999</v>
      </c>
      <c r="Q527">
        <v>0.68799999999999994</v>
      </c>
      <c r="R527" t="s">
        <v>72</v>
      </c>
      <c r="S527" t="s">
        <v>3484</v>
      </c>
      <c r="T527" t="b">
        <v>1</v>
      </c>
      <c r="U527" t="s">
        <v>3485</v>
      </c>
      <c r="V527" t="s">
        <v>3486</v>
      </c>
      <c r="W527" t="s">
        <v>3487</v>
      </c>
      <c r="X527" t="s">
        <v>47</v>
      </c>
      <c r="AA527" t="s">
        <v>3488</v>
      </c>
      <c r="AB527" t="s">
        <v>49</v>
      </c>
      <c r="AC527" t="s">
        <v>3489</v>
      </c>
      <c r="AD527" t="b">
        <v>0</v>
      </c>
      <c r="AF527">
        <v>8</v>
      </c>
      <c r="AG527" t="s">
        <v>78</v>
      </c>
    </row>
    <row r="528" spans="1:33" x14ac:dyDescent="0.2">
      <c r="A528">
        <v>1614</v>
      </c>
      <c r="B528" t="s">
        <v>3490</v>
      </c>
      <c r="C528" t="s">
        <v>34</v>
      </c>
      <c r="D528" t="s">
        <v>35</v>
      </c>
      <c r="E528" t="s">
        <v>2236</v>
      </c>
      <c r="F528" t="s">
        <v>2237</v>
      </c>
      <c r="G528" t="s">
        <v>503</v>
      </c>
      <c r="H528" t="s">
        <v>462</v>
      </c>
      <c r="I528" t="s">
        <v>2238</v>
      </c>
      <c r="J528" t="s">
        <v>171</v>
      </c>
      <c r="K528">
        <v>2008</v>
      </c>
      <c r="L528">
        <v>2008</v>
      </c>
      <c r="M528">
        <v>0.4</v>
      </c>
      <c r="N528">
        <v>1.2090000000000001</v>
      </c>
      <c r="R528" t="s">
        <v>84</v>
      </c>
      <c r="S528" t="s">
        <v>3491</v>
      </c>
      <c r="T528" t="b">
        <v>1</v>
      </c>
      <c r="U528" t="s">
        <v>3492</v>
      </c>
      <c r="V528" t="s">
        <v>2241</v>
      </c>
      <c r="W528" t="s">
        <v>3493</v>
      </c>
      <c r="X528" t="s">
        <v>47</v>
      </c>
      <c r="AA528" t="s">
        <v>509</v>
      </c>
      <c r="AC528" t="s">
        <v>510</v>
      </c>
      <c r="AD528" t="b">
        <v>0</v>
      </c>
      <c r="AF528">
        <v>3</v>
      </c>
      <c r="AG528" t="s">
        <v>332</v>
      </c>
    </row>
    <row r="529" spans="1:33" x14ac:dyDescent="0.2">
      <c r="A529">
        <v>1670</v>
      </c>
      <c r="B529" t="s">
        <v>3490</v>
      </c>
      <c r="C529" t="s">
        <v>34</v>
      </c>
      <c r="D529" t="s">
        <v>35</v>
      </c>
      <c r="E529" t="s">
        <v>3494</v>
      </c>
      <c r="F529" t="s">
        <v>3495</v>
      </c>
      <c r="G529" t="s">
        <v>503</v>
      </c>
      <c r="H529" t="s">
        <v>462</v>
      </c>
      <c r="I529" t="s">
        <v>2930</v>
      </c>
      <c r="J529" t="s">
        <v>676</v>
      </c>
      <c r="K529">
        <v>2012</v>
      </c>
      <c r="L529">
        <v>2012</v>
      </c>
      <c r="M529">
        <v>2.4</v>
      </c>
      <c r="N529">
        <v>7.577</v>
      </c>
      <c r="O529">
        <v>245</v>
      </c>
      <c r="P529">
        <v>1.2</v>
      </c>
      <c r="Q529">
        <v>0.55600000000000005</v>
      </c>
      <c r="R529" t="s">
        <v>84</v>
      </c>
      <c r="S529" t="s">
        <v>3496</v>
      </c>
      <c r="T529" t="b">
        <v>1</v>
      </c>
      <c r="U529" t="s">
        <v>3497</v>
      </c>
      <c r="V529" t="s">
        <v>3498</v>
      </c>
      <c r="W529" t="s">
        <v>3499</v>
      </c>
      <c r="X529" t="s">
        <v>47</v>
      </c>
      <c r="AA529" t="s">
        <v>583</v>
      </c>
      <c r="AC529" t="s">
        <v>585</v>
      </c>
      <c r="AD529" t="b">
        <v>0</v>
      </c>
      <c r="AF529">
        <v>3</v>
      </c>
      <c r="AG529" t="s">
        <v>332</v>
      </c>
    </row>
    <row r="530" spans="1:33" x14ac:dyDescent="0.2">
      <c r="A530">
        <v>751</v>
      </c>
      <c r="B530" t="s">
        <v>3500</v>
      </c>
      <c r="C530" t="s">
        <v>34</v>
      </c>
      <c r="D530" t="s">
        <v>35</v>
      </c>
      <c r="E530" t="s">
        <v>404</v>
      </c>
      <c r="F530" t="s">
        <v>405</v>
      </c>
      <c r="G530" t="s">
        <v>312</v>
      </c>
      <c r="H530" t="s">
        <v>313</v>
      </c>
      <c r="I530" t="s">
        <v>314</v>
      </c>
      <c r="J530" t="s">
        <v>71</v>
      </c>
      <c r="K530">
        <v>1995</v>
      </c>
      <c r="L530">
        <v>1995</v>
      </c>
      <c r="M530">
        <v>56</v>
      </c>
      <c r="N530">
        <v>242.61099999999999</v>
      </c>
      <c r="O530">
        <v>38.5</v>
      </c>
      <c r="P530">
        <v>170</v>
      </c>
      <c r="Q530">
        <v>9.1999999999999998E-2</v>
      </c>
      <c r="R530" t="s">
        <v>84</v>
      </c>
      <c r="S530" t="s">
        <v>3501</v>
      </c>
      <c r="T530" t="b">
        <v>1</v>
      </c>
      <c r="U530" t="s">
        <v>3502</v>
      </c>
      <c r="V530" t="s">
        <v>3503</v>
      </c>
      <c r="W530" t="s">
        <v>3504</v>
      </c>
      <c r="X530" t="s">
        <v>47</v>
      </c>
      <c r="AA530" t="s">
        <v>319</v>
      </c>
      <c r="AB530" t="s">
        <v>56</v>
      </c>
      <c r="AC530" t="s">
        <v>320</v>
      </c>
      <c r="AD530" t="b">
        <v>0</v>
      </c>
      <c r="AF530">
        <v>4</v>
      </c>
      <c r="AG530" t="s">
        <v>321</v>
      </c>
    </row>
    <row r="531" spans="1:33" x14ac:dyDescent="0.2">
      <c r="A531">
        <v>1135</v>
      </c>
      <c r="B531" t="s">
        <v>3505</v>
      </c>
      <c r="C531" t="s">
        <v>34</v>
      </c>
      <c r="D531" t="s">
        <v>35</v>
      </c>
      <c r="E531" t="s">
        <v>3506</v>
      </c>
      <c r="F531" t="s">
        <v>3507</v>
      </c>
      <c r="G531" t="s">
        <v>312</v>
      </c>
      <c r="H531" t="s">
        <v>313</v>
      </c>
      <c r="I531" t="s">
        <v>1385</v>
      </c>
      <c r="J531" t="s">
        <v>337</v>
      </c>
      <c r="K531">
        <v>2004</v>
      </c>
      <c r="L531">
        <v>2004</v>
      </c>
      <c r="M531">
        <v>0.31</v>
      </c>
      <c r="N531">
        <v>0.69799999999999995</v>
      </c>
      <c r="R531" t="s">
        <v>84</v>
      </c>
      <c r="S531" t="s">
        <v>3508</v>
      </c>
      <c r="T531" t="b">
        <v>1</v>
      </c>
      <c r="U531" t="s">
        <v>637</v>
      </c>
      <c r="V531" t="s">
        <v>3509</v>
      </c>
      <c r="W531" t="s">
        <v>3510</v>
      </c>
      <c r="X531" t="s">
        <v>47</v>
      </c>
      <c r="AA531" t="s">
        <v>509</v>
      </c>
      <c r="AC531" t="s">
        <v>510</v>
      </c>
      <c r="AD531" t="b">
        <v>0</v>
      </c>
      <c r="AF531">
        <v>4</v>
      </c>
      <c r="AG531" t="s">
        <v>321</v>
      </c>
    </row>
    <row r="532" spans="1:33" x14ac:dyDescent="0.2">
      <c r="A532">
        <v>813</v>
      </c>
      <c r="B532" t="s">
        <v>3511</v>
      </c>
      <c r="C532" t="s">
        <v>34</v>
      </c>
      <c r="D532" t="s">
        <v>35</v>
      </c>
      <c r="E532" t="s">
        <v>3512</v>
      </c>
      <c r="F532" t="s">
        <v>3513</v>
      </c>
      <c r="G532" t="s">
        <v>213</v>
      </c>
      <c r="H532" t="s">
        <v>83</v>
      </c>
      <c r="I532" t="s">
        <v>635</v>
      </c>
      <c r="J532" t="s">
        <v>94</v>
      </c>
      <c r="K532">
        <v>2003</v>
      </c>
      <c r="L532">
        <v>2003</v>
      </c>
      <c r="M532">
        <v>3.47</v>
      </c>
      <c r="N532">
        <v>9.8680000000000003</v>
      </c>
      <c r="O532">
        <v>208</v>
      </c>
      <c r="P532">
        <v>1.8</v>
      </c>
      <c r="Q532">
        <v>0.432</v>
      </c>
      <c r="R532" t="s">
        <v>84</v>
      </c>
      <c r="S532" t="s">
        <v>3514</v>
      </c>
      <c r="T532" t="b">
        <v>1</v>
      </c>
      <c r="U532" t="s">
        <v>2246</v>
      </c>
      <c r="V532" t="s">
        <v>3515</v>
      </c>
      <c r="W532" t="s">
        <v>3516</v>
      </c>
      <c r="X532" t="s">
        <v>47</v>
      </c>
      <c r="AA532" t="s">
        <v>958</v>
      </c>
      <c r="AB532" t="s">
        <v>401</v>
      </c>
      <c r="AC532" t="s">
        <v>959</v>
      </c>
      <c r="AD532" t="b">
        <v>0</v>
      </c>
      <c r="AF532">
        <v>3</v>
      </c>
      <c r="AG532" t="s">
        <v>332</v>
      </c>
    </row>
    <row r="533" spans="1:33" x14ac:dyDescent="0.2">
      <c r="A533">
        <v>1921</v>
      </c>
      <c r="B533" t="s">
        <v>3517</v>
      </c>
      <c r="C533" t="s">
        <v>34</v>
      </c>
      <c r="D533" t="s">
        <v>35</v>
      </c>
      <c r="E533" t="s">
        <v>3518</v>
      </c>
      <c r="F533" t="s">
        <v>3519</v>
      </c>
      <c r="G533" t="s">
        <v>53</v>
      </c>
      <c r="H533" t="s">
        <v>54</v>
      </c>
      <c r="I533" t="s">
        <v>147</v>
      </c>
      <c r="J533" t="s">
        <v>148</v>
      </c>
      <c r="K533">
        <v>2018</v>
      </c>
      <c r="L533">
        <v>2018</v>
      </c>
      <c r="M533">
        <v>2.7</v>
      </c>
      <c r="N533">
        <v>7.5060000000000002</v>
      </c>
      <c r="O533">
        <v>241.7</v>
      </c>
      <c r="P533">
        <v>1.3</v>
      </c>
      <c r="Q533">
        <v>0.46899999999999997</v>
      </c>
      <c r="R533" t="s">
        <v>72</v>
      </c>
      <c r="S533" t="s">
        <v>3520</v>
      </c>
      <c r="T533" t="b">
        <v>1</v>
      </c>
      <c r="U533" t="s">
        <v>3521</v>
      </c>
      <c r="V533" t="s">
        <v>3522</v>
      </c>
      <c r="W533" t="s">
        <v>3523</v>
      </c>
      <c r="X533" t="s">
        <v>47</v>
      </c>
      <c r="AA533" t="s">
        <v>153</v>
      </c>
      <c r="AC533" t="s">
        <v>154</v>
      </c>
      <c r="AD533" t="b">
        <v>0</v>
      </c>
      <c r="AF533">
        <v>13</v>
      </c>
      <c r="AG533" t="s">
        <v>155</v>
      </c>
    </row>
    <row r="534" spans="1:33" x14ac:dyDescent="0.2">
      <c r="A534">
        <v>927</v>
      </c>
      <c r="B534" t="s">
        <v>3524</v>
      </c>
      <c r="C534" t="s">
        <v>34</v>
      </c>
      <c r="D534" t="s">
        <v>35</v>
      </c>
      <c r="E534" t="s">
        <v>3525</v>
      </c>
      <c r="F534" t="s">
        <v>3526</v>
      </c>
      <c r="G534" t="s">
        <v>68</v>
      </c>
      <c r="H534" t="s">
        <v>69</v>
      </c>
      <c r="I534" t="s">
        <v>597</v>
      </c>
      <c r="J534" t="s">
        <v>83</v>
      </c>
      <c r="K534">
        <v>1997</v>
      </c>
      <c r="L534">
        <v>1997</v>
      </c>
      <c r="M534">
        <v>0.4</v>
      </c>
      <c r="N534">
        <v>1.1919999999999999</v>
      </c>
      <c r="R534" t="s">
        <v>72</v>
      </c>
      <c r="S534" t="s">
        <v>3527</v>
      </c>
      <c r="T534" t="b">
        <v>1</v>
      </c>
      <c r="U534" t="s">
        <v>3528</v>
      </c>
      <c r="V534" t="s">
        <v>3529</v>
      </c>
      <c r="W534" t="s">
        <v>3530</v>
      </c>
      <c r="X534" t="s">
        <v>47</v>
      </c>
      <c r="AA534" t="s">
        <v>114</v>
      </c>
      <c r="AC534" t="s">
        <v>63</v>
      </c>
      <c r="AD534" t="b">
        <v>0</v>
      </c>
      <c r="AF534">
        <v>13</v>
      </c>
      <c r="AG534" t="s">
        <v>155</v>
      </c>
    </row>
    <row r="535" spans="1:33" x14ac:dyDescent="0.2">
      <c r="A535">
        <v>1962</v>
      </c>
      <c r="B535" t="s">
        <v>3531</v>
      </c>
      <c r="C535" t="s">
        <v>34</v>
      </c>
      <c r="D535" t="s">
        <v>35</v>
      </c>
      <c r="E535" t="s">
        <v>892</v>
      </c>
      <c r="F535" t="s">
        <v>893</v>
      </c>
      <c r="G535" t="s">
        <v>68</v>
      </c>
      <c r="H535" t="s">
        <v>69</v>
      </c>
      <c r="I535" t="s">
        <v>597</v>
      </c>
      <c r="J535" t="s">
        <v>83</v>
      </c>
      <c r="K535">
        <v>2019</v>
      </c>
      <c r="L535">
        <v>2019</v>
      </c>
      <c r="M535">
        <v>2.08</v>
      </c>
      <c r="N535">
        <v>6.4169999999999998</v>
      </c>
      <c r="O535">
        <v>376.51</v>
      </c>
      <c r="P535">
        <v>0.65</v>
      </c>
      <c r="Q535">
        <v>0.88800000000000001</v>
      </c>
      <c r="R535" t="s">
        <v>72</v>
      </c>
      <c r="S535" t="s">
        <v>3532</v>
      </c>
      <c r="T535" t="b">
        <v>1</v>
      </c>
      <c r="U535" t="s">
        <v>3533</v>
      </c>
      <c r="V535" t="s">
        <v>896</v>
      </c>
      <c r="W535" t="s">
        <v>3534</v>
      </c>
      <c r="X535" t="s">
        <v>47</v>
      </c>
      <c r="AA535" t="s">
        <v>1463</v>
      </c>
      <c r="AC535" t="s">
        <v>63</v>
      </c>
      <c r="AD535" t="b">
        <v>0</v>
      </c>
      <c r="AF535">
        <v>13</v>
      </c>
      <c r="AG535" t="s">
        <v>155</v>
      </c>
    </row>
    <row r="536" spans="1:33" x14ac:dyDescent="0.2">
      <c r="A536">
        <v>584</v>
      </c>
      <c r="B536" t="s">
        <v>3535</v>
      </c>
      <c r="C536" t="s">
        <v>34</v>
      </c>
      <c r="D536" t="s">
        <v>35</v>
      </c>
      <c r="E536" t="s">
        <v>1200</v>
      </c>
      <c r="F536" t="s">
        <v>1201</v>
      </c>
      <c r="G536" t="s">
        <v>53</v>
      </c>
      <c r="H536" t="s">
        <v>54</v>
      </c>
      <c r="I536" t="s">
        <v>1241</v>
      </c>
      <c r="J536" t="s">
        <v>1242</v>
      </c>
      <c r="K536">
        <v>1992</v>
      </c>
      <c r="L536">
        <v>1992</v>
      </c>
      <c r="M536">
        <v>31.5</v>
      </c>
      <c r="N536">
        <v>162.065</v>
      </c>
      <c r="O536">
        <v>72.19</v>
      </c>
      <c r="P536">
        <v>50</v>
      </c>
      <c r="Q536">
        <v>0.17499999999999999</v>
      </c>
      <c r="R536" t="s">
        <v>57</v>
      </c>
      <c r="S536" t="s">
        <v>3536</v>
      </c>
      <c r="T536" t="b">
        <v>1</v>
      </c>
      <c r="U536" t="s">
        <v>3537</v>
      </c>
      <c r="V536" t="s">
        <v>1204</v>
      </c>
      <c r="W536" t="s">
        <v>3538</v>
      </c>
      <c r="X536" t="s">
        <v>47</v>
      </c>
      <c r="AA536" t="s">
        <v>1247</v>
      </c>
      <c r="AB536" t="s">
        <v>49</v>
      </c>
      <c r="AC536" t="s">
        <v>1248</v>
      </c>
      <c r="AD536" t="b">
        <v>0</v>
      </c>
      <c r="AF536">
        <v>6</v>
      </c>
      <c r="AG536" t="s">
        <v>64</v>
      </c>
    </row>
    <row r="537" spans="1:33" x14ac:dyDescent="0.2">
      <c r="A537">
        <v>770</v>
      </c>
      <c r="B537" t="s">
        <v>3539</v>
      </c>
      <c r="C537" t="s">
        <v>34</v>
      </c>
      <c r="D537" t="s">
        <v>35</v>
      </c>
      <c r="E537" t="s">
        <v>1239</v>
      </c>
      <c r="F537" t="s">
        <v>1240</v>
      </c>
      <c r="G537" t="s">
        <v>53</v>
      </c>
      <c r="H537" t="s">
        <v>54</v>
      </c>
      <c r="I537" t="s">
        <v>1241</v>
      </c>
      <c r="J537" t="s">
        <v>1242</v>
      </c>
      <c r="K537">
        <v>1956</v>
      </c>
      <c r="L537">
        <v>1977</v>
      </c>
      <c r="M537">
        <v>2.5</v>
      </c>
      <c r="N537">
        <v>7.4729999999999999</v>
      </c>
      <c r="O537">
        <v>31</v>
      </c>
      <c r="P537">
        <v>11</v>
      </c>
      <c r="Q537">
        <v>4.8000000000000001E-2</v>
      </c>
      <c r="R537" t="s">
        <v>57</v>
      </c>
      <c r="S537" t="s">
        <v>3540</v>
      </c>
      <c r="T537" t="b">
        <v>1</v>
      </c>
      <c r="U537" t="s">
        <v>3541</v>
      </c>
      <c r="V537" t="s">
        <v>1245</v>
      </c>
      <c r="W537" t="s">
        <v>113</v>
      </c>
      <c r="X537" t="s">
        <v>47</v>
      </c>
      <c r="AA537" t="s">
        <v>1247</v>
      </c>
      <c r="AB537" t="s">
        <v>401</v>
      </c>
      <c r="AC537" t="s">
        <v>1248</v>
      </c>
      <c r="AD537" t="b">
        <v>0</v>
      </c>
      <c r="AF537">
        <v>6</v>
      </c>
      <c r="AG537" t="s">
        <v>64</v>
      </c>
    </row>
    <row r="538" spans="1:33" x14ac:dyDescent="0.2">
      <c r="A538">
        <v>1369</v>
      </c>
      <c r="B538" t="s">
        <v>3542</v>
      </c>
      <c r="C538" t="s">
        <v>34</v>
      </c>
      <c r="D538" t="s">
        <v>35</v>
      </c>
      <c r="E538" t="s">
        <v>3543</v>
      </c>
      <c r="F538" t="s">
        <v>3544</v>
      </c>
      <c r="G538" t="s">
        <v>312</v>
      </c>
      <c r="H538" t="s">
        <v>313</v>
      </c>
      <c r="I538" t="s">
        <v>3545</v>
      </c>
      <c r="J538" t="s">
        <v>1975</v>
      </c>
      <c r="K538">
        <v>2007</v>
      </c>
      <c r="L538">
        <v>2007</v>
      </c>
      <c r="M538">
        <v>1.3</v>
      </c>
      <c r="N538">
        <v>3.8109999999999999</v>
      </c>
      <c r="O538">
        <v>108</v>
      </c>
      <c r="P538">
        <v>1.3</v>
      </c>
      <c r="Q538">
        <v>0.27800000000000002</v>
      </c>
      <c r="R538" t="s">
        <v>84</v>
      </c>
      <c r="S538" t="s">
        <v>3546</v>
      </c>
      <c r="T538" t="b">
        <v>1</v>
      </c>
      <c r="U538" t="s">
        <v>59</v>
      </c>
      <c r="V538" t="s">
        <v>3547</v>
      </c>
      <c r="W538" t="s">
        <v>3548</v>
      </c>
      <c r="X538" t="s">
        <v>47</v>
      </c>
      <c r="AA538" t="s">
        <v>2615</v>
      </c>
      <c r="AB538" t="s">
        <v>71</v>
      </c>
      <c r="AC538" t="s">
        <v>2616</v>
      </c>
      <c r="AD538" t="b">
        <v>0</v>
      </c>
      <c r="AF538">
        <v>4</v>
      </c>
      <c r="AG538" t="s">
        <v>321</v>
      </c>
    </row>
    <row r="539" spans="1:33" x14ac:dyDescent="0.2">
      <c r="A539">
        <v>877</v>
      </c>
      <c r="B539" t="s">
        <v>3549</v>
      </c>
      <c r="C539" t="s">
        <v>34</v>
      </c>
      <c r="D539" t="s">
        <v>35</v>
      </c>
      <c r="E539" t="s">
        <v>3550</v>
      </c>
      <c r="F539" t="s">
        <v>3551</v>
      </c>
      <c r="G539" t="s">
        <v>503</v>
      </c>
      <c r="H539" t="s">
        <v>462</v>
      </c>
      <c r="I539" t="s">
        <v>1520</v>
      </c>
      <c r="J539" t="s">
        <v>337</v>
      </c>
      <c r="K539">
        <v>1945</v>
      </c>
      <c r="L539">
        <v>1945</v>
      </c>
      <c r="M539">
        <v>0.6</v>
      </c>
      <c r="N539">
        <v>1.0629999999999999</v>
      </c>
      <c r="R539" t="s">
        <v>84</v>
      </c>
      <c r="S539" t="s">
        <v>3552</v>
      </c>
      <c r="T539" t="b">
        <v>1</v>
      </c>
      <c r="U539" t="s">
        <v>3553</v>
      </c>
      <c r="V539" t="s">
        <v>3554</v>
      </c>
      <c r="W539" t="s">
        <v>113</v>
      </c>
      <c r="X539" t="s">
        <v>47</v>
      </c>
      <c r="AA539" t="s">
        <v>3555</v>
      </c>
      <c r="AC539" t="s">
        <v>63</v>
      </c>
      <c r="AD539" t="b">
        <v>0</v>
      </c>
      <c r="AF539">
        <v>3</v>
      </c>
      <c r="AG539" t="s">
        <v>332</v>
      </c>
    </row>
    <row r="540" spans="1:33" x14ac:dyDescent="0.2">
      <c r="A540">
        <v>159</v>
      </c>
      <c r="B540" t="s">
        <v>3556</v>
      </c>
      <c r="C540" t="s">
        <v>34</v>
      </c>
      <c r="D540" t="s">
        <v>35</v>
      </c>
      <c r="E540" t="s">
        <v>3557</v>
      </c>
      <c r="F540" t="s">
        <v>3558</v>
      </c>
      <c r="G540" t="s">
        <v>224</v>
      </c>
      <c r="H540" t="s">
        <v>225</v>
      </c>
      <c r="I540" t="s">
        <v>3222</v>
      </c>
      <c r="J540" t="s">
        <v>337</v>
      </c>
      <c r="K540">
        <v>1953</v>
      </c>
      <c r="L540">
        <v>1953</v>
      </c>
      <c r="M540">
        <v>11</v>
      </c>
      <c r="N540">
        <v>75.281000000000006</v>
      </c>
      <c r="O540">
        <v>5.3</v>
      </c>
      <c r="P540">
        <v>240</v>
      </c>
      <c r="Q540">
        <v>1.2699999999999999E-2</v>
      </c>
      <c r="R540" t="s">
        <v>97</v>
      </c>
      <c r="S540" t="s">
        <v>3559</v>
      </c>
      <c r="T540" t="b">
        <v>1</v>
      </c>
      <c r="U540" t="s">
        <v>3560</v>
      </c>
      <c r="V540" t="s">
        <v>3561</v>
      </c>
      <c r="W540" t="s">
        <v>3562</v>
      </c>
      <c r="X540" t="s">
        <v>47</v>
      </c>
      <c r="AA540" t="s">
        <v>102</v>
      </c>
      <c r="AB540" t="s">
        <v>177</v>
      </c>
      <c r="AC540" t="s">
        <v>103</v>
      </c>
      <c r="AD540" t="b">
        <v>0</v>
      </c>
      <c r="AF540">
        <v>1</v>
      </c>
      <c r="AG540" t="s">
        <v>104</v>
      </c>
    </row>
    <row r="541" spans="1:33" x14ac:dyDescent="0.2">
      <c r="A541">
        <v>140</v>
      </c>
      <c r="B541" t="s">
        <v>3563</v>
      </c>
      <c r="C541" t="s">
        <v>34</v>
      </c>
      <c r="D541" t="s">
        <v>35</v>
      </c>
      <c r="E541" t="s">
        <v>2350</v>
      </c>
      <c r="F541" t="s">
        <v>2351</v>
      </c>
      <c r="G541" t="s">
        <v>377</v>
      </c>
      <c r="H541" t="s">
        <v>378</v>
      </c>
      <c r="I541" t="s">
        <v>3564</v>
      </c>
      <c r="J541" t="s">
        <v>612</v>
      </c>
      <c r="K541">
        <v>1958</v>
      </c>
      <c r="L541">
        <v>1958</v>
      </c>
      <c r="M541">
        <v>2.4</v>
      </c>
      <c r="N541">
        <v>9.4689999999999994</v>
      </c>
      <c r="O541">
        <v>20</v>
      </c>
      <c r="P541">
        <v>15</v>
      </c>
      <c r="Q541">
        <v>4.3999999999999997E-2</v>
      </c>
      <c r="R541" t="s">
        <v>42</v>
      </c>
      <c r="S541" t="s">
        <v>3565</v>
      </c>
      <c r="T541" t="b">
        <v>1</v>
      </c>
      <c r="U541" t="s">
        <v>3566</v>
      </c>
      <c r="V541" t="s">
        <v>2355</v>
      </c>
      <c r="W541" t="s">
        <v>3567</v>
      </c>
      <c r="X541" t="s">
        <v>47</v>
      </c>
      <c r="AA541" t="s">
        <v>3568</v>
      </c>
      <c r="AB541" t="s">
        <v>49</v>
      </c>
      <c r="AC541" t="s">
        <v>3569</v>
      </c>
      <c r="AD541" t="b">
        <v>0</v>
      </c>
      <c r="AF541">
        <v>11</v>
      </c>
      <c r="AG541" t="s">
        <v>198</v>
      </c>
    </row>
    <row r="542" spans="1:33" x14ac:dyDescent="0.2">
      <c r="A542">
        <v>949</v>
      </c>
      <c r="B542" t="s">
        <v>3570</v>
      </c>
      <c r="C542" t="s">
        <v>34</v>
      </c>
      <c r="D542" t="s">
        <v>35</v>
      </c>
      <c r="E542" t="s">
        <v>3571</v>
      </c>
      <c r="F542" t="s">
        <v>3572</v>
      </c>
      <c r="G542" t="s">
        <v>53</v>
      </c>
      <c r="H542" t="s">
        <v>54</v>
      </c>
      <c r="I542" t="s">
        <v>147</v>
      </c>
      <c r="J542" t="s">
        <v>148</v>
      </c>
      <c r="K542">
        <v>2003</v>
      </c>
      <c r="L542">
        <v>2003</v>
      </c>
      <c r="M542">
        <v>0.17599999999999999</v>
      </c>
      <c r="N542">
        <v>0.60599999999999998</v>
      </c>
      <c r="R542" t="s">
        <v>72</v>
      </c>
      <c r="S542" t="s">
        <v>3573</v>
      </c>
      <c r="T542" t="b">
        <v>1</v>
      </c>
      <c r="U542" t="s">
        <v>2246</v>
      </c>
      <c r="V542" t="s">
        <v>3574</v>
      </c>
      <c r="W542" t="s">
        <v>3575</v>
      </c>
      <c r="X542" t="s">
        <v>47</v>
      </c>
      <c r="AA542" t="s">
        <v>3576</v>
      </c>
      <c r="AC542" t="s">
        <v>63</v>
      </c>
      <c r="AD542" t="b">
        <v>0</v>
      </c>
      <c r="AF542">
        <v>13</v>
      </c>
      <c r="AG542" t="s">
        <v>155</v>
      </c>
    </row>
    <row r="543" spans="1:33" x14ac:dyDescent="0.2">
      <c r="A543">
        <v>1980</v>
      </c>
      <c r="B543" t="s">
        <v>3577</v>
      </c>
      <c r="C543" t="s">
        <v>34</v>
      </c>
      <c r="D543" t="s">
        <v>35</v>
      </c>
      <c r="E543" t="s">
        <v>3578</v>
      </c>
      <c r="F543" t="s">
        <v>3579</v>
      </c>
      <c r="G543" t="s">
        <v>134</v>
      </c>
      <c r="H543" t="s">
        <v>135</v>
      </c>
      <c r="I543" t="s">
        <v>2967</v>
      </c>
      <c r="J543" t="s">
        <v>83</v>
      </c>
      <c r="K543">
        <v>2021</v>
      </c>
      <c r="L543">
        <v>2021</v>
      </c>
      <c r="M543">
        <v>8.6</v>
      </c>
      <c r="N543">
        <v>27.295000000000002</v>
      </c>
      <c r="O543">
        <v>127</v>
      </c>
      <c r="P543">
        <v>8.1999999999999993</v>
      </c>
      <c r="Q543">
        <v>0.29099999999999998</v>
      </c>
      <c r="R543" t="s">
        <v>42</v>
      </c>
      <c r="S543" t="s">
        <v>3580</v>
      </c>
      <c r="T543" t="b">
        <v>1</v>
      </c>
      <c r="U543" t="s">
        <v>3581</v>
      </c>
      <c r="V543" t="s">
        <v>3582</v>
      </c>
      <c r="W543" t="s">
        <v>3583</v>
      </c>
      <c r="X543" t="s">
        <v>47</v>
      </c>
      <c r="AA543" t="s">
        <v>3584</v>
      </c>
      <c r="AB543" t="s">
        <v>177</v>
      </c>
      <c r="AC543" t="s">
        <v>3585</v>
      </c>
      <c r="AD543" t="b">
        <v>0</v>
      </c>
      <c r="AF543">
        <v>10</v>
      </c>
      <c r="AG543" t="s">
        <v>143</v>
      </c>
    </row>
    <row r="544" spans="1:33" x14ac:dyDescent="0.2">
      <c r="A544">
        <v>2091</v>
      </c>
      <c r="B544" t="s">
        <v>3586</v>
      </c>
      <c r="C544" t="s">
        <v>34</v>
      </c>
      <c r="D544" t="s">
        <v>35</v>
      </c>
      <c r="E544" t="s">
        <v>3587</v>
      </c>
      <c r="F544" t="s">
        <v>3588</v>
      </c>
      <c r="G544" t="s">
        <v>68</v>
      </c>
      <c r="H544" t="s">
        <v>69</v>
      </c>
      <c r="I544" t="s">
        <v>1458</v>
      </c>
      <c r="J544" t="s">
        <v>1459</v>
      </c>
      <c r="K544">
        <v>2021</v>
      </c>
      <c r="L544">
        <v>2021</v>
      </c>
      <c r="M544">
        <v>0.08</v>
      </c>
      <c r="N544">
        <v>0.3</v>
      </c>
      <c r="O544">
        <v>119</v>
      </c>
      <c r="P544">
        <v>0.08</v>
      </c>
      <c r="Q544">
        <v>0.27800000000000002</v>
      </c>
      <c r="R544" t="s">
        <v>72</v>
      </c>
      <c r="S544" t="s">
        <v>3589</v>
      </c>
      <c r="T544" t="b">
        <v>1</v>
      </c>
      <c r="U544" t="s">
        <v>3590</v>
      </c>
      <c r="V544" t="s">
        <v>3591</v>
      </c>
      <c r="W544" t="s">
        <v>3592</v>
      </c>
      <c r="X544" t="s">
        <v>47</v>
      </c>
      <c r="AA544" t="s">
        <v>3593</v>
      </c>
      <c r="AC544" t="s">
        <v>63</v>
      </c>
      <c r="AD544" t="b">
        <v>0</v>
      </c>
      <c r="AF544">
        <v>8</v>
      </c>
      <c r="AG544" t="s">
        <v>78</v>
      </c>
    </row>
    <row r="545" spans="1:33" x14ac:dyDescent="0.2">
      <c r="A545">
        <v>1070</v>
      </c>
      <c r="B545" t="s">
        <v>3594</v>
      </c>
      <c r="C545" t="s">
        <v>34</v>
      </c>
      <c r="D545" t="s">
        <v>35</v>
      </c>
      <c r="E545" t="s">
        <v>3595</v>
      </c>
      <c r="F545" t="s">
        <v>3596</v>
      </c>
      <c r="G545" t="s">
        <v>224</v>
      </c>
      <c r="H545" t="s">
        <v>225</v>
      </c>
      <c r="I545" t="s">
        <v>2631</v>
      </c>
      <c r="J545" t="s">
        <v>308</v>
      </c>
      <c r="K545">
        <v>2005</v>
      </c>
      <c r="L545">
        <v>2005</v>
      </c>
      <c r="M545">
        <v>0.03</v>
      </c>
      <c r="N545">
        <v>9.5000000000000001E-2</v>
      </c>
      <c r="R545" t="s">
        <v>97</v>
      </c>
      <c r="S545" t="s">
        <v>3597</v>
      </c>
      <c r="T545" t="b">
        <v>1</v>
      </c>
      <c r="U545" t="s">
        <v>237</v>
      </c>
      <c r="V545" t="s">
        <v>3598</v>
      </c>
      <c r="W545" t="s">
        <v>113</v>
      </c>
      <c r="X545" t="s">
        <v>47</v>
      </c>
      <c r="AA545" t="s">
        <v>1548</v>
      </c>
      <c r="AC545" t="s">
        <v>1549</v>
      </c>
      <c r="AD545" t="b">
        <v>0</v>
      </c>
      <c r="AF545">
        <v>1</v>
      </c>
      <c r="AG545" t="s">
        <v>104</v>
      </c>
    </row>
    <row r="546" spans="1:33" x14ac:dyDescent="0.2">
      <c r="A546">
        <v>141</v>
      </c>
      <c r="B546" t="s">
        <v>3599</v>
      </c>
      <c r="C546" t="s">
        <v>34</v>
      </c>
      <c r="D546" t="s">
        <v>35</v>
      </c>
      <c r="E546" t="s">
        <v>277</v>
      </c>
      <c r="F546" t="s">
        <v>278</v>
      </c>
      <c r="G546" t="s">
        <v>224</v>
      </c>
      <c r="H546" t="s">
        <v>225</v>
      </c>
      <c r="I546" t="s">
        <v>1126</v>
      </c>
      <c r="J546" t="s">
        <v>262</v>
      </c>
      <c r="K546">
        <v>1960</v>
      </c>
      <c r="L546">
        <v>1960</v>
      </c>
      <c r="M546">
        <v>70</v>
      </c>
      <c r="N546">
        <v>289.99900000000002</v>
      </c>
      <c r="O546">
        <v>540</v>
      </c>
      <c r="P546">
        <v>16</v>
      </c>
      <c r="Q546">
        <v>1.2150000000000001</v>
      </c>
      <c r="R546" t="s">
        <v>57</v>
      </c>
      <c r="S546" t="s">
        <v>3600</v>
      </c>
      <c r="T546" t="b">
        <v>1</v>
      </c>
      <c r="U546" t="s">
        <v>1828</v>
      </c>
      <c r="V546" t="s">
        <v>1129</v>
      </c>
      <c r="W546" t="s">
        <v>2785</v>
      </c>
      <c r="X546" t="s">
        <v>47</v>
      </c>
      <c r="AA546" t="s">
        <v>102</v>
      </c>
      <c r="AB546" t="s">
        <v>805</v>
      </c>
      <c r="AC546" t="s">
        <v>103</v>
      </c>
      <c r="AD546" t="b">
        <v>0</v>
      </c>
      <c r="AF546">
        <v>2</v>
      </c>
      <c r="AG546" t="s">
        <v>287</v>
      </c>
    </row>
    <row r="547" spans="1:33" x14ac:dyDescent="0.2">
      <c r="A547">
        <v>142</v>
      </c>
      <c r="B547" t="s">
        <v>3601</v>
      </c>
      <c r="C547" t="s">
        <v>34</v>
      </c>
      <c r="D547" t="s">
        <v>35</v>
      </c>
      <c r="E547" t="s">
        <v>277</v>
      </c>
      <c r="F547" t="s">
        <v>278</v>
      </c>
      <c r="G547" t="s">
        <v>224</v>
      </c>
      <c r="H547" t="s">
        <v>225</v>
      </c>
      <c r="I547" t="s">
        <v>3602</v>
      </c>
      <c r="J547" t="s">
        <v>41</v>
      </c>
      <c r="K547">
        <v>1960</v>
      </c>
      <c r="L547">
        <v>1960</v>
      </c>
      <c r="M547">
        <v>98</v>
      </c>
      <c r="N547">
        <v>562.64200000000005</v>
      </c>
      <c r="O547">
        <v>370</v>
      </c>
      <c r="P547">
        <v>31</v>
      </c>
      <c r="Q547">
        <v>0.878</v>
      </c>
      <c r="R547" t="s">
        <v>57</v>
      </c>
      <c r="S547" t="s">
        <v>3603</v>
      </c>
      <c r="T547" t="b">
        <v>1</v>
      </c>
      <c r="U547" t="s">
        <v>1828</v>
      </c>
      <c r="V547" t="s">
        <v>1129</v>
      </c>
      <c r="W547" t="s">
        <v>3604</v>
      </c>
      <c r="X547" t="s">
        <v>47</v>
      </c>
      <c r="AA547" t="s">
        <v>102</v>
      </c>
      <c r="AB547" t="s">
        <v>3605</v>
      </c>
      <c r="AC547" t="s">
        <v>103</v>
      </c>
      <c r="AD547" t="b">
        <v>0</v>
      </c>
      <c r="AF547">
        <v>2</v>
      </c>
      <c r="AG547" t="s">
        <v>287</v>
      </c>
    </row>
    <row r="548" spans="1:33" x14ac:dyDescent="0.2">
      <c r="A548">
        <v>2010</v>
      </c>
      <c r="B548" t="s">
        <v>3606</v>
      </c>
      <c r="C548" t="s">
        <v>34</v>
      </c>
      <c r="D548" t="s">
        <v>35</v>
      </c>
      <c r="E548" t="s">
        <v>1047</v>
      </c>
      <c r="F548" t="s">
        <v>1048</v>
      </c>
      <c r="G548" t="s">
        <v>312</v>
      </c>
      <c r="H548" t="s">
        <v>313</v>
      </c>
      <c r="I548" t="s">
        <v>1049</v>
      </c>
      <c r="J548" t="s">
        <v>171</v>
      </c>
      <c r="K548">
        <v>2020</v>
      </c>
      <c r="L548">
        <v>2020</v>
      </c>
      <c r="M548">
        <v>1.7</v>
      </c>
      <c r="N548">
        <v>5.93</v>
      </c>
      <c r="O548">
        <v>189.8</v>
      </c>
      <c r="P548">
        <v>1.02</v>
      </c>
      <c r="Q548">
        <v>0.46300000000000002</v>
      </c>
      <c r="R548" t="s">
        <v>84</v>
      </c>
      <c r="S548" t="s">
        <v>3607</v>
      </c>
      <c r="T548" t="b">
        <v>1</v>
      </c>
      <c r="U548" t="s">
        <v>3608</v>
      </c>
      <c r="V548" t="s">
        <v>3609</v>
      </c>
      <c r="W548" t="s">
        <v>3610</v>
      </c>
      <c r="X548" t="s">
        <v>47</v>
      </c>
      <c r="AA548" t="s">
        <v>615</v>
      </c>
      <c r="AB548" t="s">
        <v>148</v>
      </c>
      <c r="AC548" t="s">
        <v>616</v>
      </c>
      <c r="AD548" t="b">
        <v>0</v>
      </c>
      <c r="AF548">
        <v>4</v>
      </c>
      <c r="AG548" t="s">
        <v>321</v>
      </c>
    </row>
    <row r="549" spans="1:33" x14ac:dyDescent="0.2">
      <c r="A549">
        <v>143</v>
      </c>
      <c r="B549" t="s">
        <v>3611</v>
      </c>
      <c r="C549" t="s">
        <v>34</v>
      </c>
      <c r="D549" t="s">
        <v>35</v>
      </c>
      <c r="E549" t="s">
        <v>404</v>
      </c>
      <c r="F549" t="s">
        <v>405</v>
      </c>
      <c r="G549" t="s">
        <v>224</v>
      </c>
      <c r="H549" t="s">
        <v>225</v>
      </c>
      <c r="I549" t="s">
        <v>226</v>
      </c>
      <c r="J549" t="s">
        <v>227</v>
      </c>
      <c r="K549">
        <v>1946</v>
      </c>
      <c r="L549">
        <v>1946</v>
      </c>
      <c r="M549">
        <v>18.3</v>
      </c>
      <c r="N549">
        <v>120.965</v>
      </c>
      <c r="O549">
        <v>24.4</v>
      </c>
      <c r="P549">
        <v>92</v>
      </c>
      <c r="Q549">
        <v>5.5E-2</v>
      </c>
      <c r="R549" t="s">
        <v>97</v>
      </c>
      <c r="S549" t="s">
        <v>3612</v>
      </c>
      <c r="T549" t="b">
        <v>1</v>
      </c>
      <c r="U549" t="s">
        <v>3613</v>
      </c>
      <c r="V549" t="s">
        <v>408</v>
      </c>
      <c r="W549" t="s">
        <v>3614</v>
      </c>
      <c r="X549" t="s">
        <v>47</v>
      </c>
      <c r="AA549" t="s">
        <v>102</v>
      </c>
      <c r="AB549" t="s">
        <v>171</v>
      </c>
      <c r="AC549" t="s">
        <v>103</v>
      </c>
      <c r="AD549" t="b">
        <v>0</v>
      </c>
      <c r="AF549">
        <v>1</v>
      </c>
      <c r="AG549" t="s">
        <v>104</v>
      </c>
    </row>
    <row r="550" spans="1:33" x14ac:dyDescent="0.2">
      <c r="A550">
        <v>1439</v>
      </c>
      <c r="B550" t="s">
        <v>3615</v>
      </c>
      <c r="C550" t="s">
        <v>34</v>
      </c>
      <c r="D550" t="s">
        <v>35</v>
      </c>
      <c r="E550" t="s">
        <v>3616</v>
      </c>
      <c r="F550" t="s">
        <v>3617</v>
      </c>
      <c r="G550" t="s">
        <v>224</v>
      </c>
      <c r="H550" t="s">
        <v>225</v>
      </c>
      <c r="I550" t="s">
        <v>3602</v>
      </c>
      <c r="J550" t="s">
        <v>41</v>
      </c>
      <c r="K550">
        <v>2008</v>
      </c>
      <c r="L550">
        <v>2008</v>
      </c>
      <c r="M550">
        <v>8.5000000000000006E-2</v>
      </c>
      <c r="N550">
        <v>0.68700000000000006</v>
      </c>
      <c r="R550" t="s">
        <v>57</v>
      </c>
      <c r="S550" t="s">
        <v>3618</v>
      </c>
      <c r="T550" t="b">
        <v>1</v>
      </c>
      <c r="U550" t="s">
        <v>3619</v>
      </c>
      <c r="V550" t="s">
        <v>3620</v>
      </c>
      <c r="W550" t="s">
        <v>3621</v>
      </c>
      <c r="X550" t="s">
        <v>47</v>
      </c>
      <c r="AA550" t="s">
        <v>102</v>
      </c>
      <c r="AC550" t="s">
        <v>103</v>
      </c>
      <c r="AD550" t="b">
        <v>0</v>
      </c>
      <c r="AF550">
        <v>2</v>
      </c>
      <c r="AG550" t="s">
        <v>287</v>
      </c>
    </row>
    <row r="551" spans="1:33" x14ac:dyDescent="0.2">
      <c r="A551">
        <v>1956</v>
      </c>
      <c r="B551" t="s">
        <v>3622</v>
      </c>
      <c r="C551" t="s">
        <v>34</v>
      </c>
      <c r="D551" t="s">
        <v>35</v>
      </c>
      <c r="E551" t="s">
        <v>3623</v>
      </c>
      <c r="F551" t="s">
        <v>3624</v>
      </c>
      <c r="G551" t="s">
        <v>53</v>
      </c>
      <c r="H551" t="s">
        <v>54</v>
      </c>
      <c r="I551" t="s">
        <v>325</v>
      </c>
      <c r="J551" t="s">
        <v>135</v>
      </c>
      <c r="K551">
        <v>2021</v>
      </c>
      <c r="L551">
        <v>2021</v>
      </c>
      <c r="M551">
        <v>23.7</v>
      </c>
      <c r="N551">
        <v>79.686000000000007</v>
      </c>
      <c r="O551">
        <v>430</v>
      </c>
      <c r="P551">
        <v>6.35</v>
      </c>
      <c r="Q551">
        <v>1.0369999999999999</v>
      </c>
      <c r="R551" t="s">
        <v>57</v>
      </c>
      <c r="S551" t="s">
        <v>3625</v>
      </c>
      <c r="T551" t="b">
        <v>1</v>
      </c>
      <c r="U551" t="s">
        <v>3626</v>
      </c>
      <c r="V551" t="s">
        <v>3627</v>
      </c>
      <c r="W551" t="s">
        <v>3628</v>
      </c>
      <c r="X551" t="s">
        <v>47</v>
      </c>
      <c r="AA551" t="s">
        <v>3629</v>
      </c>
      <c r="AB551" t="s">
        <v>177</v>
      </c>
      <c r="AC551" t="s">
        <v>992</v>
      </c>
      <c r="AD551" t="b">
        <v>0</v>
      </c>
      <c r="AF551">
        <v>6</v>
      </c>
      <c r="AG551" t="s">
        <v>64</v>
      </c>
    </row>
    <row r="552" spans="1:33" x14ac:dyDescent="0.2">
      <c r="A552">
        <v>1826</v>
      </c>
      <c r="B552" t="s">
        <v>3630</v>
      </c>
      <c r="C552" t="s">
        <v>34</v>
      </c>
      <c r="D552" t="s">
        <v>35</v>
      </c>
      <c r="E552" t="s">
        <v>557</v>
      </c>
      <c r="F552" t="s">
        <v>558</v>
      </c>
      <c r="G552" t="s">
        <v>68</v>
      </c>
      <c r="H552" t="s">
        <v>69</v>
      </c>
      <c r="I552" t="s">
        <v>445</v>
      </c>
      <c r="J552" t="s">
        <v>203</v>
      </c>
      <c r="K552">
        <v>2015</v>
      </c>
      <c r="L552">
        <v>2015</v>
      </c>
      <c r="M552">
        <v>4.4000000000000004</v>
      </c>
      <c r="N552">
        <v>13.656000000000001</v>
      </c>
      <c r="O552">
        <v>363.4</v>
      </c>
      <c r="P552">
        <v>1.42</v>
      </c>
      <c r="Q552">
        <v>0.86099999999999999</v>
      </c>
      <c r="R552" t="s">
        <v>72</v>
      </c>
      <c r="S552" t="s">
        <v>3631</v>
      </c>
      <c r="T552" t="b">
        <v>1</v>
      </c>
      <c r="U552" t="s">
        <v>3632</v>
      </c>
      <c r="V552" t="s">
        <v>561</v>
      </c>
      <c r="W552" t="s">
        <v>3633</v>
      </c>
      <c r="X552" t="s">
        <v>47</v>
      </c>
      <c r="AA552" t="s">
        <v>3634</v>
      </c>
      <c r="AB552" t="s">
        <v>49</v>
      </c>
      <c r="AC552" t="s">
        <v>3635</v>
      </c>
      <c r="AD552" t="b">
        <v>0</v>
      </c>
      <c r="AF552">
        <v>8</v>
      </c>
      <c r="AG552" t="s">
        <v>78</v>
      </c>
    </row>
    <row r="553" spans="1:33" x14ac:dyDescent="0.2">
      <c r="A553">
        <v>1692</v>
      </c>
      <c r="B553" t="s">
        <v>3636</v>
      </c>
      <c r="C553" t="s">
        <v>34</v>
      </c>
      <c r="D553" t="s">
        <v>35</v>
      </c>
      <c r="E553" t="s">
        <v>3637</v>
      </c>
      <c r="F553" t="s">
        <v>3638</v>
      </c>
      <c r="G553" t="s">
        <v>242</v>
      </c>
      <c r="H553" t="s">
        <v>243</v>
      </c>
      <c r="I553" t="s">
        <v>1273</v>
      </c>
      <c r="J553" t="s">
        <v>409</v>
      </c>
      <c r="K553">
        <v>2012</v>
      </c>
      <c r="L553">
        <v>2012</v>
      </c>
      <c r="M553">
        <v>0.32800000000000001</v>
      </c>
      <c r="N553">
        <v>1.3740000000000001</v>
      </c>
      <c r="O553">
        <v>53</v>
      </c>
      <c r="P553">
        <v>0.72499999999999998</v>
      </c>
      <c r="Q553">
        <v>0.11799999999999999</v>
      </c>
      <c r="R553" t="s">
        <v>72</v>
      </c>
      <c r="S553" t="s">
        <v>3639</v>
      </c>
      <c r="T553" t="b">
        <v>1</v>
      </c>
      <c r="U553" t="s">
        <v>3640</v>
      </c>
      <c r="V553" t="s">
        <v>3641</v>
      </c>
      <c r="W553" t="s">
        <v>3642</v>
      </c>
      <c r="X553" t="s">
        <v>47</v>
      </c>
      <c r="AA553" t="s">
        <v>1276</v>
      </c>
      <c r="AC553" t="s">
        <v>1277</v>
      </c>
      <c r="AD553" t="b">
        <v>0</v>
      </c>
      <c r="AF553">
        <v>8</v>
      </c>
      <c r="AG553" t="s">
        <v>78</v>
      </c>
    </row>
    <row r="554" spans="1:33" x14ac:dyDescent="0.2">
      <c r="A554">
        <v>144</v>
      </c>
      <c r="B554" t="s">
        <v>3643</v>
      </c>
      <c r="C554" t="s">
        <v>34</v>
      </c>
      <c r="D554" t="s">
        <v>35</v>
      </c>
      <c r="E554" t="s">
        <v>1200</v>
      </c>
      <c r="F554" t="s">
        <v>1201</v>
      </c>
      <c r="G554" t="s">
        <v>53</v>
      </c>
      <c r="H554" t="s">
        <v>54</v>
      </c>
      <c r="I554" t="s">
        <v>3644</v>
      </c>
      <c r="J554" t="s">
        <v>515</v>
      </c>
      <c r="K554">
        <v>1919</v>
      </c>
      <c r="L554">
        <v>1995</v>
      </c>
      <c r="M554">
        <v>13.8</v>
      </c>
      <c r="N554">
        <v>55.201999999999998</v>
      </c>
      <c r="O554">
        <v>136</v>
      </c>
      <c r="P554">
        <v>12</v>
      </c>
      <c r="Q554">
        <v>0.31900000000000001</v>
      </c>
      <c r="R554" t="s">
        <v>57</v>
      </c>
      <c r="S554" t="s">
        <v>3645</v>
      </c>
      <c r="T554" t="b">
        <v>1</v>
      </c>
      <c r="U554" t="s">
        <v>3646</v>
      </c>
      <c r="V554" t="s">
        <v>1204</v>
      </c>
      <c r="W554" t="s">
        <v>3647</v>
      </c>
      <c r="X554" t="s">
        <v>47</v>
      </c>
      <c r="AA554" t="s">
        <v>3648</v>
      </c>
      <c r="AB554" t="s">
        <v>177</v>
      </c>
      <c r="AC554" t="s">
        <v>3649</v>
      </c>
      <c r="AD554" t="b">
        <v>0</v>
      </c>
      <c r="AF554">
        <v>6</v>
      </c>
      <c r="AG554" t="s">
        <v>64</v>
      </c>
    </row>
    <row r="555" spans="1:33" x14ac:dyDescent="0.2">
      <c r="A555">
        <v>145</v>
      </c>
      <c r="B555" t="s">
        <v>3650</v>
      </c>
      <c r="C555" t="s">
        <v>296</v>
      </c>
      <c r="D555" t="s">
        <v>297</v>
      </c>
      <c r="E555" t="s">
        <v>2170</v>
      </c>
      <c r="F555" t="s">
        <v>2171</v>
      </c>
      <c r="G555" t="s">
        <v>53</v>
      </c>
      <c r="H555" t="s">
        <v>54</v>
      </c>
      <c r="I555" t="s">
        <v>532</v>
      </c>
      <c r="J555" t="s">
        <v>533</v>
      </c>
      <c r="K555">
        <v>1962</v>
      </c>
      <c r="L555">
        <v>1962</v>
      </c>
      <c r="M555">
        <v>33</v>
      </c>
      <c r="N555">
        <v>113.64100000000001</v>
      </c>
      <c r="O555">
        <v>257</v>
      </c>
      <c r="P555">
        <v>16.3</v>
      </c>
      <c r="Q555">
        <v>0.56100000000000005</v>
      </c>
      <c r="R555" t="s">
        <v>57</v>
      </c>
      <c r="S555" t="s">
        <v>3651</v>
      </c>
      <c r="T555" t="b">
        <v>1</v>
      </c>
      <c r="U555" t="s">
        <v>2173</v>
      </c>
      <c r="V555" t="s">
        <v>2174</v>
      </c>
      <c r="W555" t="s">
        <v>2175</v>
      </c>
      <c r="X555" t="s">
        <v>47</v>
      </c>
      <c r="AA555" t="s">
        <v>538</v>
      </c>
      <c r="AB555" t="s">
        <v>177</v>
      </c>
      <c r="AC555" t="s">
        <v>540</v>
      </c>
      <c r="AD555" t="b">
        <v>0</v>
      </c>
      <c r="AF555">
        <v>7</v>
      </c>
      <c r="AG555" t="s">
        <v>469</v>
      </c>
    </row>
    <row r="556" spans="1:33" x14ac:dyDescent="0.2">
      <c r="A556">
        <v>1807</v>
      </c>
      <c r="B556" t="s">
        <v>3652</v>
      </c>
      <c r="C556" t="s">
        <v>34</v>
      </c>
      <c r="D556" t="s">
        <v>35</v>
      </c>
      <c r="E556" t="s">
        <v>523</v>
      </c>
      <c r="F556" t="s">
        <v>524</v>
      </c>
      <c r="G556" t="s">
        <v>377</v>
      </c>
      <c r="H556" t="s">
        <v>378</v>
      </c>
      <c r="I556" t="s">
        <v>2352</v>
      </c>
      <c r="J556" t="s">
        <v>1077</v>
      </c>
      <c r="K556">
        <v>2016</v>
      </c>
      <c r="L556">
        <v>2016</v>
      </c>
      <c r="M556">
        <v>6.14</v>
      </c>
      <c r="N556">
        <v>11.478</v>
      </c>
      <c r="O556">
        <v>254.6</v>
      </c>
      <c r="P556">
        <v>2.69</v>
      </c>
      <c r="Q556">
        <v>0.63400000000000001</v>
      </c>
      <c r="R556" t="s">
        <v>42</v>
      </c>
      <c r="S556" t="s">
        <v>3653</v>
      </c>
      <c r="T556" t="b">
        <v>1</v>
      </c>
      <c r="U556" t="s">
        <v>3654</v>
      </c>
      <c r="V556" t="s">
        <v>527</v>
      </c>
      <c r="W556" t="s">
        <v>3655</v>
      </c>
      <c r="X556" t="s">
        <v>47</v>
      </c>
      <c r="AA556" t="s">
        <v>114</v>
      </c>
      <c r="AC556" t="s">
        <v>63</v>
      </c>
      <c r="AD556" t="b">
        <v>0</v>
      </c>
      <c r="AF556">
        <v>11</v>
      </c>
      <c r="AG556" t="s">
        <v>198</v>
      </c>
    </row>
    <row r="557" spans="1:33" x14ac:dyDescent="0.2">
      <c r="A557">
        <v>841</v>
      </c>
      <c r="B557" t="s">
        <v>3656</v>
      </c>
      <c r="C557" t="s">
        <v>34</v>
      </c>
      <c r="D557" t="s">
        <v>35</v>
      </c>
      <c r="E557" t="s">
        <v>3657</v>
      </c>
      <c r="F557" t="s">
        <v>3658</v>
      </c>
      <c r="G557" t="s">
        <v>242</v>
      </c>
      <c r="H557" t="s">
        <v>243</v>
      </c>
      <c r="I557" t="s">
        <v>799</v>
      </c>
      <c r="J557" t="s">
        <v>96</v>
      </c>
      <c r="K557">
        <v>2005</v>
      </c>
      <c r="L557">
        <v>2005</v>
      </c>
      <c r="M557">
        <v>1.1000000000000001</v>
      </c>
      <c r="N557">
        <v>4.032</v>
      </c>
      <c r="O557">
        <v>120</v>
      </c>
      <c r="P557">
        <v>1.1000000000000001</v>
      </c>
      <c r="Q557">
        <v>0.27800000000000002</v>
      </c>
      <c r="R557" t="s">
        <v>72</v>
      </c>
      <c r="S557" t="s">
        <v>3659</v>
      </c>
      <c r="T557" t="b">
        <v>1</v>
      </c>
      <c r="U557" t="s">
        <v>237</v>
      </c>
      <c r="V557" t="s">
        <v>3660</v>
      </c>
      <c r="W557" t="s">
        <v>3661</v>
      </c>
      <c r="X557" t="s">
        <v>47</v>
      </c>
      <c r="AA557" t="s">
        <v>3662</v>
      </c>
      <c r="AB557" t="s">
        <v>49</v>
      </c>
      <c r="AC557" t="s">
        <v>3663</v>
      </c>
      <c r="AD557" t="b">
        <v>0</v>
      </c>
      <c r="AF557">
        <v>9</v>
      </c>
      <c r="AG557" t="s">
        <v>251</v>
      </c>
    </row>
    <row r="558" spans="1:33" x14ac:dyDescent="0.2">
      <c r="A558">
        <v>1881</v>
      </c>
      <c r="B558" t="s">
        <v>3664</v>
      </c>
      <c r="C558" t="s">
        <v>34</v>
      </c>
      <c r="D558" t="s">
        <v>35</v>
      </c>
      <c r="E558" t="s">
        <v>3665</v>
      </c>
      <c r="F558" t="s">
        <v>3666</v>
      </c>
      <c r="G558" t="s">
        <v>53</v>
      </c>
      <c r="H558" t="s">
        <v>54</v>
      </c>
      <c r="I558" t="s">
        <v>1039</v>
      </c>
      <c r="J558" t="s">
        <v>243</v>
      </c>
      <c r="K558">
        <v>2016</v>
      </c>
      <c r="L558">
        <v>2016</v>
      </c>
      <c r="M558">
        <v>1.88</v>
      </c>
      <c r="N558">
        <v>5.468</v>
      </c>
      <c r="O558">
        <v>292</v>
      </c>
      <c r="P558">
        <v>0.78</v>
      </c>
      <c r="Q558">
        <v>0.67</v>
      </c>
      <c r="R558" t="s">
        <v>72</v>
      </c>
      <c r="S558" t="s">
        <v>3667</v>
      </c>
      <c r="T558" t="b">
        <v>1</v>
      </c>
      <c r="U558" t="s">
        <v>3668</v>
      </c>
      <c r="V558" t="s">
        <v>3669</v>
      </c>
      <c r="W558" t="s">
        <v>3670</v>
      </c>
      <c r="X558" t="s">
        <v>47</v>
      </c>
      <c r="AA558" t="s">
        <v>114</v>
      </c>
      <c r="AC558" t="s">
        <v>63</v>
      </c>
      <c r="AD558" t="b">
        <v>0</v>
      </c>
      <c r="AF558">
        <v>13</v>
      </c>
      <c r="AG558" t="s">
        <v>155</v>
      </c>
    </row>
    <row r="559" spans="1:33" x14ac:dyDescent="0.2">
      <c r="A559">
        <v>146</v>
      </c>
      <c r="B559" t="s">
        <v>3671</v>
      </c>
      <c r="C559" t="s">
        <v>34</v>
      </c>
      <c r="D559" t="s">
        <v>35</v>
      </c>
      <c r="E559" t="s">
        <v>1027</v>
      </c>
      <c r="F559" t="s">
        <v>1028</v>
      </c>
      <c r="G559" t="s">
        <v>213</v>
      </c>
      <c r="H559" t="s">
        <v>83</v>
      </c>
      <c r="I559" t="s">
        <v>3672</v>
      </c>
      <c r="J559" t="s">
        <v>973</v>
      </c>
      <c r="K559">
        <v>1915</v>
      </c>
      <c r="L559">
        <v>1983</v>
      </c>
      <c r="M559">
        <v>1.48</v>
      </c>
      <c r="N559">
        <v>7.3090000000000002</v>
      </c>
      <c r="O559">
        <v>55.3</v>
      </c>
      <c r="P559">
        <v>3</v>
      </c>
      <c r="Q559">
        <v>0.13700000000000001</v>
      </c>
      <c r="R559" t="s">
        <v>84</v>
      </c>
      <c r="S559" t="s">
        <v>3673</v>
      </c>
      <c r="T559" t="b">
        <v>1</v>
      </c>
      <c r="U559" t="s">
        <v>3674</v>
      </c>
      <c r="V559" t="s">
        <v>1032</v>
      </c>
      <c r="W559" t="s">
        <v>3675</v>
      </c>
      <c r="X559" t="s">
        <v>47</v>
      </c>
      <c r="AA559" t="s">
        <v>3676</v>
      </c>
      <c r="AB559" t="s">
        <v>49</v>
      </c>
      <c r="AC559" t="s">
        <v>3677</v>
      </c>
      <c r="AD559" t="b">
        <v>0</v>
      </c>
      <c r="AF559">
        <v>4</v>
      </c>
      <c r="AG559" t="s">
        <v>321</v>
      </c>
    </row>
    <row r="560" spans="1:33" x14ac:dyDescent="0.2">
      <c r="A560">
        <v>1389</v>
      </c>
      <c r="B560" t="s">
        <v>3671</v>
      </c>
      <c r="C560" t="s">
        <v>34</v>
      </c>
      <c r="D560" t="s">
        <v>35</v>
      </c>
      <c r="E560" t="s">
        <v>3678</v>
      </c>
      <c r="F560" t="s">
        <v>3679</v>
      </c>
      <c r="G560" t="s">
        <v>213</v>
      </c>
      <c r="H560" t="s">
        <v>83</v>
      </c>
      <c r="I560" t="s">
        <v>214</v>
      </c>
      <c r="J560" t="s">
        <v>215</v>
      </c>
      <c r="K560">
        <v>2008</v>
      </c>
      <c r="L560">
        <v>2008</v>
      </c>
      <c r="M560">
        <v>0.27500000000000002</v>
      </c>
      <c r="N560">
        <v>0.92700000000000005</v>
      </c>
      <c r="O560">
        <v>142</v>
      </c>
      <c r="P560">
        <v>0.27</v>
      </c>
      <c r="Q560">
        <v>0.28299999999999997</v>
      </c>
      <c r="R560" t="s">
        <v>84</v>
      </c>
      <c r="S560" t="s">
        <v>3680</v>
      </c>
      <c r="T560" t="b">
        <v>1</v>
      </c>
      <c r="U560" t="s">
        <v>3681</v>
      </c>
      <c r="V560" t="s">
        <v>3682</v>
      </c>
      <c r="W560" t="s">
        <v>3683</v>
      </c>
      <c r="X560" t="s">
        <v>47</v>
      </c>
      <c r="AA560" t="s">
        <v>3684</v>
      </c>
      <c r="AC560" t="s">
        <v>63</v>
      </c>
      <c r="AD560" t="b">
        <v>0</v>
      </c>
      <c r="AF560">
        <v>5</v>
      </c>
      <c r="AG560" t="s">
        <v>89</v>
      </c>
    </row>
    <row r="561" spans="1:33" x14ac:dyDescent="0.2">
      <c r="A561">
        <v>1486</v>
      </c>
      <c r="B561" t="s">
        <v>3685</v>
      </c>
      <c r="C561" t="s">
        <v>34</v>
      </c>
      <c r="D561" t="s">
        <v>35</v>
      </c>
      <c r="E561" t="s">
        <v>3686</v>
      </c>
      <c r="F561" t="s">
        <v>3687</v>
      </c>
      <c r="G561" t="s">
        <v>242</v>
      </c>
      <c r="H561" t="s">
        <v>243</v>
      </c>
      <c r="I561" t="s">
        <v>3688</v>
      </c>
      <c r="J561" t="s">
        <v>663</v>
      </c>
      <c r="K561">
        <v>2009</v>
      </c>
      <c r="L561">
        <v>2009</v>
      </c>
      <c r="M561">
        <v>0.48</v>
      </c>
      <c r="N561">
        <v>1.3220000000000001</v>
      </c>
      <c r="O561">
        <v>121</v>
      </c>
      <c r="P561">
        <v>0.47</v>
      </c>
      <c r="Q561">
        <v>0.28399999999999997</v>
      </c>
      <c r="R561" t="s">
        <v>72</v>
      </c>
      <c r="S561" t="s">
        <v>3689</v>
      </c>
      <c r="T561" t="b">
        <v>1</v>
      </c>
      <c r="U561" t="s">
        <v>3690</v>
      </c>
      <c r="V561" t="s">
        <v>3691</v>
      </c>
      <c r="W561" t="s">
        <v>3692</v>
      </c>
      <c r="X561" t="s">
        <v>47</v>
      </c>
      <c r="AA561" t="s">
        <v>3693</v>
      </c>
      <c r="AC561" t="s">
        <v>63</v>
      </c>
      <c r="AD561" t="b">
        <v>0</v>
      </c>
      <c r="AF561">
        <v>9</v>
      </c>
      <c r="AG561" t="s">
        <v>251</v>
      </c>
    </row>
    <row r="562" spans="1:33" x14ac:dyDescent="0.2">
      <c r="A562">
        <v>2033</v>
      </c>
      <c r="B562" t="s">
        <v>3694</v>
      </c>
      <c r="C562" t="s">
        <v>34</v>
      </c>
      <c r="D562" t="s">
        <v>35</v>
      </c>
      <c r="E562" t="s">
        <v>277</v>
      </c>
      <c r="F562" t="s">
        <v>278</v>
      </c>
      <c r="G562" t="s">
        <v>93</v>
      </c>
      <c r="H562" t="s">
        <v>94</v>
      </c>
      <c r="I562" t="s">
        <v>3695</v>
      </c>
      <c r="J562" t="s">
        <v>485</v>
      </c>
      <c r="K562">
        <v>2021</v>
      </c>
      <c r="L562">
        <v>2021</v>
      </c>
      <c r="M562">
        <v>3.2</v>
      </c>
      <c r="N562">
        <v>10.728</v>
      </c>
      <c r="O562">
        <v>94</v>
      </c>
      <c r="P562">
        <v>4</v>
      </c>
      <c r="Q562">
        <v>0.222</v>
      </c>
      <c r="R562" t="s">
        <v>97</v>
      </c>
      <c r="S562" t="s">
        <v>3696</v>
      </c>
      <c r="T562" t="b">
        <v>1</v>
      </c>
      <c r="U562" t="s">
        <v>3697</v>
      </c>
      <c r="V562" t="s">
        <v>3307</v>
      </c>
      <c r="W562" t="s">
        <v>3698</v>
      </c>
      <c r="X562" t="s">
        <v>47</v>
      </c>
      <c r="AA562" t="s">
        <v>340</v>
      </c>
      <c r="AC562" t="s">
        <v>1063</v>
      </c>
      <c r="AD562" t="b">
        <v>0</v>
      </c>
      <c r="AF562">
        <v>1</v>
      </c>
      <c r="AG562" t="s">
        <v>104</v>
      </c>
    </row>
    <row r="563" spans="1:33" x14ac:dyDescent="0.2">
      <c r="A563">
        <v>1343</v>
      </c>
      <c r="B563" t="s">
        <v>3699</v>
      </c>
      <c r="C563" t="s">
        <v>34</v>
      </c>
      <c r="D563" t="s">
        <v>35</v>
      </c>
      <c r="E563" t="s">
        <v>3700</v>
      </c>
      <c r="F563" t="s">
        <v>3701</v>
      </c>
      <c r="G563" t="s">
        <v>312</v>
      </c>
      <c r="H563" t="s">
        <v>313</v>
      </c>
      <c r="I563" t="s">
        <v>493</v>
      </c>
      <c r="J563" t="s">
        <v>409</v>
      </c>
      <c r="K563">
        <v>2007</v>
      </c>
      <c r="L563">
        <v>2007</v>
      </c>
      <c r="M563">
        <v>3.6</v>
      </c>
      <c r="N563">
        <v>12.614000000000001</v>
      </c>
      <c r="O563">
        <v>221</v>
      </c>
      <c r="P563">
        <v>1.8</v>
      </c>
      <c r="Q563">
        <v>0.54</v>
      </c>
      <c r="R563" t="s">
        <v>84</v>
      </c>
      <c r="S563" t="s">
        <v>3702</v>
      </c>
      <c r="T563" t="b">
        <v>1</v>
      </c>
      <c r="U563" t="s">
        <v>3703</v>
      </c>
      <c r="V563" t="s">
        <v>3704</v>
      </c>
      <c r="W563" t="s">
        <v>3705</v>
      </c>
      <c r="X563" t="s">
        <v>47</v>
      </c>
      <c r="AA563" t="s">
        <v>498</v>
      </c>
      <c r="AB563" t="s">
        <v>1077</v>
      </c>
      <c r="AC563" t="s">
        <v>499</v>
      </c>
      <c r="AD563" t="b">
        <v>0</v>
      </c>
      <c r="AF563">
        <v>4</v>
      </c>
      <c r="AG563" t="s">
        <v>321</v>
      </c>
    </row>
    <row r="564" spans="1:33" x14ac:dyDescent="0.2">
      <c r="A564">
        <v>147</v>
      </c>
      <c r="B564" t="s">
        <v>3706</v>
      </c>
      <c r="C564" t="s">
        <v>34</v>
      </c>
      <c r="D564" t="s">
        <v>35</v>
      </c>
      <c r="E564" t="s">
        <v>91</v>
      </c>
      <c r="F564" t="s">
        <v>92</v>
      </c>
      <c r="G564" t="s">
        <v>503</v>
      </c>
      <c r="H564" t="s">
        <v>462</v>
      </c>
      <c r="I564" t="s">
        <v>659</v>
      </c>
      <c r="J564" t="s">
        <v>41</v>
      </c>
      <c r="K564">
        <v>1958</v>
      </c>
      <c r="L564">
        <v>1958</v>
      </c>
      <c r="M564">
        <v>120</v>
      </c>
      <c r="N564">
        <v>448.303</v>
      </c>
      <c r="O564">
        <v>575</v>
      </c>
      <c r="P564">
        <v>24.6</v>
      </c>
      <c r="Q564">
        <v>1.355</v>
      </c>
      <c r="R564" t="s">
        <v>84</v>
      </c>
      <c r="S564" t="s">
        <v>3707</v>
      </c>
      <c r="T564" t="b">
        <v>1</v>
      </c>
      <c r="U564" t="s">
        <v>3708</v>
      </c>
      <c r="V564" t="s">
        <v>100</v>
      </c>
      <c r="W564" t="s">
        <v>3709</v>
      </c>
      <c r="X564" t="s">
        <v>47</v>
      </c>
      <c r="AA564" t="s">
        <v>583</v>
      </c>
      <c r="AB564" t="s">
        <v>256</v>
      </c>
      <c r="AC564" t="s">
        <v>585</v>
      </c>
      <c r="AD564" t="b">
        <v>0</v>
      </c>
      <c r="AF564">
        <v>3</v>
      </c>
      <c r="AG564" t="s">
        <v>332</v>
      </c>
    </row>
    <row r="565" spans="1:33" x14ac:dyDescent="0.2">
      <c r="A565">
        <v>1357</v>
      </c>
      <c r="B565" t="s">
        <v>3710</v>
      </c>
      <c r="C565" t="s">
        <v>34</v>
      </c>
      <c r="D565" t="s">
        <v>35</v>
      </c>
      <c r="E565" t="s">
        <v>180</v>
      </c>
      <c r="F565" t="s">
        <v>181</v>
      </c>
      <c r="G565" t="s">
        <v>53</v>
      </c>
      <c r="H565" t="s">
        <v>54</v>
      </c>
      <c r="I565" t="s">
        <v>1039</v>
      </c>
      <c r="J565" t="s">
        <v>243</v>
      </c>
      <c r="K565">
        <v>2008</v>
      </c>
      <c r="L565">
        <v>2008</v>
      </c>
      <c r="M565">
        <v>2.85</v>
      </c>
      <c r="N565">
        <v>11.682</v>
      </c>
      <c r="O565">
        <v>19</v>
      </c>
      <c r="P565">
        <v>16.600000000000001</v>
      </c>
      <c r="Q565">
        <v>4.8000000000000001E-2</v>
      </c>
      <c r="R565" t="s">
        <v>72</v>
      </c>
      <c r="S565" t="s">
        <v>3711</v>
      </c>
      <c r="T565" t="b">
        <v>1</v>
      </c>
      <c r="U565" t="s">
        <v>3712</v>
      </c>
      <c r="V565" t="s">
        <v>185</v>
      </c>
      <c r="W565" t="s">
        <v>3713</v>
      </c>
      <c r="X565" t="s">
        <v>47</v>
      </c>
      <c r="AA565" t="s">
        <v>400</v>
      </c>
      <c r="AB565" t="s">
        <v>584</v>
      </c>
      <c r="AC565" t="s">
        <v>402</v>
      </c>
      <c r="AD565" t="b">
        <v>0</v>
      </c>
      <c r="AF565">
        <v>13</v>
      </c>
      <c r="AG565" t="s">
        <v>155</v>
      </c>
    </row>
    <row r="566" spans="1:33" x14ac:dyDescent="0.2">
      <c r="A566">
        <v>1255</v>
      </c>
      <c r="B566" t="s">
        <v>3714</v>
      </c>
      <c r="C566" t="s">
        <v>34</v>
      </c>
      <c r="D566" t="s">
        <v>35</v>
      </c>
      <c r="E566" t="s">
        <v>3715</v>
      </c>
      <c r="F566" t="s">
        <v>3716</v>
      </c>
      <c r="G566" t="s">
        <v>53</v>
      </c>
      <c r="H566" t="s">
        <v>54</v>
      </c>
      <c r="I566" t="s">
        <v>1165</v>
      </c>
      <c r="J566" t="s">
        <v>1166</v>
      </c>
      <c r="K566">
        <v>2006</v>
      </c>
      <c r="L566">
        <v>2006</v>
      </c>
      <c r="M566">
        <v>1.1000000000000001</v>
      </c>
      <c r="N566">
        <v>7.1719999999999997</v>
      </c>
      <c r="O566">
        <v>67</v>
      </c>
      <c r="P566">
        <v>2</v>
      </c>
      <c r="Q566">
        <v>0.153</v>
      </c>
      <c r="R566" t="s">
        <v>72</v>
      </c>
      <c r="S566" t="s">
        <v>3717</v>
      </c>
      <c r="T566" t="b">
        <v>1</v>
      </c>
      <c r="U566" t="s">
        <v>3718</v>
      </c>
      <c r="V566" t="s">
        <v>3719</v>
      </c>
      <c r="W566" t="s">
        <v>3720</v>
      </c>
      <c r="X566" t="s">
        <v>47</v>
      </c>
      <c r="AA566" t="s">
        <v>2821</v>
      </c>
      <c r="AB566" t="s">
        <v>49</v>
      </c>
      <c r="AC566" t="s">
        <v>2822</v>
      </c>
      <c r="AD566" t="b">
        <v>0</v>
      </c>
      <c r="AF566">
        <v>8</v>
      </c>
      <c r="AG566" t="s">
        <v>78</v>
      </c>
    </row>
    <row r="567" spans="1:33" x14ac:dyDescent="0.2">
      <c r="A567">
        <v>735</v>
      </c>
      <c r="B567" t="s">
        <v>1029</v>
      </c>
      <c r="C567" t="s">
        <v>34</v>
      </c>
      <c r="D567" t="s">
        <v>35</v>
      </c>
      <c r="E567" t="s">
        <v>1027</v>
      </c>
      <c r="F567" t="s">
        <v>1028</v>
      </c>
      <c r="G567" t="s">
        <v>213</v>
      </c>
      <c r="H567" t="s">
        <v>83</v>
      </c>
      <c r="I567" t="s">
        <v>1029</v>
      </c>
      <c r="J567" t="s">
        <v>225</v>
      </c>
      <c r="K567">
        <v>1993</v>
      </c>
      <c r="L567">
        <v>1993</v>
      </c>
      <c r="M567">
        <v>6</v>
      </c>
      <c r="N567">
        <v>17.78</v>
      </c>
      <c r="O567">
        <v>145</v>
      </c>
      <c r="P567">
        <v>4.59</v>
      </c>
      <c r="Q567">
        <v>0.34899999999999998</v>
      </c>
      <c r="R567" t="s">
        <v>84</v>
      </c>
      <c r="S567" t="s">
        <v>3411</v>
      </c>
      <c r="T567" t="b">
        <v>1</v>
      </c>
      <c r="U567" t="s">
        <v>3721</v>
      </c>
      <c r="V567" t="s">
        <v>1032</v>
      </c>
      <c r="W567" t="s">
        <v>3722</v>
      </c>
      <c r="X567" t="s">
        <v>47</v>
      </c>
      <c r="AA567" t="s">
        <v>3413</v>
      </c>
      <c r="AB567" t="s">
        <v>49</v>
      </c>
      <c r="AC567" t="s">
        <v>3723</v>
      </c>
      <c r="AD567" t="b">
        <v>0</v>
      </c>
      <c r="AF567">
        <v>3</v>
      </c>
      <c r="AG567" t="s">
        <v>332</v>
      </c>
    </row>
    <row r="568" spans="1:33" x14ac:dyDescent="0.2">
      <c r="A568">
        <v>148</v>
      </c>
      <c r="B568" t="s">
        <v>3724</v>
      </c>
      <c r="C568" t="s">
        <v>34</v>
      </c>
      <c r="D568" t="s">
        <v>35</v>
      </c>
      <c r="E568" t="s">
        <v>719</v>
      </c>
      <c r="F568" t="s">
        <v>720</v>
      </c>
      <c r="G568" t="s">
        <v>134</v>
      </c>
      <c r="H568" t="s">
        <v>135</v>
      </c>
      <c r="I568" t="s">
        <v>191</v>
      </c>
      <c r="J568" t="s">
        <v>192</v>
      </c>
      <c r="K568">
        <v>1957</v>
      </c>
      <c r="L568">
        <v>2024</v>
      </c>
      <c r="M568">
        <v>5.2</v>
      </c>
      <c r="N568">
        <v>10.747999999999999</v>
      </c>
      <c r="O568">
        <v>194.9</v>
      </c>
      <c r="P568">
        <v>3.1</v>
      </c>
      <c r="Q568">
        <v>0.46600000000000003</v>
      </c>
      <c r="R568" t="s">
        <v>42</v>
      </c>
      <c r="S568" t="s">
        <v>3725</v>
      </c>
      <c r="T568" t="b">
        <v>1</v>
      </c>
      <c r="U568" t="s">
        <v>3726</v>
      </c>
      <c r="V568" t="s">
        <v>723</v>
      </c>
      <c r="W568" t="s">
        <v>3727</v>
      </c>
      <c r="X568" t="s">
        <v>47</v>
      </c>
      <c r="AA568" t="s">
        <v>3728</v>
      </c>
      <c r="AB568" t="s">
        <v>177</v>
      </c>
      <c r="AC568" t="s">
        <v>726</v>
      </c>
      <c r="AD568" t="b">
        <v>0</v>
      </c>
      <c r="AF568">
        <v>11</v>
      </c>
      <c r="AG568" t="s">
        <v>198</v>
      </c>
    </row>
    <row r="569" spans="1:33" x14ac:dyDescent="0.2">
      <c r="A569">
        <v>149</v>
      </c>
      <c r="B569" t="s">
        <v>3729</v>
      </c>
      <c r="C569" t="s">
        <v>574</v>
      </c>
      <c r="D569" t="s">
        <v>575</v>
      </c>
      <c r="E569" t="s">
        <v>36</v>
      </c>
      <c r="F569" t="s">
        <v>37</v>
      </c>
      <c r="G569" t="s">
        <v>213</v>
      </c>
      <c r="H569" t="s">
        <v>83</v>
      </c>
      <c r="I569" t="s">
        <v>635</v>
      </c>
      <c r="J569" t="s">
        <v>94</v>
      </c>
      <c r="K569">
        <v>1986</v>
      </c>
      <c r="L569">
        <v>1986</v>
      </c>
      <c r="M569">
        <v>-6.6</v>
      </c>
      <c r="N569">
        <v>-19.114000000000001</v>
      </c>
      <c r="O569">
        <v>0</v>
      </c>
      <c r="P569">
        <v>5.98</v>
      </c>
      <c r="Q569">
        <v>-0.30499999999999999</v>
      </c>
      <c r="R569" t="s">
        <v>84</v>
      </c>
      <c r="S569" t="s">
        <v>3730</v>
      </c>
      <c r="T569" t="b">
        <v>1</v>
      </c>
      <c r="U569" t="s">
        <v>1884</v>
      </c>
      <c r="V569" t="s">
        <v>3731</v>
      </c>
      <c r="W569" t="s">
        <v>3732</v>
      </c>
      <c r="X569" t="s">
        <v>47</v>
      </c>
      <c r="AA569" t="s">
        <v>3733</v>
      </c>
      <c r="AB569" t="s">
        <v>765</v>
      </c>
      <c r="AC569" t="s">
        <v>959</v>
      </c>
      <c r="AD569" t="b">
        <v>0</v>
      </c>
      <c r="AF569">
        <v>3</v>
      </c>
      <c r="AG569" t="s">
        <v>332</v>
      </c>
    </row>
    <row r="570" spans="1:33" x14ac:dyDescent="0.2">
      <c r="A570">
        <v>1537</v>
      </c>
      <c r="B570" t="s">
        <v>3734</v>
      </c>
      <c r="C570" t="s">
        <v>34</v>
      </c>
      <c r="D570" t="s">
        <v>35</v>
      </c>
      <c r="E570" t="s">
        <v>501</v>
      </c>
      <c r="F570" t="s">
        <v>502</v>
      </c>
      <c r="G570" t="s">
        <v>213</v>
      </c>
      <c r="H570" t="s">
        <v>83</v>
      </c>
      <c r="I570" t="s">
        <v>635</v>
      </c>
      <c r="J570" t="s">
        <v>94</v>
      </c>
      <c r="K570">
        <v>2009</v>
      </c>
      <c r="L570">
        <v>2009</v>
      </c>
      <c r="M570">
        <v>1.75</v>
      </c>
      <c r="N570">
        <v>4.1280000000000001</v>
      </c>
      <c r="O570">
        <v>210</v>
      </c>
      <c r="P570">
        <v>0.8</v>
      </c>
      <c r="Q570">
        <v>0.60799999999999998</v>
      </c>
      <c r="R570" t="s">
        <v>84</v>
      </c>
      <c r="S570" t="s">
        <v>3735</v>
      </c>
      <c r="T570" t="b">
        <v>1</v>
      </c>
      <c r="U570" t="s">
        <v>3736</v>
      </c>
      <c r="V570" t="s">
        <v>507</v>
      </c>
      <c r="W570" t="s">
        <v>3737</v>
      </c>
      <c r="X570" t="s">
        <v>47</v>
      </c>
      <c r="AA570" t="s">
        <v>3733</v>
      </c>
      <c r="AC570" t="s">
        <v>63</v>
      </c>
      <c r="AD570" t="b">
        <v>0</v>
      </c>
      <c r="AF570">
        <v>3</v>
      </c>
      <c r="AG570" t="s">
        <v>332</v>
      </c>
    </row>
    <row r="571" spans="1:33" x14ac:dyDescent="0.2">
      <c r="A571">
        <v>1538</v>
      </c>
      <c r="B571" t="s">
        <v>3738</v>
      </c>
      <c r="C571" t="s">
        <v>34</v>
      </c>
      <c r="D571" t="s">
        <v>35</v>
      </c>
      <c r="E571" t="s">
        <v>501</v>
      </c>
      <c r="F571" t="s">
        <v>502</v>
      </c>
      <c r="G571" t="s">
        <v>213</v>
      </c>
      <c r="H571" t="s">
        <v>83</v>
      </c>
      <c r="I571" t="s">
        <v>635</v>
      </c>
      <c r="J571" t="s">
        <v>94</v>
      </c>
      <c r="K571">
        <v>2009</v>
      </c>
      <c r="L571">
        <v>2009</v>
      </c>
      <c r="M571">
        <v>0.48</v>
      </c>
      <c r="N571">
        <v>0.81599999999999995</v>
      </c>
      <c r="R571" t="s">
        <v>84</v>
      </c>
      <c r="S571" t="s">
        <v>3739</v>
      </c>
      <c r="T571" t="b">
        <v>1</v>
      </c>
      <c r="U571" t="s">
        <v>3736</v>
      </c>
      <c r="V571" t="s">
        <v>507</v>
      </c>
      <c r="W571" t="s">
        <v>3740</v>
      </c>
      <c r="X571" t="s">
        <v>47</v>
      </c>
      <c r="AA571" t="s">
        <v>3733</v>
      </c>
      <c r="AC571" t="s">
        <v>63</v>
      </c>
      <c r="AD571" t="b">
        <v>0</v>
      </c>
      <c r="AF571">
        <v>3</v>
      </c>
      <c r="AG571" t="s">
        <v>332</v>
      </c>
    </row>
    <row r="572" spans="1:33" x14ac:dyDescent="0.2">
      <c r="A572">
        <v>150</v>
      </c>
      <c r="B572" t="s">
        <v>3741</v>
      </c>
      <c r="C572" t="s">
        <v>34</v>
      </c>
      <c r="D572" t="s">
        <v>35</v>
      </c>
      <c r="E572" t="s">
        <v>3742</v>
      </c>
      <c r="F572" t="s">
        <v>3743</v>
      </c>
      <c r="G572" t="s">
        <v>53</v>
      </c>
      <c r="H572" t="s">
        <v>54</v>
      </c>
      <c r="I572" t="s">
        <v>55</v>
      </c>
      <c r="J572" t="s">
        <v>56</v>
      </c>
      <c r="K572">
        <v>1953</v>
      </c>
      <c r="L572">
        <v>1953</v>
      </c>
      <c r="M572">
        <v>30</v>
      </c>
      <c r="N572">
        <v>125.039</v>
      </c>
      <c r="O572">
        <v>302.32</v>
      </c>
      <c r="P572">
        <v>12.5</v>
      </c>
      <c r="Q572">
        <v>0.66700000000000004</v>
      </c>
      <c r="R572" t="s">
        <v>57</v>
      </c>
      <c r="S572" t="s">
        <v>3744</v>
      </c>
      <c r="T572" t="b">
        <v>1</v>
      </c>
      <c r="U572" t="s">
        <v>3745</v>
      </c>
      <c r="V572" t="s">
        <v>3746</v>
      </c>
      <c r="W572" t="s">
        <v>3747</v>
      </c>
      <c r="X572" t="s">
        <v>47</v>
      </c>
      <c r="AA572" t="s">
        <v>1477</v>
      </c>
      <c r="AB572" t="s">
        <v>401</v>
      </c>
      <c r="AC572" t="s">
        <v>1478</v>
      </c>
      <c r="AD572" t="b">
        <v>0</v>
      </c>
      <c r="AF572">
        <v>6</v>
      </c>
      <c r="AG572" t="s">
        <v>64</v>
      </c>
    </row>
    <row r="573" spans="1:33" x14ac:dyDescent="0.2">
      <c r="A573">
        <v>1302</v>
      </c>
      <c r="B573" t="s">
        <v>3748</v>
      </c>
      <c r="C573" t="s">
        <v>34</v>
      </c>
      <c r="D573" t="s">
        <v>35</v>
      </c>
      <c r="E573" t="s">
        <v>3749</v>
      </c>
      <c r="F573" t="s">
        <v>3750</v>
      </c>
      <c r="G573" t="s">
        <v>68</v>
      </c>
      <c r="H573" t="s">
        <v>69</v>
      </c>
      <c r="I573" t="s">
        <v>1741</v>
      </c>
      <c r="J573" t="s">
        <v>1742</v>
      </c>
      <c r="K573">
        <v>2007</v>
      </c>
      <c r="L573">
        <v>2007</v>
      </c>
      <c r="M573">
        <v>0.4</v>
      </c>
      <c r="N573">
        <v>2.6680000000000001</v>
      </c>
      <c r="O573">
        <v>13.9</v>
      </c>
      <c r="P573">
        <v>3.2</v>
      </c>
      <c r="Q573">
        <v>3.5000000000000003E-2</v>
      </c>
      <c r="R573" t="s">
        <v>72</v>
      </c>
      <c r="S573" t="s">
        <v>3751</v>
      </c>
      <c r="T573" t="b">
        <v>1</v>
      </c>
      <c r="U573" t="s">
        <v>3752</v>
      </c>
      <c r="V573" t="s">
        <v>3753</v>
      </c>
      <c r="W573" t="s">
        <v>3754</v>
      </c>
      <c r="X573" t="s">
        <v>47</v>
      </c>
      <c r="AA573" t="s">
        <v>3755</v>
      </c>
      <c r="AC573" t="s">
        <v>63</v>
      </c>
      <c r="AD573" t="b">
        <v>0</v>
      </c>
      <c r="AF573">
        <v>8</v>
      </c>
      <c r="AG573" t="s">
        <v>78</v>
      </c>
    </row>
    <row r="574" spans="1:33" x14ac:dyDescent="0.2">
      <c r="A574">
        <v>1163</v>
      </c>
      <c r="B574" t="s">
        <v>3756</v>
      </c>
      <c r="C574" t="s">
        <v>34</v>
      </c>
      <c r="D574" t="s">
        <v>35</v>
      </c>
      <c r="E574" t="s">
        <v>3757</v>
      </c>
      <c r="F574" t="s">
        <v>3758</v>
      </c>
      <c r="G574" t="s">
        <v>93</v>
      </c>
      <c r="H574" t="s">
        <v>94</v>
      </c>
      <c r="I574" t="s">
        <v>752</v>
      </c>
      <c r="J574" t="s">
        <v>135</v>
      </c>
      <c r="K574">
        <v>2000</v>
      </c>
      <c r="L574">
        <v>2000</v>
      </c>
      <c r="M574">
        <v>0.06</v>
      </c>
      <c r="N574">
        <v>0.222</v>
      </c>
      <c r="R574" t="s">
        <v>97</v>
      </c>
      <c r="S574" t="s">
        <v>3759</v>
      </c>
      <c r="T574" t="b">
        <v>1</v>
      </c>
      <c r="U574" t="s">
        <v>754</v>
      </c>
      <c r="V574" t="s">
        <v>3760</v>
      </c>
      <c r="W574" t="s">
        <v>3761</v>
      </c>
      <c r="X574" t="s">
        <v>47</v>
      </c>
      <c r="AA574" t="s">
        <v>340</v>
      </c>
      <c r="AC574" t="s">
        <v>341</v>
      </c>
      <c r="AD574" t="b">
        <v>0</v>
      </c>
      <c r="AF574">
        <v>1</v>
      </c>
      <c r="AG574" t="s">
        <v>104</v>
      </c>
    </row>
    <row r="575" spans="1:33" x14ac:dyDescent="0.2">
      <c r="A575">
        <v>151</v>
      </c>
      <c r="B575" t="s">
        <v>3762</v>
      </c>
      <c r="C575" t="s">
        <v>34</v>
      </c>
      <c r="D575" t="s">
        <v>35</v>
      </c>
      <c r="E575" t="s">
        <v>404</v>
      </c>
      <c r="F575" t="s">
        <v>405</v>
      </c>
      <c r="G575" t="s">
        <v>224</v>
      </c>
      <c r="H575" t="s">
        <v>225</v>
      </c>
      <c r="I575" t="s">
        <v>226</v>
      </c>
      <c r="J575" t="s">
        <v>227</v>
      </c>
      <c r="K575">
        <v>1978</v>
      </c>
      <c r="L575">
        <v>1978</v>
      </c>
      <c r="M575">
        <v>27</v>
      </c>
      <c r="N575">
        <v>155.08600000000001</v>
      </c>
      <c r="O575">
        <v>26.79</v>
      </c>
      <c r="P575">
        <v>120.97</v>
      </c>
      <c r="Q575">
        <v>6.0999999999999999E-2</v>
      </c>
      <c r="R575" t="s">
        <v>97</v>
      </c>
      <c r="S575" t="s">
        <v>3763</v>
      </c>
      <c r="T575" t="b">
        <v>1</v>
      </c>
      <c r="U575" t="s">
        <v>1529</v>
      </c>
      <c r="V575" t="s">
        <v>408</v>
      </c>
      <c r="W575" t="s">
        <v>3764</v>
      </c>
      <c r="X575" t="s">
        <v>47</v>
      </c>
      <c r="AA575" t="s">
        <v>102</v>
      </c>
      <c r="AB575" t="s">
        <v>262</v>
      </c>
      <c r="AC575" t="s">
        <v>103</v>
      </c>
      <c r="AD575" t="b">
        <v>0</v>
      </c>
      <c r="AF575">
        <v>1</v>
      </c>
      <c r="AG575" t="s">
        <v>104</v>
      </c>
    </row>
    <row r="576" spans="1:33" x14ac:dyDescent="0.2">
      <c r="A576">
        <v>152</v>
      </c>
      <c r="B576" t="s">
        <v>3765</v>
      </c>
      <c r="C576" t="s">
        <v>34</v>
      </c>
      <c r="D576" t="s">
        <v>35</v>
      </c>
      <c r="E576" t="s">
        <v>36</v>
      </c>
      <c r="F576" t="s">
        <v>37</v>
      </c>
      <c r="G576" t="s">
        <v>503</v>
      </c>
      <c r="H576" t="s">
        <v>462</v>
      </c>
      <c r="I576" t="s">
        <v>1846</v>
      </c>
      <c r="J576" t="s">
        <v>135</v>
      </c>
      <c r="K576">
        <v>1987</v>
      </c>
      <c r="L576">
        <v>1987</v>
      </c>
      <c r="M576">
        <v>17</v>
      </c>
      <c r="N576">
        <v>82.082999999999998</v>
      </c>
      <c r="O576">
        <v>12</v>
      </c>
      <c r="P576">
        <v>168.64</v>
      </c>
      <c r="Q576">
        <v>2.8000000000000001E-2</v>
      </c>
      <c r="R576" t="s">
        <v>84</v>
      </c>
      <c r="S576" t="s">
        <v>3766</v>
      </c>
      <c r="T576" t="b">
        <v>1</v>
      </c>
      <c r="U576" t="s">
        <v>3767</v>
      </c>
      <c r="V576" t="s">
        <v>45</v>
      </c>
      <c r="W576" t="s">
        <v>3768</v>
      </c>
      <c r="X576" t="s">
        <v>47</v>
      </c>
      <c r="AA576" t="s">
        <v>583</v>
      </c>
      <c r="AB576" t="s">
        <v>805</v>
      </c>
      <c r="AC576" t="s">
        <v>585</v>
      </c>
      <c r="AD576" t="b">
        <v>0</v>
      </c>
      <c r="AF576">
        <v>3</v>
      </c>
      <c r="AG576" t="s">
        <v>332</v>
      </c>
    </row>
    <row r="577" spans="1:33" x14ac:dyDescent="0.2">
      <c r="A577">
        <v>153</v>
      </c>
      <c r="B577" t="s">
        <v>3769</v>
      </c>
      <c r="C577" t="s">
        <v>34</v>
      </c>
      <c r="D577" t="s">
        <v>35</v>
      </c>
      <c r="E577" t="s">
        <v>91</v>
      </c>
      <c r="F577" t="s">
        <v>92</v>
      </c>
      <c r="G577" t="s">
        <v>503</v>
      </c>
      <c r="H577" t="s">
        <v>462</v>
      </c>
      <c r="I577" t="s">
        <v>3770</v>
      </c>
      <c r="J577" t="s">
        <v>539</v>
      </c>
      <c r="K577">
        <v>1913</v>
      </c>
      <c r="L577">
        <v>1913</v>
      </c>
      <c r="M577">
        <v>9.6</v>
      </c>
      <c r="N577">
        <v>37.026000000000003</v>
      </c>
      <c r="O577">
        <v>135.5</v>
      </c>
      <c r="P577">
        <v>8.5</v>
      </c>
      <c r="Q577">
        <v>0.313</v>
      </c>
      <c r="R577" t="s">
        <v>84</v>
      </c>
      <c r="S577" t="s">
        <v>3771</v>
      </c>
      <c r="T577" t="b">
        <v>1</v>
      </c>
      <c r="U577" t="s">
        <v>3772</v>
      </c>
      <c r="V577" t="s">
        <v>100</v>
      </c>
      <c r="W577" t="s">
        <v>3773</v>
      </c>
      <c r="X577" t="s">
        <v>47</v>
      </c>
      <c r="AA577" t="s">
        <v>2555</v>
      </c>
      <c r="AB577" t="s">
        <v>308</v>
      </c>
      <c r="AC577" t="s">
        <v>2556</v>
      </c>
      <c r="AD577" t="b">
        <v>0</v>
      </c>
      <c r="AF577">
        <v>3</v>
      </c>
      <c r="AG577" t="s">
        <v>332</v>
      </c>
    </row>
    <row r="578" spans="1:33" x14ac:dyDescent="0.2">
      <c r="A578">
        <v>154</v>
      </c>
      <c r="B578" t="s">
        <v>3774</v>
      </c>
      <c r="C578" t="s">
        <v>34</v>
      </c>
      <c r="D578" t="s">
        <v>35</v>
      </c>
      <c r="E578" t="s">
        <v>277</v>
      </c>
      <c r="F578" t="s">
        <v>278</v>
      </c>
      <c r="G578" t="s">
        <v>224</v>
      </c>
      <c r="H578" t="s">
        <v>225</v>
      </c>
      <c r="I578" t="s">
        <v>3775</v>
      </c>
      <c r="J578" t="s">
        <v>515</v>
      </c>
      <c r="K578">
        <v>1956</v>
      </c>
      <c r="L578">
        <v>1956</v>
      </c>
      <c r="M578">
        <v>106</v>
      </c>
      <c r="N578">
        <v>432.53500000000003</v>
      </c>
      <c r="O578">
        <v>370.6</v>
      </c>
      <c r="P578">
        <v>32.4</v>
      </c>
      <c r="Q578">
        <v>0.90900000000000003</v>
      </c>
      <c r="R578" t="s">
        <v>57</v>
      </c>
      <c r="S578" t="s">
        <v>3776</v>
      </c>
      <c r="T578" t="b">
        <v>1</v>
      </c>
      <c r="U578" t="s">
        <v>3777</v>
      </c>
      <c r="V578" t="s">
        <v>1129</v>
      </c>
      <c r="W578" t="s">
        <v>3778</v>
      </c>
      <c r="X578" t="s">
        <v>47</v>
      </c>
      <c r="AA578" t="s">
        <v>102</v>
      </c>
      <c r="AB578" t="s">
        <v>1359</v>
      </c>
      <c r="AC578" t="s">
        <v>103</v>
      </c>
      <c r="AD578" t="b">
        <v>0</v>
      </c>
      <c r="AF578">
        <v>2</v>
      </c>
      <c r="AG578" t="s">
        <v>287</v>
      </c>
    </row>
    <row r="579" spans="1:33" x14ac:dyDescent="0.2">
      <c r="A579">
        <v>155</v>
      </c>
      <c r="B579" t="s">
        <v>3779</v>
      </c>
      <c r="C579" t="s">
        <v>34</v>
      </c>
      <c r="D579" t="s">
        <v>35</v>
      </c>
      <c r="E579" t="s">
        <v>277</v>
      </c>
      <c r="F579" t="s">
        <v>278</v>
      </c>
      <c r="G579" t="s">
        <v>224</v>
      </c>
      <c r="H579" t="s">
        <v>225</v>
      </c>
      <c r="I579" t="s">
        <v>3775</v>
      </c>
      <c r="J579" t="s">
        <v>515</v>
      </c>
      <c r="K579">
        <v>1949</v>
      </c>
      <c r="L579">
        <v>1949</v>
      </c>
      <c r="M579">
        <v>114</v>
      </c>
      <c r="N579">
        <v>358.86700000000002</v>
      </c>
      <c r="O579">
        <v>404.3</v>
      </c>
      <c r="P579">
        <v>31.2</v>
      </c>
      <c r="Q579">
        <v>1.0149999999999999</v>
      </c>
      <c r="R579" t="s">
        <v>57</v>
      </c>
      <c r="S579" t="s">
        <v>3780</v>
      </c>
      <c r="T579" t="b">
        <v>1</v>
      </c>
      <c r="U579" t="s">
        <v>3781</v>
      </c>
      <c r="V579" t="s">
        <v>1129</v>
      </c>
      <c r="W579" t="s">
        <v>3782</v>
      </c>
      <c r="X579" t="s">
        <v>47</v>
      </c>
      <c r="AA579" t="s">
        <v>102</v>
      </c>
      <c r="AB579" t="s">
        <v>3783</v>
      </c>
      <c r="AC579" t="s">
        <v>103</v>
      </c>
      <c r="AD579" t="b">
        <v>0</v>
      </c>
      <c r="AF579">
        <v>2</v>
      </c>
      <c r="AG579" t="s">
        <v>287</v>
      </c>
    </row>
    <row r="580" spans="1:33" x14ac:dyDescent="0.2">
      <c r="A580">
        <v>156</v>
      </c>
      <c r="B580" t="s">
        <v>3784</v>
      </c>
      <c r="C580" t="s">
        <v>34</v>
      </c>
      <c r="D580" t="s">
        <v>35</v>
      </c>
      <c r="E580" t="s">
        <v>277</v>
      </c>
      <c r="F580" t="s">
        <v>278</v>
      </c>
      <c r="G580" t="s">
        <v>224</v>
      </c>
      <c r="H580" t="s">
        <v>225</v>
      </c>
      <c r="I580" t="s">
        <v>3775</v>
      </c>
      <c r="J580" t="s">
        <v>515</v>
      </c>
      <c r="K580">
        <v>1957</v>
      </c>
      <c r="L580">
        <v>1957</v>
      </c>
      <c r="M580">
        <v>26</v>
      </c>
      <c r="N580">
        <v>114.203</v>
      </c>
      <c r="O580">
        <v>47.7</v>
      </c>
      <c r="P580">
        <v>71</v>
      </c>
      <c r="Q580">
        <v>0.10199999999999999</v>
      </c>
      <c r="R580" t="s">
        <v>57</v>
      </c>
      <c r="S580" t="s">
        <v>3785</v>
      </c>
      <c r="T580" t="b">
        <v>1</v>
      </c>
      <c r="U580" t="s">
        <v>1583</v>
      </c>
      <c r="V580" t="s">
        <v>1129</v>
      </c>
      <c r="W580" t="s">
        <v>3786</v>
      </c>
      <c r="X580" t="s">
        <v>47</v>
      </c>
      <c r="AA580" t="s">
        <v>102</v>
      </c>
      <c r="AB580" t="s">
        <v>1062</v>
      </c>
      <c r="AC580" t="s">
        <v>103</v>
      </c>
      <c r="AD580" t="b">
        <v>0</v>
      </c>
      <c r="AF580">
        <v>2</v>
      </c>
      <c r="AG580" t="s">
        <v>287</v>
      </c>
    </row>
    <row r="581" spans="1:33" x14ac:dyDescent="0.2">
      <c r="A581">
        <v>157</v>
      </c>
      <c r="B581" t="s">
        <v>3787</v>
      </c>
      <c r="C581" t="s">
        <v>34</v>
      </c>
      <c r="D581" t="s">
        <v>35</v>
      </c>
      <c r="E581" t="s">
        <v>277</v>
      </c>
      <c r="F581" t="s">
        <v>278</v>
      </c>
      <c r="G581" t="s">
        <v>224</v>
      </c>
      <c r="H581" t="s">
        <v>225</v>
      </c>
      <c r="I581" t="s">
        <v>3775</v>
      </c>
      <c r="J581" t="s">
        <v>515</v>
      </c>
      <c r="K581">
        <v>1958</v>
      </c>
      <c r="L581">
        <v>1958</v>
      </c>
      <c r="M581">
        <v>60</v>
      </c>
      <c r="N581">
        <v>248.21299999999999</v>
      </c>
      <c r="O581">
        <v>98</v>
      </c>
      <c r="P581">
        <v>73.41</v>
      </c>
      <c r="Q581">
        <v>0.22600000000000001</v>
      </c>
      <c r="R581" t="s">
        <v>57</v>
      </c>
      <c r="S581" t="s">
        <v>3788</v>
      </c>
      <c r="T581" t="b">
        <v>1</v>
      </c>
      <c r="U581" t="s">
        <v>566</v>
      </c>
      <c r="V581" t="s">
        <v>1129</v>
      </c>
      <c r="W581" t="s">
        <v>3786</v>
      </c>
      <c r="X581" t="s">
        <v>47</v>
      </c>
      <c r="AA581" t="s">
        <v>102</v>
      </c>
      <c r="AB581" t="s">
        <v>3789</v>
      </c>
      <c r="AC581" t="s">
        <v>103</v>
      </c>
      <c r="AD581" t="b">
        <v>0</v>
      </c>
      <c r="AF581">
        <v>2</v>
      </c>
      <c r="AG581" t="s">
        <v>287</v>
      </c>
    </row>
    <row r="582" spans="1:33" x14ac:dyDescent="0.2">
      <c r="A582">
        <v>1673</v>
      </c>
      <c r="B582" t="s">
        <v>3790</v>
      </c>
      <c r="C582" t="s">
        <v>34</v>
      </c>
      <c r="D582" t="s">
        <v>35</v>
      </c>
      <c r="E582" t="s">
        <v>180</v>
      </c>
      <c r="F582" t="s">
        <v>181</v>
      </c>
      <c r="G582" t="s">
        <v>503</v>
      </c>
      <c r="H582" t="s">
        <v>462</v>
      </c>
      <c r="I582" t="s">
        <v>3390</v>
      </c>
      <c r="J582" t="s">
        <v>485</v>
      </c>
      <c r="K582">
        <v>2012</v>
      </c>
      <c r="L582">
        <v>2012</v>
      </c>
      <c r="M582">
        <v>1.24</v>
      </c>
      <c r="N582">
        <v>2.673</v>
      </c>
      <c r="O582">
        <v>216.6</v>
      </c>
      <c r="P582">
        <v>0.7</v>
      </c>
      <c r="Q582">
        <v>0.49199999999999999</v>
      </c>
      <c r="R582" t="s">
        <v>84</v>
      </c>
      <c r="S582" t="s">
        <v>3791</v>
      </c>
      <c r="T582" t="b">
        <v>1</v>
      </c>
      <c r="U582" t="s">
        <v>3792</v>
      </c>
      <c r="V582" t="s">
        <v>429</v>
      </c>
      <c r="W582" t="s">
        <v>3793</v>
      </c>
      <c r="X582" t="s">
        <v>47</v>
      </c>
      <c r="AA582" t="s">
        <v>583</v>
      </c>
      <c r="AB582" t="s">
        <v>3794</v>
      </c>
      <c r="AC582" t="s">
        <v>585</v>
      </c>
      <c r="AD582" t="b">
        <v>0</v>
      </c>
      <c r="AF582">
        <v>3</v>
      </c>
      <c r="AG582" t="s">
        <v>332</v>
      </c>
    </row>
    <row r="583" spans="1:33" x14ac:dyDescent="0.2">
      <c r="A583">
        <v>1740</v>
      </c>
      <c r="B583" t="s">
        <v>3795</v>
      </c>
      <c r="C583" t="s">
        <v>34</v>
      </c>
      <c r="D583" t="s">
        <v>35</v>
      </c>
      <c r="E583" t="s">
        <v>3796</v>
      </c>
      <c r="F583" t="s">
        <v>3797</v>
      </c>
      <c r="G583" t="s">
        <v>68</v>
      </c>
      <c r="H583" t="s">
        <v>69</v>
      </c>
      <c r="I583" t="s">
        <v>1974</v>
      </c>
      <c r="J583" t="s">
        <v>1975</v>
      </c>
      <c r="K583">
        <v>2013</v>
      </c>
      <c r="L583">
        <v>2013</v>
      </c>
      <c r="M583">
        <v>0.23599999999999999</v>
      </c>
      <c r="N583">
        <v>0.46899999999999997</v>
      </c>
      <c r="O583">
        <v>67</v>
      </c>
      <c r="P583">
        <v>0.45</v>
      </c>
      <c r="Q583">
        <v>0.14599999999999999</v>
      </c>
      <c r="R583" t="s">
        <v>72</v>
      </c>
      <c r="S583" t="s">
        <v>3798</v>
      </c>
      <c r="T583" t="b">
        <v>1</v>
      </c>
      <c r="U583" t="s">
        <v>3799</v>
      </c>
      <c r="V583" t="s">
        <v>3800</v>
      </c>
      <c r="W583" t="s">
        <v>3801</v>
      </c>
      <c r="X583" t="s">
        <v>47</v>
      </c>
      <c r="AA583" t="s">
        <v>3802</v>
      </c>
      <c r="AC583" t="s">
        <v>3803</v>
      </c>
      <c r="AD583" t="b">
        <v>0</v>
      </c>
      <c r="AF583">
        <v>8</v>
      </c>
      <c r="AG583" t="s">
        <v>78</v>
      </c>
    </row>
    <row r="584" spans="1:33" x14ac:dyDescent="0.2">
      <c r="A584">
        <v>1979</v>
      </c>
      <c r="B584" t="s">
        <v>3804</v>
      </c>
      <c r="C584" t="s">
        <v>34</v>
      </c>
      <c r="D584" t="s">
        <v>35</v>
      </c>
      <c r="E584" t="s">
        <v>3805</v>
      </c>
      <c r="F584" t="s">
        <v>3806</v>
      </c>
      <c r="G584" t="s">
        <v>53</v>
      </c>
      <c r="H584" t="s">
        <v>54</v>
      </c>
      <c r="I584" t="s">
        <v>532</v>
      </c>
      <c r="J584" t="s">
        <v>533</v>
      </c>
      <c r="K584">
        <v>2019</v>
      </c>
      <c r="L584">
        <v>2019</v>
      </c>
      <c r="M584">
        <v>8.1999999999999993</v>
      </c>
      <c r="N584">
        <v>22.149000000000001</v>
      </c>
      <c r="O584">
        <v>234.35</v>
      </c>
      <c r="P584">
        <v>4.0599999999999996</v>
      </c>
      <c r="Q584">
        <v>0.56100000000000005</v>
      </c>
      <c r="R584" t="s">
        <v>57</v>
      </c>
      <c r="S584" t="s">
        <v>3807</v>
      </c>
      <c r="T584" t="b">
        <v>1</v>
      </c>
      <c r="U584" t="s">
        <v>3808</v>
      </c>
      <c r="V584" t="s">
        <v>3809</v>
      </c>
      <c r="W584" t="s">
        <v>3810</v>
      </c>
      <c r="X584" t="s">
        <v>47</v>
      </c>
      <c r="AA584" t="s">
        <v>1943</v>
      </c>
      <c r="AB584" t="s">
        <v>401</v>
      </c>
      <c r="AC584" t="s">
        <v>1944</v>
      </c>
      <c r="AD584" t="b">
        <v>0</v>
      </c>
      <c r="AF584">
        <v>7</v>
      </c>
      <c r="AG584" t="s">
        <v>469</v>
      </c>
    </row>
    <row r="585" spans="1:33" x14ac:dyDescent="0.2">
      <c r="A585">
        <v>373</v>
      </c>
      <c r="B585" t="s">
        <v>3811</v>
      </c>
      <c r="C585" t="s">
        <v>34</v>
      </c>
      <c r="D585" t="s">
        <v>35</v>
      </c>
      <c r="E585" t="s">
        <v>1065</v>
      </c>
      <c r="F585" t="s">
        <v>1066</v>
      </c>
      <c r="G585" t="s">
        <v>312</v>
      </c>
      <c r="H585" t="s">
        <v>313</v>
      </c>
      <c r="I585" t="s">
        <v>1067</v>
      </c>
      <c r="J585" t="s">
        <v>676</v>
      </c>
      <c r="K585">
        <v>1987</v>
      </c>
      <c r="L585">
        <v>1987</v>
      </c>
      <c r="M585">
        <v>160</v>
      </c>
      <c r="N585">
        <v>341.786</v>
      </c>
      <c r="O585">
        <v>610</v>
      </c>
      <c r="P585">
        <v>29.48</v>
      </c>
      <c r="Q585">
        <v>1.506</v>
      </c>
      <c r="R585" t="s">
        <v>84</v>
      </c>
      <c r="S585" t="s">
        <v>3812</v>
      </c>
      <c r="T585" t="b">
        <v>1</v>
      </c>
      <c r="U585" t="s">
        <v>3813</v>
      </c>
      <c r="V585" t="s">
        <v>1175</v>
      </c>
      <c r="W585" t="s">
        <v>3814</v>
      </c>
      <c r="X585" t="s">
        <v>47</v>
      </c>
      <c r="AA585" t="s">
        <v>319</v>
      </c>
      <c r="AB585" t="s">
        <v>964</v>
      </c>
      <c r="AC585" t="s">
        <v>320</v>
      </c>
      <c r="AD585" t="b">
        <v>0</v>
      </c>
      <c r="AF585">
        <v>3</v>
      </c>
      <c r="AG585" t="s">
        <v>332</v>
      </c>
    </row>
    <row r="586" spans="1:33" x14ac:dyDescent="0.2">
      <c r="A586">
        <v>158</v>
      </c>
      <c r="B586" t="s">
        <v>3815</v>
      </c>
      <c r="C586" t="s">
        <v>34</v>
      </c>
      <c r="D586" t="s">
        <v>35</v>
      </c>
      <c r="E586" t="s">
        <v>1065</v>
      </c>
      <c r="F586" t="s">
        <v>1066</v>
      </c>
      <c r="G586" t="s">
        <v>312</v>
      </c>
      <c r="H586" t="s">
        <v>313</v>
      </c>
      <c r="I586" t="s">
        <v>1067</v>
      </c>
      <c r="J586" t="s">
        <v>676</v>
      </c>
      <c r="K586">
        <v>1981</v>
      </c>
      <c r="L586">
        <v>1981</v>
      </c>
      <c r="M586">
        <v>230</v>
      </c>
      <c r="N586">
        <v>682.18100000000004</v>
      </c>
      <c r="O586">
        <v>250</v>
      </c>
      <c r="P586">
        <v>109.02</v>
      </c>
      <c r="Q586">
        <v>0.58599999999999997</v>
      </c>
      <c r="R586" t="s">
        <v>84</v>
      </c>
      <c r="S586" t="s">
        <v>3812</v>
      </c>
      <c r="T586" t="b">
        <v>1</v>
      </c>
      <c r="U586" t="s">
        <v>3816</v>
      </c>
      <c r="V586" t="s">
        <v>1175</v>
      </c>
      <c r="W586" t="s">
        <v>3817</v>
      </c>
      <c r="X586" t="s">
        <v>47</v>
      </c>
      <c r="AA586" t="s">
        <v>319</v>
      </c>
      <c r="AB586" t="s">
        <v>280</v>
      </c>
      <c r="AC586" t="s">
        <v>320</v>
      </c>
      <c r="AD586" t="b">
        <v>0</v>
      </c>
      <c r="AF586">
        <v>3</v>
      </c>
      <c r="AG586" t="s">
        <v>332</v>
      </c>
    </row>
    <row r="587" spans="1:33" x14ac:dyDescent="0.2">
      <c r="A587">
        <v>1266</v>
      </c>
      <c r="B587" t="s">
        <v>3818</v>
      </c>
      <c r="C587" t="s">
        <v>34</v>
      </c>
      <c r="D587" t="s">
        <v>35</v>
      </c>
      <c r="E587" t="s">
        <v>3819</v>
      </c>
      <c r="F587" t="s">
        <v>3820</v>
      </c>
      <c r="G587" t="s">
        <v>213</v>
      </c>
      <c r="H587" t="s">
        <v>83</v>
      </c>
      <c r="I587" t="s">
        <v>1152</v>
      </c>
      <c r="J587" t="s">
        <v>676</v>
      </c>
      <c r="K587">
        <v>2005</v>
      </c>
      <c r="L587">
        <v>2005</v>
      </c>
      <c r="M587">
        <v>0.08</v>
      </c>
      <c r="N587">
        <v>0.32</v>
      </c>
      <c r="O587">
        <v>220</v>
      </c>
      <c r="R587" t="s">
        <v>84</v>
      </c>
      <c r="S587" t="s">
        <v>3821</v>
      </c>
      <c r="T587" t="b">
        <v>1</v>
      </c>
      <c r="U587" t="s">
        <v>237</v>
      </c>
      <c r="V587" t="s">
        <v>3822</v>
      </c>
      <c r="W587" t="s">
        <v>3823</v>
      </c>
      <c r="X587" t="s">
        <v>47</v>
      </c>
      <c r="AA587" t="s">
        <v>1156</v>
      </c>
      <c r="AC587" t="s">
        <v>1157</v>
      </c>
      <c r="AD587" t="b">
        <v>0</v>
      </c>
      <c r="AF587">
        <v>4</v>
      </c>
      <c r="AG587" t="s">
        <v>321</v>
      </c>
    </row>
    <row r="588" spans="1:33" x14ac:dyDescent="0.2">
      <c r="A588">
        <v>1114</v>
      </c>
      <c r="B588" t="s">
        <v>3824</v>
      </c>
      <c r="C588" t="s">
        <v>34</v>
      </c>
      <c r="D588" t="s">
        <v>35</v>
      </c>
      <c r="E588" t="s">
        <v>3825</v>
      </c>
      <c r="F588" t="s">
        <v>3826</v>
      </c>
      <c r="G588" t="s">
        <v>242</v>
      </c>
      <c r="H588" t="s">
        <v>243</v>
      </c>
      <c r="I588" t="s">
        <v>244</v>
      </c>
      <c r="J588" t="s">
        <v>245</v>
      </c>
      <c r="K588">
        <v>1997</v>
      </c>
      <c r="L588">
        <v>1997</v>
      </c>
      <c r="M588">
        <v>4.4999999999999997E-3</v>
      </c>
      <c r="N588">
        <v>1.7999999999999999E-2</v>
      </c>
      <c r="R588" t="s">
        <v>72</v>
      </c>
      <c r="S588" t="s">
        <v>3827</v>
      </c>
      <c r="T588" t="b">
        <v>1</v>
      </c>
      <c r="U588" t="s">
        <v>111</v>
      </c>
      <c r="V588" t="s">
        <v>3828</v>
      </c>
      <c r="W588" t="s">
        <v>3829</v>
      </c>
      <c r="X588" t="s">
        <v>47</v>
      </c>
      <c r="AA588" t="s">
        <v>250</v>
      </c>
      <c r="AC588" t="s">
        <v>2585</v>
      </c>
      <c r="AD588" t="b">
        <v>0</v>
      </c>
      <c r="AF588">
        <v>9</v>
      </c>
      <c r="AG588" t="s">
        <v>251</v>
      </c>
    </row>
    <row r="589" spans="1:33" x14ac:dyDescent="0.2">
      <c r="A589">
        <v>1528</v>
      </c>
      <c r="B589" t="s">
        <v>3830</v>
      </c>
      <c r="C589" t="s">
        <v>34</v>
      </c>
      <c r="D589" t="s">
        <v>35</v>
      </c>
      <c r="E589" t="s">
        <v>3831</v>
      </c>
      <c r="F589" t="s">
        <v>3832</v>
      </c>
      <c r="G589" t="s">
        <v>68</v>
      </c>
      <c r="H589" t="s">
        <v>69</v>
      </c>
      <c r="I589" t="s">
        <v>445</v>
      </c>
      <c r="J589" t="s">
        <v>203</v>
      </c>
      <c r="K589">
        <v>2009</v>
      </c>
      <c r="L589">
        <v>2009</v>
      </c>
      <c r="M589">
        <v>0.65</v>
      </c>
      <c r="N589">
        <v>1.702</v>
      </c>
      <c r="R589" t="s">
        <v>72</v>
      </c>
      <c r="S589" t="s">
        <v>2546</v>
      </c>
      <c r="T589" t="b">
        <v>1</v>
      </c>
      <c r="U589" t="s">
        <v>3833</v>
      </c>
      <c r="V589" t="s">
        <v>3834</v>
      </c>
      <c r="W589" t="s">
        <v>3835</v>
      </c>
      <c r="X589" t="s">
        <v>47</v>
      </c>
      <c r="AA589" t="s">
        <v>114</v>
      </c>
      <c r="AC589" t="s">
        <v>63</v>
      </c>
      <c r="AD589" t="b">
        <v>0</v>
      </c>
      <c r="AF589">
        <v>8</v>
      </c>
      <c r="AG589" t="s">
        <v>78</v>
      </c>
    </row>
    <row r="590" spans="1:33" x14ac:dyDescent="0.2">
      <c r="A590">
        <v>1797</v>
      </c>
      <c r="B590" t="s">
        <v>3836</v>
      </c>
      <c r="C590" t="s">
        <v>34</v>
      </c>
      <c r="D590" t="s">
        <v>35</v>
      </c>
      <c r="E590" t="s">
        <v>3837</v>
      </c>
      <c r="F590" t="s">
        <v>3838</v>
      </c>
      <c r="G590" t="s">
        <v>53</v>
      </c>
      <c r="H590" t="s">
        <v>54</v>
      </c>
      <c r="I590" t="s">
        <v>279</v>
      </c>
      <c r="J590" t="s">
        <v>280</v>
      </c>
      <c r="K590">
        <v>2016</v>
      </c>
      <c r="L590">
        <v>2016</v>
      </c>
      <c r="M590">
        <v>25</v>
      </c>
      <c r="N590">
        <v>71.587000000000003</v>
      </c>
      <c r="O590">
        <v>278.5</v>
      </c>
      <c r="P590">
        <v>10.6</v>
      </c>
      <c r="Q590">
        <v>0.65500000000000003</v>
      </c>
      <c r="R590" t="s">
        <v>57</v>
      </c>
      <c r="S590" t="s">
        <v>3839</v>
      </c>
      <c r="T590" t="b">
        <v>1</v>
      </c>
      <c r="U590" t="s">
        <v>3840</v>
      </c>
      <c r="V590" t="s">
        <v>3841</v>
      </c>
      <c r="W590" t="s">
        <v>3842</v>
      </c>
      <c r="X590" t="s">
        <v>47</v>
      </c>
      <c r="AA590" t="s">
        <v>3843</v>
      </c>
      <c r="AB590" t="s">
        <v>49</v>
      </c>
      <c r="AC590" t="s">
        <v>3844</v>
      </c>
      <c r="AD590" t="b">
        <v>0</v>
      </c>
      <c r="AF590">
        <v>6</v>
      </c>
      <c r="AG590" t="s">
        <v>64</v>
      </c>
    </row>
    <row r="591" spans="1:33" x14ac:dyDescent="0.2">
      <c r="A591">
        <v>1563</v>
      </c>
      <c r="B591" t="s">
        <v>3845</v>
      </c>
      <c r="C591" t="s">
        <v>34</v>
      </c>
      <c r="D591" t="s">
        <v>35</v>
      </c>
      <c r="E591" t="s">
        <v>2170</v>
      </c>
      <c r="F591" t="s">
        <v>2171</v>
      </c>
      <c r="G591" t="s">
        <v>53</v>
      </c>
      <c r="H591" t="s">
        <v>54</v>
      </c>
      <c r="I591" t="s">
        <v>2383</v>
      </c>
      <c r="J591" t="s">
        <v>1072</v>
      </c>
      <c r="K591">
        <v>2012</v>
      </c>
      <c r="L591">
        <v>2012</v>
      </c>
      <c r="M591">
        <v>48.9</v>
      </c>
      <c r="N591">
        <v>70.518000000000001</v>
      </c>
      <c r="O591">
        <v>687.8</v>
      </c>
      <c r="P591">
        <v>8.8000000000000007</v>
      </c>
      <c r="Q591">
        <v>1.544</v>
      </c>
      <c r="R591" t="s">
        <v>57</v>
      </c>
      <c r="S591" t="s">
        <v>3846</v>
      </c>
      <c r="T591" t="b">
        <v>1</v>
      </c>
      <c r="U591" t="s">
        <v>3847</v>
      </c>
      <c r="V591" t="s">
        <v>2174</v>
      </c>
      <c r="W591" t="s">
        <v>3848</v>
      </c>
      <c r="X591" t="s">
        <v>47</v>
      </c>
      <c r="AA591" t="s">
        <v>2386</v>
      </c>
      <c r="AB591" t="s">
        <v>177</v>
      </c>
      <c r="AC591" t="s">
        <v>3849</v>
      </c>
      <c r="AD591" t="b">
        <v>0</v>
      </c>
      <c r="AF591">
        <v>7</v>
      </c>
      <c r="AG591" t="s">
        <v>469</v>
      </c>
    </row>
    <row r="592" spans="1:33" x14ac:dyDescent="0.2">
      <c r="A592">
        <v>1893</v>
      </c>
      <c r="B592" t="s">
        <v>3850</v>
      </c>
      <c r="C592" t="s">
        <v>34</v>
      </c>
      <c r="D592" t="s">
        <v>35</v>
      </c>
      <c r="E592" t="s">
        <v>3851</v>
      </c>
      <c r="F592" t="s">
        <v>3852</v>
      </c>
      <c r="G592" t="s">
        <v>53</v>
      </c>
      <c r="H592" t="s">
        <v>54</v>
      </c>
      <c r="I592" t="s">
        <v>147</v>
      </c>
      <c r="J592" t="s">
        <v>148</v>
      </c>
      <c r="K592">
        <v>2017</v>
      </c>
      <c r="L592">
        <v>2017</v>
      </c>
      <c r="M592">
        <v>8.6</v>
      </c>
      <c r="N592">
        <v>24.210999999999999</v>
      </c>
      <c r="O592">
        <v>451.34</v>
      </c>
      <c r="P592">
        <v>2.2999999999999998</v>
      </c>
      <c r="Q592">
        <v>1.0389999999999999</v>
      </c>
      <c r="R592" t="s">
        <v>72</v>
      </c>
      <c r="S592" t="s">
        <v>3853</v>
      </c>
      <c r="T592" t="b">
        <v>1</v>
      </c>
      <c r="U592" t="s">
        <v>3854</v>
      </c>
      <c r="V592" t="s">
        <v>3855</v>
      </c>
      <c r="W592" t="s">
        <v>3856</v>
      </c>
      <c r="X592" t="s">
        <v>47</v>
      </c>
      <c r="AA592" t="s">
        <v>153</v>
      </c>
      <c r="AB592" t="s">
        <v>1975</v>
      </c>
      <c r="AC592" t="s">
        <v>154</v>
      </c>
      <c r="AD592" t="b">
        <v>0</v>
      </c>
      <c r="AF592">
        <v>13</v>
      </c>
      <c r="AG592" t="s">
        <v>155</v>
      </c>
    </row>
    <row r="593" spans="1:33" x14ac:dyDescent="0.2">
      <c r="A593">
        <v>1168</v>
      </c>
      <c r="B593" t="s">
        <v>3857</v>
      </c>
      <c r="C593" t="s">
        <v>34</v>
      </c>
      <c r="D593" t="s">
        <v>35</v>
      </c>
      <c r="E593" t="s">
        <v>277</v>
      </c>
      <c r="F593" t="s">
        <v>278</v>
      </c>
      <c r="G593" t="s">
        <v>93</v>
      </c>
      <c r="H593" t="s">
        <v>94</v>
      </c>
      <c r="I593" t="s">
        <v>2295</v>
      </c>
      <c r="J593" t="s">
        <v>280</v>
      </c>
      <c r="K593">
        <v>1930</v>
      </c>
      <c r="L593">
        <v>2014</v>
      </c>
      <c r="M593">
        <v>2.2000000000000002</v>
      </c>
      <c r="N593">
        <v>6.319</v>
      </c>
      <c r="O593">
        <v>24.23</v>
      </c>
      <c r="P593">
        <v>10</v>
      </c>
      <c r="Q593">
        <v>6.0999999999999999E-2</v>
      </c>
      <c r="R593" t="s">
        <v>97</v>
      </c>
      <c r="S593" t="s">
        <v>3858</v>
      </c>
      <c r="T593" t="b">
        <v>1</v>
      </c>
      <c r="U593" t="s">
        <v>3859</v>
      </c>
      <c r="V593" t="s">
        <v>389</v>
      </c>
      <c r="W593" t="s">
        <v>3860</v>
      </c>
      <c r="X593" t="s">
        <v>47</v>
      </c>
      <c r="AA593" t="s">
        <v>340</v>
      </c>
      <c r="AB593" t="s">
        <v>1131</v>
      </c>
      <c r="AC593" t="s">
        <v>1063</v>
      </c>
      <c r="AD593" t="b">
        <v>0</v>
      </c>
      <c r="AF593">
        <v>1</v>
      </c>
      <c r="AG593" t="s">
        <v>104</v>
      </c>
    </row>
    <row r="594" spans="1:33" x14ac:dyDescent="0.2">
      <c r="A594">
        <v>2122</v>
      </c>
      <c r="B594" t="s">
        <v>3861</v>
      </c>
      <c r="C594" t="s">
        <v>34</v>
      </c>
      <c r="D594" t="s">
        <v>35</v>
      </c>
      <c r="E594" t="s">
        <v>576</v>
      </c>
      <c r="F594" t="s">
        <v>577</v>
      </c>
      <c r="G594" t="s">
        <v>503</v>
      </c>
      <c r="H594" t="s">
        <v>462</v>
      </c>
      <c r="I594" t="s">
        <v>578</v>
      </c>
      <c r="J594" t="s">
        <v>308</v>
      </c>
      <c r="K594">
        <v>2023</v>
      </c>
      <c r="L594">
        <v>2023</v>
      </c>
      <c r="M594">
        <v>1.5</v>
      </c>
      <c r="N594">
        <v>5</v>
      </c>
      <c r="R594" t="s">
        <v>84</v>
      </c>
      <c r="S594" t="s">
        <v>3862</v>
      </c>
      <c r="T594" t="b">
        <v>1</v>
      </c>
      <c r="U594" t="s">
        <v>3863</v>
      </c>
      <c r="V594" t="s">
        <v>581</v>
      </c>
      <c r="W594" t="s">
        <v>3864</v>
      </c>
      <c r="X594" t="s">
        <v>47</v>
      </c>
      <c r="AA594" t="s">
        <v>583</v>
      </c>
      <c r="AC594" t="s">
        <v>585</v>
      </c>
      <c r="AD594" t="b">
        <v>0</v>
      </c>
      <c r="AF594">
        <v>3</v>
      </c>
      <c r="AG594" t="s">
        <v>332</v>
      </c>
    </row>
    <row r="595" spans="1:33" x14ac:dyDescent="0.2">
      <c r="A595">
        <v>1512</v>
      </c>
      <c r="B595" t="s">
        <v>3865</v>
      </c>
      <c r="C595" t="s">
        <v>34</v>
      </c>
      <c r="D595" t="s">
        <v>35</v>
      </c>
      <c r="E595" t="s">
        <v>3866</v>
      </c>
      <c r="F595" t="s">
        <v>3867</v>
      </c>
      <c r="G595" t="s">
        <v>213</v>
      </c>
      <c r="H595" t="s">
        <v>83</v>
      </c>
      <c r="I595" t="s">
        <v>611</v>
      </c>
      <c r="J595" t="s">
        <v>612</v>
      </c>
      <c r="K595">
        <v>2009</v>
      </c>
      <c r="L595">
        <v>2009</v>
      </c>
      <c r="M595">
        <v>0.99</v>
      </c>
      <c r="N595">
        <v>3.3039999999999998</v>
      </c>
      <c r="O595">
        <v>150</v>
      </c>
      <c r="P595">
        <v>0.83</v>
      </c>
      <c r="R595" t="s">
        <v>84</v>
      </c>
      <c r="S595" t="s">
        <v>3868</v>
      </c>
      <c r="T595" t="b">
        <v>1</v>
      </c>
      <c r="U595" t="s">
        <v>3869</v>
      </c>
      <c r="V595" t="s">
        <v>3870</v>
      </c>
      <c r="W595" t="s">
        <v>3871</v>
      </c>
      <c r="X595" t="s">
        <v>47</v>
      </c>
      <c r="AA595" t="s">
        <v>3872</v>
      </c>
      <c r="AC595" t="s">
        <v>3873</v>
      </c>
      <c r="AD595" t="b">
        <v>0</v>
      </c>
      <c r="AF595">
        <v>4</v>
      </c>
      <c r="AG595" t="s">
        <v>321</v>
      </c>
    </row>
    <row r="596" spans="1:33" x14ac:dyDescent="0.2">
      <c r="A596">
        <v>160</v>
      </c>
      <c r="B596" t="s">
        <v>3874</v>
      </c>
      <c r="C596" t="s">
        <v>34</v>
      </c>
      <c r="D596" t="s">
        <v>35</v>
      </c>
      <c r="E596" t="s">
        <v>1200</v>
      </c>
      <c r="F596" t="s">
        <v>1201</v>
      </c>
      <c r="G596" t="s">
        <v>53</v>
      </c>
      <c r="H596" t="s">
        <v>54</v>
      </c>
      <c r="I596" t="s">
        <v>811</v>
      </c>
      <c r="J596" t="s">
        <v>94</v>
      </c>
      <c r="K596">
        <v>1944</v>
      </c>
      <c r="L596">
        <v>1986</v>
      </c>
      <c r="M596">
        <v>2.8</v>
      </c>
      <c r="N596">
        <v>11.968999999999999</v>
      </c>
      <c r="O596">
        <v>186.5</v>
      </c>
      <c r="P596">
        <v>1.79</v>
      </c>
      <c r="Q596">
        <v>0.435</v>
      </c>
      <c r="R596" t="s">
        <v>57</v>
      </c>
      <c r="S596" t="s">
        <v>3875</v>
      </c>
      <c r="T596" t="b">
        <v>1</v>
      </c>
      <c r="U596" t="s">
        <v>3876</v>
      </c>
      <c r="V596" t="s">
        <v>1204</v>
      </c>
      <c r="W596" t="s">
        <v>3877</v>
      </c>
      <c r="X596" t="s">
        <v>47</v>
      </c>
      <c r="AA596" t="s">
        <v>3878</v>
      </c>
      <c r="AB596" t="s">
        <v>83</v>
      </c>
      <c r="AC596" t="s">
        <v>3879</v>
      </c>
      <c r="AD596" t="b">
        <v>0</v>
      </c>
      <c r="AF596">
        <v>6</v>
      </c>
      <c r="AG596" t="s">
        <v>64</v>
      </c>
    </row>
    <row r="597" spans="1:33" x14ac:dyDescent="0.2">
      <c r="A597">
        <v>1808</v>
      </c>
      <c r="B597" t="s">
        <v>3880</v>
      </c>
      <c r="C597" t="s">
        <v>34</v>
      </c>
      <c r="D597" t="s">
        <v>35</v>
      </c>
      <c r="E597" t="s">
        <v>168</v>
      </c>
      <c r="F597" t="s">
        <v>169</v>
      </c>
      <c r="G597" t="s">
        <v>312</v>
      </c>
      <c r="H597" t="s">
        <v>313</v>
      </c>
      <c r="I597" t="s">
        <v>704</v>
      </c>
      <c r="J597" t="s">
        <v>56</v>
      </c>
      <c r="K597">
        <v>2016</v>
      </c>
      <c r="L597">
        <v>2016</v>
      </c>
      <c r="M597">
        <v>1.8</v>
      </c>
      <c r="N597">
        <v>5.4530000000000003</v>
      </c>
      <c r="O597">
        <v>271</v>
      </c>
      <c r="P597">
        <v>0.78</v>
      </c>
      <c r="Q597">
        <v>0.64100000000000001</v>
      </c>
      <c r="R597" t="s">
        <v>84</v>
      </c>
      <c r="S597" t="s">
        <v>3881</v>
      </c>
      <c r="T597" t="b">
        <v>1</v>
      </c>
      <c r="U597" t="s">
        <v>3882</v>
      </c>
      <c r="V597" t="s">
        <v>174</v>
      </c>
      <c r="W597" t="s">
        <v>3883</v>
      </c>
      <c r="X597" t="s">
        <v>47</v>
      </c>
      <c r="AA597" t="s">
        <v>319</v>
      </c>
      <c r="AB597" t="s">
        <v>409</v>
      </c>
      <c r="AC597" t="s">
        <v>320</v>
      </c>
      <c r="AD597" t="b">
        <v>0</v>
      </c>
      <c r="AF597">
        <v>3</v>
      </c>
      <c r="AG597" t="s">
        <v>332</v>
      </c>
    </row>
    <row r="598" spans="1:33" x14ac:dyDescent="0.2">
      <c r="A598">
        <v>1753</v>
      </c>
      <c r="B598" t="s">
        <v>3884</v>
      </c>
      <c r="C598" t="s">
        <v>34</v>
      </c>
      <c r="D598" t="s">
        <v>35</v>
      </c>
      <c r="E598" t="s">
        <v>3885</v>
      </c>
      <c r="F598" t="s">
        <v>3886</v>
      </c>
      <c r="G598" t="s">
        <v>134</v>
      </c>
      <c r="H598" t="s">
        <v>135</v>
      </c>
      <c r="I598" t="s">
        <v>764</v>
      </c>
      <c r="J598" t="s">
        <v>765</v>
      </c>
      <c r="K598">
        <v>2012</v>
      </c>
      <c r="L598">
        <v>2012</v>
      </c>
      <c r="M598">
        <v>2.5000000000000001E-2</v>
      </c>
      <c r="N598">
        <v>0.11799999999999999</v>
      </c>
      <c r="O598">
        <v>57</v>
      </c>
      <c r="P598">
        <v>0.08</v>
      </c>
      <c r="Q598">
        <v>8.6999999999999994E-2</v>
      </c>
      <c r="R598" t="s">
        <v>42</v>
      </c>
      <c r="S598" t="s">
        <v>3887</v>
      </c>
      <c r="T598" t="b">
        <v>1</v>
      </c>
      <c r="U598" t="s">
        <v>3888</v>
      </c>
      <c r="V598" t="s">
        <v>3889</v>
      </c>
      <c r="W598" t="s">
        <v>3890</v>
      </c>
      <c r="X598" t="s">
        <v>47</v>
      </c>
      <c r="AA598" t="s">
        <v>3891</v>
      </c>
      <c r="AC598" t="s">
        <v>63</v>
      </c>
      <c r="AD598" t="b">
        <v>0</v>
      </c>
      <c r="AF598">
        <v>10</v>
      </c>
      <c r="AG598" t="s">
        <v>143</v>
      </c>
    </row>
    <row r="599" spans="1:33" x14ac:dyDescent="0.2">
      <c r="A599">
        <v>161</v>
      </c>
      <c r="B599" t="s">
        <v>3892</v>
      </c>
      <c r="C599" t="s">
        <v>34</v>
      </c>
      <c r="D599" t="s">
        <v>35</v>
      </c>
      <c r="E599" t="s">
        <v>1647</v>
      </c>
      <c r="F599" t="s">
        <v>1648</v>
      </c>
      <c r="G599" t="s">
        <v>213</v>
      </c>
      <c r="H599" t="s">
        <v>83</v>
      </c>
      <c r="I599" t="s">
        <v>1786</v>
      </c>
      <c r="J599" t="s">
        <v>49</v>
      </c>
      <c r="K599">
        <v>1956</v>
      </c>
      <c r="L599">
        <v>1956</v>
      </c>
      <c r="M599">
        <v>2.88</v>
      </c>
      <c r="N599">
        <v>10.757</v>
      </c>
      <c r="O599">
        <v>39.590000000000003</v>
      </c>
      <c r="P599">
        <v>8.52</v>
      </c>
      <c r="Q599">
        <v>7.4999999999999997E-2</v>
      </c>
      <c r="R599" t="s">
        <v>84</v>
      </c>
      <c r="S599" t="s">
        <v>3893</v>
      </c>
      <c r="T599" t="b">
        <v>1</v>
      </c>
      <c r="U599" t="s">
        <v>3894</v>
      </c>
      <c r="V599" t="s">
        <v>1651</v>
      </c>
      <c r="W599" t="s">
        <v>3895</v>
      </c>
      <c r="X599" t="s">
        <v>47</v>
      </c>
      <c r="AA599" t="s">
        <v>3046</v>
      </c>
      <c r="AB599" t="s">
        <v>177</v>
      </c>
      <c r="AC599" t="s">
        <v>3047</v>
      </c>
      <c r="AD599" t="b">
        <v>0</v>
      </c>
      <c r="AF599">
        <v>4</v>
      </c>
      <c r="AG599" t="s">
        <v>321</v>
      </c>
    </row>
    <row r="600" spans="1:33" x14ac:dyDescent="0.2">
      <c r="A600">
        <v>1293</v>
      </c>
      <c r="B600" t="s">
        <v>3114</v>
      </c>
      <c r="C600" t="s">
        <v>34</v>
      </c>
      <c r="D600" t="s">
        <v>35</v>
      </c>
      <c r="G600" t="s">
        <v>242</v>
      </c>
      <c r="H600" t="s">
        <v>243</v>
      </c>
      <c r="I600" t="s">
        <v>1302</v>
      </c>
      <c r="J600" t="s">
        <v>1303</v>
      </c>
      <c r="K600">
        <v>2004</v>
      </c>
      <c r="L600">
        <v>2004</v>
      </c>
      <c r="M600">
        <v>9.4999999999999998E-3</v>
      </c>
      <c r="N600">
        <v>3.4000000000000002E-2</v>
      </c>
      <c r="R600" t="s">
        <v>72</v>
      </c>
      <c r="S600" t="s">
        <v>3896</v>
      </c>
      <c r="T600" t="b">
        <v>1</v>
      </c>
      <c r="U600" t="s">
        <v>637</v>
      </c>
      <c r="V600" t="s">
        <v>60</v>
      </c>
      <c r="W600" t="s">
        <v>3897</v>
      </c>
      <c r="X600" t="s">
        <v>47</v>
      </c>
      <c r="AA600" t="s">
        <v>3114</v>
      </c>
      <c r="AC600" t="s">
        <v>63</v>
      </c>
      <c r="AD600" t="b">
        <v>0</v>
      </c>
      <c r="AF600">
        <v>9</v>
      </c>
      <c r="AG600" t="s">
        <v>251</v>
      </c>
    </row>
    <row r="601" spans="1:33" x14ac:dyDescent="0.2">
      <c r="A601">
        <v>1886</v>
      </c>
      <c r="B601" t="s">
        <v>3898</v>
      </c>
      <c r="C601" t="s">
        <v>34</v>
      </c>
      <c r="D601" t="s">
        <v>35</v>
      </c>
      <c r="E601" t="s">
        <v>3899</v>
      </c>
      <c r="F601" t="s">
        <v>3900</v>
      </c>
      <c r="G601" t="s">
        <v>53</v>
      </c>
      <c r="H601" t="s">
        <v>54</v>
      </c>
      <c r="I601" t="s">
        <v>1165</v>
      </c>
      <c r="J601" t="s">
        <v>1166</v>
      </c>
      <c r="K601">
        <v>2016</v>
      </c>
      <c r="L601">
        <v>2016</v>
      </c>
      <c r="M601">
        <v>5.89</v>
      </c>
      <c r="N601">
        <v>13.246</v>
      </c>
      <c r="O601">
        <v>340</v>
      </c>
      <c r="P601">
        <v>2.1</v>
      </c>
      <c r="Q601">
        <v>0.77900000000000003</v>
      </c>
      <c r="R601" t="s">
        <v>72</v>
      </c>
      <c r="S601" t="s">
        <v>3901</v>
      </c>
      <c r="T601" t="b">
        <v>1</v>
      </c>
      <c r="U601" t="s">
        <v>3902</v>
      </c>
      <c r="V601" t="s">
        <v>3903</v>
      </c>
      <c r="W601" t="s">
        <v>3904</v>
      </c>
      <c r="X601" t="s">
        <v>47</v>
      </c>
      <c r="AA601" t="s">
        <v>3905</v>
      </c>
      <c r="AC601" t="s">
        <v>63</v>
      </c>
      <c r="AD601" t="b">
        <v>0</v>
      </c>
      <c r="AF601">
        <v>13</v>
      </c>
      <c r="AG601" t="s">
        <v>155</v>
      </c>
    </row>
    <row r="602" spans="1:33" x14ac:dyDescent="0.2">
      <c r="A602">
        <v>1543</v>
      </c>
      <c r="B602" t="s">
        <v>1139</v>
      </c>
      <c r="C602" t="s">
        <v>34</v>
      </c>
      <c r="D602" t="s">
        <v>35</v>
      </c>
      <c r="E602" t="s">
        <v>3906</v>
      </c>
      <c r="F602" t="s">
        <v>3907</v>
      </c>
      <c r="G602" t="s">
        <v>53</v>
      </c>
      <c r="H602" t="s">
        <v>54</v>
      </c>
      <c r="I602" t="s">
        <v>235</v>
      </c>
      <c r="J602" t="s">
        <v>41</v>
      </c>
      <c r="K602">
        <v>2010</v>
      </c>
      <c r="L602">
        <v>2010</v>
      </c>
      <c r="M602">
        <v>4.62</v>
      </c>
      <c r="N602">
        <v>12.048</v>
      </c>
      <c r="O602">
        <v>161</v>
      </c>
      <c r="P602">
        <v>3.3</v>
      </c>
      <c r="Q602">
        <v>0.38900000000000001</v>
      </c>
      <c r="R602" t="s">
        <v>84</v>
      </c>
      <c r="S602" t="s">
        <v>3908</v>
      </c>
      <c r="T602" t="b">
        <v>1</v>
      </c>
      <c r="U602" t="s">
        <v>3909</v>
      </c>
      <c r="V602" t="s">
        <v>3910</v>
      </c>
      <c r="W602" t="s">
        <v>3911</v>
      </c>
      <c r="X602" t="s">
        <v>47</v>
      </c>
      <c r="AA602" t="s">
        <v>1139</v>
      </c>
      <c r="AB602" t="s">
        <v>49</v>
      </c>
      <c r="AC602" t="s">
        <v>3912</v>
      </c>
      <c r="AD602" t="b">
        <v>0</v>
      </c>
      <c r="AF602">
        <v>5</v>
      </c>
      <c r="AG602" t="s">
        <v>89</v>
      </c>
    </row>
    <row r="603" spans="1:33" x14ac:dyDescent="0.2">
      <c r="A603">
        <v>981</v>
      </c>
      <c r="B603" t="s">
        <v>3913</v>
      </c>
      <c r="C603" t="s">
        <v>34</v>
      </c>
      <c r="D603" t="s">
        <v>35</v>
      </c>
      <c r="E603" t="s">
        <v>3914</v>
      </c>
      <c r="F603" t="s">
        <v>3915</v>
      </c>
      <c r="G603" t="s">
        <v>53</v>
      </c>
      <c r="H603" t="s">
        <v>54</v>
      </c>
      <c r="I603" t="s">
        <v>182</v>
      </c>
      <c r="J603" t="s">
        <v>49</v>
      </c>
      <c r="K603">
        <v>1939</v>
      </c>
      <c r="L603">
        <v>1939</v>
      </c>
      <c r="M603">
        <v>0.22</v>
      </c>
      <c r="N603">
        <v>0.41</v>
      </c>
      <c r="O603">
        <v>11.2</v>
      </c>
      <c r="R603" t="s">
        <v>57</v>
      </c>
      <c r="S603" t="s">
        <v>3916</v>
      </c>
      <c r="T603" t="b">
        <v>1</v>
      </c>
      <c r="U603" t="s">
        <v>2048</v>
      </c>
      <c r="V603" t="s">
        <v>3917</v>
      </c>
      <c r="W603" t="s">
        <v>113</v>
      </c>
      <c r="X603" t="s">
        <v>47</v>
      </c>
      <c r="AA603" t="s">
        <v>3918</v>
      </c>
      <c r="AC603" t="s">
        <v>63</v>
      </c>
      <c r="AD603" t="b">
        <v>0</v>
      </c>
      <c r="AF603">
        <v>6</v>
      </c>
      <c r="AG603" t="s">
        <v>64</v>
      </c>
    </row>
    <row r="604" spans="1:33" x14ac:dyDescent="0.2">
      <c r="A604">
        <v>545</v>
      </c>
      <c r="B604" t="s">
        <v>3919</v>
      </c>
      <c r="C604" t="s">
        <v>34</v>
      </c>
      <c r="D604" t="s">
        <v>35</v>
      </c>
      <c r="E604" t="s">
        <v>3920</v>
      </c>
      <c r="F604" t="s">
        <v>3921</v>
      </c>
      <c r="G604" t="s">
        <v>224</v>
      </c>
      <c r="H604" t="s">
        <v>225</v>
      </c>
      <c r="I604" t="s">
        <v>3088</v>
      </c>
      <c r="J604" t="s">
        <v>109</v>
      </c>
      <c r="K604">
        <v>1990</v>
      </c>
      <c r="L604">
        <v>1990</v>
      </c>
      <c r="M604">
        <v>7.2</v>
      </c>
      <c r="N604">
        <v>28.094999999999999</v>
      </c>
      <c r="O604">
        <v>204</v>
      </c>
      <c r="P604">
        <v>4.4000000000000004</v>
      </c>
      <c r="Q604">
        <v>0.46700000000000003</v>
      </c>
      <c r="R604" t="s">
        <v>97</v>
      </c>
      <c r="S604" t="s">
        <v>3922</v>
      </c>
      <c r="T604" t="b">
        <v>1</v>
      </c>
      <c r="U604" t="s">
        <v>3923</v>
      </c>
      <c r="V604" t="s">
        <v>3924</v>
      </c>
      <c r="W604" t="s">
        <v>113</v>
      </c>
      <c r="X604" t="s">
        <v>47</v>
      </c>
      <c r="AA604" t="s">
        <v>102</v>
      </c>
      <c r="AB604" t="s">
        <v>1335</v>
      </c>
      <c r="AC604" t="s">
        <v>103</v>
      </c>
      <c r="AD604" t="b">
        <v>0</v>
      </c>
      <c r="AF604">
        <v>1</v>
      </c>
      <c r="AG604" t="s">
        <v>104</v>
      </c>
    </row>
    <row r="605" spans="1:33" x14ac:dyDescent="0.2">
      <c r="A605">
        <v>973</v>
      </c>
      <c r="B605" t="s">
        <v>3925</v>
      </c>
      <c r="C605" t="s">
        <v>34</v>
      </c>
      <c r="D605" t="s">
        <v>35</v>
      </c>
      <c r="E605" t="s">
        <v>3926</v>
      </c>
      <c r="F605" t="s">
        <v>3927</v>
      </c>
      <c r="G605" t="s">
        <v>483</v>
      </c>
      <c r="H605" t="s">
        <v>109</v>
      </c>
      <c r="I605" t="s">
        <v>3928</v>
      </c>
      <c r="J605" t="s">
        <v>515</v>
      </c>
      <c r="K605">
        <v>1998</v>
      </c>
      <c r="L605">
        <v>1998</v>
      </c>
      <c r="M605">
        <v>0.2</v>
      </c>
      <c r="N605">
        <v>0.83899999999999997</v>
      </c>
      <c r="R605" t="s">
        <v>97</v>
      </c>
      <c r="S605" t="s">
        <v>3929</v>
      </c>
      <c r="T605" t="b">
        <v>1</v>
      </c>
      <c r="U605" t="s">
        <v>455</v>
      </c>
      <c r="V605" t="s">
        <v>3930</v>
      </c>
      <c r="W605" t="s">
        <v>113</v>
      </c>
      <c r="X605" t="s">
        <v>47</v>
      </c>
      <c r="AA605" t="s">
        <v>340</v>
      </c>
      <c r="AC605" t="s">
        <v>341</v>
      </c>
      <c r="AD605" t="b">
        <v>0</v>
      </c>
      <c r="AF605">
        <v>1</v>
      </c>
      <c r="AG605" t="s">
        <v>104</v>
      </c>
    </row>
    <row r="606" spans="1:33" x14ac:dyDescent="0.2">
      <c r="A606">
        <v>947</v>
      </c>
      <c r="B606" t="s">
        <v>3931</v>
      </c>
      <c r="C606" t="s">
        <v>34</v>
      </c>
      <c r="D606" t="s">
        <v>35</v>
      </c>
      <c r="G606" t="s">
        <v>53</v>
      </c>
      <c r="H606" t="s">
        <v>54</v>
      </c>
      <c r="I606" t="s">
        <v>2033</v>
      </c>
      <c r="J606" t="s">
        <v>1303</v>
      </c>
      <c r="K606">
        <v>1999</v>
      </c>
      <c r="L606">
        <v>1999</v>
      </c>
      <c r="M606">
        <v>0.10920000000000001</v>
      </c>
      <c r="N606">
        <v>0.35299999999999998</v>
      </c>
      <c r="R606" t="s">
        <v>72</v>
      </c>
      <c r="S606" t="s">
        <v>3932</v>
      </c>
      <c r="T606" t="b">
        <v>1</v>
      </c>
      <c r="U606" t="s">
        <v>571</v>
      </c>
      <c r="V606" t="s">
        <v>274</v>
      </c>
      <c r="W606" t="s">
        <v>3933</v>
      </c>
      <c r="X606" t="s">
        <v>47</v>
      </c>
      <c r="AA606" t="s">
        <v>3934</v>
      </c>
      <c r="AC606" t="s">
        <v>63</v>
      </c>
      <c r="AD606" t="b">
        <v>0</v>
      </c>
      <c r="AF606">
        <v>13</v>
      </c>
      <c r="AG606" t="s">
        <v>155</v>
      </c>
    </row>
    <row r="607" spans="1:33" x14ac:dyDescent="0.2">
      <c r="A607">
        <v>796</v>
      </c>
      <c r="B607" t="s">
        <v>3935</v>
      </c>
      <c r="C607" t="s">
        <v>34</v>
      </c>
      <c r="D607" t="s">
        <v>35</v>
      </c>
      <c r="E607" t="s">
        <v>3936</v>
      </c>
      <c r="F607" t="s">
        <v>3937</v>
      </c>
      <c r="G607" t="s">
        <v>53</v>
      </c>
      <c r="H607" t="s">
        <v>54</v>
      </c>
      <c r="I607" t="s">
        <v>461</v>
      </c>
      <c r="J607" t="s">
        <v>462</v>
      </c>
      <c r="K607">
        <v>2004</v>
      </c>
      <c r="L607">
        <v>2004</v>
      </c>
      <c r="M607">
        <v>2.5</v>
      </c>
      <c r="N607">
        <v>10.608000000000001</v>
      </c>
      <c r="O607">
        <v>174</v>
      </c>
      <c r="P607">
        <v>1.87</v>
      </c>
      <c r="Q607">
        <v>0.371</v>
      </c>
      <c r="R607" t="s">
        <v>57</v>
      </c>
      <c r="S607" t="s">
        <v>3938</v>
      </c>
      <c r="T607" t="b">
        <v>1</v>
      </c>
      <c r="U607" t="s">
        <v>3939</v>
      </c>
      <c r="V607" t="s">
        <v>3940</v>
      </c>
      <c r="W607" t="s">
        <v>3941</v>
      </c>
      <c r="X607" t="s">
        <v>47</v>
      </c>
      <c r="AA607" t="s">
        <v>3629</v>
      </c>
      <c r="AB607" t="s">
        <v>49</v>
      </c>
      <c r="AC607" t="s">
        <v>3942</v>
      </c>
      <c r="AD607" t="b">
        <v>0</v>
      </c>
      <c r="AF607">
        <v>7</v>
      </c>
      <c r="AG607" t="s">
        <v>469</v>
      </c>
    </row>
    <row r="608" spans="1:33" x14ac:dyDescent="0.2">
      <c r="A608">
        <v>162</v>
      </c>
      <c r="B608" t="s">
        <v>3943</v>
      </c>
      <c r="C608" t="s">
        <v>34</v>
      </c>
      <c r="D608" t="s">
        <v>35</v>
      </c>
      <c r="E608" t="s">
        <v>404</v>
      </c>
      <c r="F608" t="s">
        <v>405</v>
      </c>
      <c r="G608" t="s">
        <v>312</v>
      </c>
      <c r="H608" t="s">
        <v>313</v>
      </c>
      <c r="I608" t="s">
        <v>314</v>
      </c>
      <c r="J608" t="s">
        <v>71</v>
      </c>
      <c r="K608">
        <v>1971</v>
      </c>
      <c r="L608">
        <v>1971</v>
      </c>
      <c r="M608">
        <v>45</v>
      </c>
      <c r="N608">
        <v>93.716999999999999</v>
      </c>
      <c r="O608">
        <v>487.7</v>
      </c>
      <c r="P608">
        <v>11</v>
      </c>
      <c r="Q608">
        <v>1.1359999999999999</v>
      </c>
      <c r="R608" t="s">
        <v>84</v>
      </c>
      <c r="S608" t="s">
        <v>3944</v>
      </c>
      <c r="T608" t="b">
        <v>1</v>
      </c>
      <c r="U608" t="s">
        <v>1338</v>
      </c>
      <c r="V608" t="s">
        <v>408</v>
      </c>
      <c r="W608" t="s">
        <v>3945</v>
      </c>
      <c r="X608" t="s">
        <v>47</v>
      </c>
      <c r="AA608" t="s">
        <v>319</v>
      </c>
      <c r="AB608" t="s">
        <v>765</v>
      </c>
      <c r="AC608" t="s">
        <v>320</v>
      </c>
      <c r="AD608" t="b">
        <v>0</v>
      </c>
      <c r="AF608">
        <v>4</v>
      </c>
      <c r="AG608" t="s">
        <v>321</v>
      </c>
    </row>
    <row r="609" spans="1:33" x14ac:dyDescent="0.2">
      <c r="A609">
        <v>163</v>
      </c>
      <c r="B609" t="s">
        <v>3946</v>
      </c>
      <c r="C609" t="s">
        <v>34</v>
      </c>
      <c r="D609" t="s">
        <v>35</v>
      </c>
      <c r="E609" t="s">
        <v>36</v>
      </c>
      <c r="F609" t="s">
        <v>37</v>
      </c>
      <c r="G609" t="s">
        <v>53</v>
      </c>
      <c r="H609" t="s">
        <v>54</v>
      </c>
      <c r="I609" t="s">
        <v>2104</v>
      </c>
      <c r="J609" t="s">
        <v>203</v>
      </c>
      <c r="K609">
        <v>1969</v>
      </c>
      <c r="L609">
        <v>1969</v>
      </c>
      <c r="M609">
        <v>60</v>
      </c>
      <c r="N609">
        <v>347.67399999999998</v>
      </c>
      <c r="O609">
        <v>318.2</v>
      </c>
      <c r="P609">
        <v>21.98</v>
      </c>
      <c r="Q609">
        <v>0.75800000000000001</v>
      </c>
      <c r="R609" t="s">
        <v>57</v>
      </c>
      <c r="S609" t="s">
        <v>3947</v>
      </c>
      <c r="T609" t="b">
        <v>1</v>
      </c>
      <c r="U609" t="s">
        <v>3948</v>
      </c>
      <c r="V609" t="s">
        <v>3949</v>
      </c>
      <c r="W609" t="s">
        <v>3950</v>
      </c>
      <c r="X609" t="s">
        <v>47</v>
      </c>
      <c r="AA609" t="s">
        <v>3951</v>
      </c>
      <c r="AB609" t="s">
        <v>49</v>
      </c>
      <c r="AC609" t="s">
        <v>3952</v>
      </c>
      <c r="AD609" t="b">
        <v>0</v>
      </c>
      <c r="AF609">
        <v>7</v>
      </c>
      <c r="AG609" t="s">
        <v>469</v>
      </c>
    </row>
    <row r="610" spans="1:33" x14ac:dyDescent="0.2">
      <c r="A610">
        <v>1666</v>
      </c>
      <c r="B610" t="s">
        <v>3953</v>
      </c>
      <c r="C610" t="s">
        <v>34</v>
      </c>
      <c r="D610" t="s">
        <v>35</v>
      </c>
      <c r="E610" t="s">
        <v>1492</v>
      </c>
      <c r="F610" t="s">
        <v>1493</v>
      </c>
      <c r="G610" t="s">
        <v>53</v>
      </c>
      <c r="H610" t="s">
        <v>54</v>
      </c>
      <c r="I610" t="s">
        <v>1251</v>
      </c>
      <c r="J610" t="s">
        <v>177</v>
      </c>
      <c r="K610">
        <v>2012</v>
      </c>
      <c r="L610">
        <v>2012</v>
      </c>
      <c r="M610">
        <v>2.9950000000000001</v>
      </c>
      <c r="N610">
        <v>7.9210000000000003</v>
      </c>
      <c r="O610">
        <v>429</v>
      </c>
      <c r="P610">
        <v>0.8</v>
      </c>
      <c r="Q610">
        <v>1.04</v>
      </c>
      <c r="R610" t="s">
        <v>72</v>
      </c>
      <c r="S610" t="s">
        <v>3954</v>
      </c>
      <c r="T610" t="b">
        <v>1</v>
      </c>
      <c r="U610" t="s">
        <v>3955</v>
      </c>
      <c r="V610" t="s">
        <v>1496</v>
      </c>
      <c r="W610" t="s">
        <v>3956</v>
      </c>
      <c r="X610" t="s">
        <v>47</v>
      </c>
      <c r="AA610" t="s">
        <v>3957</v>
      </c>
      <c r="AB610" t="s">
        <v>49</v>
      </c>
      <c r="AC610" t="s">
        <v>3958</v>
      </c>
      <c r="AD610" t="b">
        <v>0</v>
      </c>
      <c r="AF610">
        <v>13</v>
      </c>
      <c r="AG610" t="s">
        <v>155</v>
      </c>
    </row>
    <row r="611" spans="1:33" x14ac:dyDescent="0.2">
      <c r="A611">
        <v>1038</v>
      </c>
      <c r="B611" t="s">
        <v>3959</v>
      </c>
      <c r="C611" t="s">
        <v>34</v>
      </c>
      <c r="D611" t="s">
        <v>35</v>
      </c>
      <c r="E611" t="s">
        <v>3960</v>
      </c>
      <c r="F611" t="s">
        <v>3961</v>
      </c>
      <c r="G611" t="s">
        <v>503</v>
      </c>
      <c r="H611" t="s">
        <v>462</v>
      </c>
      <c r="I611" t="s">
        <v>2930</v>
      </c>
      <c r="J611" t="s">
        <v>676</v>
      </c>
      <c r="K611">
        <v>2003</v>
      </c>
      <c r="L611">
        <v>2003</v>
      </c>
      <c r="M611">
        <v>0.45</v>
      </c>
      <c r="N611">
        <v>1.4059999999999999</v>
      </c>
      <c r="O611">
        <v>208</v>
      </c>
      <c r="P611">
        <v>0.16</v>
      </c>
      <c r="R611" t="s">
        <v>84</v>
      </c>
      <c r="S611" t="s">
        <v>3962</v>
      </c>
      <c r="T611" t="b">
        <v>1</v>
      </c>
      <c r="U611" t="s">
        <v>2246</v>
      </c>
      <c r="V611" t="s">
        <v>3963</v>
      </c>
      <c r="W611" t="s">
        <v>3964</v>
      </c>
      <c r="X611" t="s">
        <v>47</v>
      </c>
      <c r="AA611" t="s">
        <v>583</v>
      </c>
      <c r="AC611" t="s">
        <v>585</v>
      </c>
      <c r="AD611" t="b">
        <v>0</v>
      </c>
      <c r="AF611">
        <v>3</v>
      </c>
      <c r="AG611" t="s">
        <v>332</v>
      </c>
    </row>
    <row r="612" spans="1:33" x14ac:dyDescent="0.2">
      <c r="A612">
        <v>834</v>
      </c>
      <c r="B612" t="s">
        <v>3965</v>
      </c>
      <c r="C612" t="s">
        <v>34</v>
      </c>
      <c r="D612" t="s">
        <v>35</v>
      </c>
      <c r="E612" t="s">
        <v>1320</v>
      </c>
      <c r="F612" t="s">
        <v>1321</v>
      </c>
      <c r="G612" t="s">
        <v>53</v>
      </c>
      <c r="H612" t="s">
        <v>54</v>
      </c>
      <c r="I612" t="s">
        <v>2104</v>
      </c>
      <c r="J612" t="s">
        <v>203</v>
      </c>
      <c r="K612">
        <v>2004</v>
      </c>
      <c r="L612">
        <v>2004</v>
      </c>
      <c r="M612">
        <v>1.35</v>
      </c>
      <c r="N612">
        <v>4.1260000000000003</v>
      </c>
      <c r="O612">
        <v>142.5</v>
      </c>
      <c r="P612">
        <v>1.17</v>
      </c>
      <c r="Q612">
        <v>0.312</v>
      </c>
      <c r="R612" t="s">
        <v>57</v>
      </c>
      <c r="S612" t="s">
        <v>3966</v>
      </c>
      <c r="T612" t="b">
        <v>1</v>
      </c>
      <c r="U612" t="s">
        <v>3967</v>
      </c>
      <c r="V612" t="s">
        <v>1324</v>
      </c>
      <c r="W612" t="s">
        <v>3968</v>
      </c>
      <c r="X612" t="s">
        <v>47</v>
      </c>
      <c r="AA612" t="s">
        <v>3969</v>
      </c>
      <c r="AB612" t="s">
        <v>83</v>
      </c>
      <c r="AC612" t="s">
        <v>3952</v>
      </c>
      <c r="AD612" t="b">
        <v>0</v>
      </c>
      <c r="AF612">
        <v>7</v>
      </c>
      <c r="AG612" t="s">
        <v>469</v>
      </c>
    </row>
    <row r="613" spans="1:33" x14ac:dyDescent="0.2">
      <c r="A613">
        <v>1045</v>
      </c>
      <c r="B613" t="s">
        <v>3970</v>
      </c>
      <c r="C613" t="s">
        <v>34</v>
      </c>
      <c r="D613" t="s">
        <v>35</v>
      </c>
      <c r="G613" t="s">
        <v>224</v>
      </c>
      <c r="H613" t="s">
        <v>225</v>
      </c>
      <c r="I613" t="s">
        <v>1126</v>
      </c>
      <c r="J613" t="s">
        <v>262</v>
      </c>
      <c r="K613">
        <v>2001</v>
      </c>
      <c r="L613">
        <v>2001</v>
      </c>
      <c r="M613">
        <v>4.8000000000000001E-2</v>
      </c>
      <c r="N613">
        <v>0.19700000000000001</v>
      </c>
      <c r="R613" t="s">
        <v>57</v>
      </c>
      <c r="S613" t="s">
        <v>1127</v>
      </c>
      <c r="T613" t="b">
        <v>1</v>
      </c>
      <c r="U613" t="s">
        <v>3971</v>
      </c>
      <c r="V613" t="s">
        <v>274</v>
      </c>
      <c r="W613" t="s">
        <v>3972</v>
      </c>
      <c r="X613" t="s">
        <v>47</v>
      </c>
      <c r="AA613" t="s">
        <v>102</v>
      </c>
      <c r="AC613" t="s">
        <v>103</v>
      </c>
      <c r="AD613" t="b">
        <v>0</v>
      </c>
      <c r="AF613">
        <v>2</v>
      </c>
      <c r="AG613" t="s">
        <v>287</v>
      </c>
    </row>
    <row r="614" spans="1:33" x14ac:dyDescent="0.2">
      <c r="A614">
        <v>932</v>
      </c>
      <c r="B614" t="s">
        <v>3973</v>
      </c>
      <c r="C614" t="s">
        <v>34</v>
      </c>
      <c r="D614" t="s">
        <v>35</v>
      </c>
      <c r="E614" t="s">
        <v>3974</v>
      </c>
      <c r="F614" t="s">
        <v>3975</v>
      </c>
      <c r="G614" t="s">
        <v>68</v>
      </c>
      <c r="H614" t="s">
        <v>69</v>
      </c>
      <c r="I614" t="s">
        <v>1458</v>
      </c>
      <c r="J614" t="s">
        <v>1459</v>
      </c>
      <c r="K614">
        <v>1998</v>
      </c>
      <c r="L614">
        <v>1998</v>
      </c>
      <c r="M614">
        <v>1.0999999999999999E-2</v>
      </c>
      <c r="N614">
        <v>1.4E-2</v>
      </c>
      <c r="R614" t="s">
        <v>72</v>
      </c>
      <c r="S614" t="s">
        <v>2013</v>
      </c>
      <c r="T614" t="b">
        <v>1</v>
      </c>
      <c r="U614" t="s">
        <v>455</v>
      </c>
      <c r="V614" t="s">
        <v>3976</v>
      </c>
      <c r="W614" t="s">
        <v>2014</v>
      </c>
      <c r="X614" t="s">
        <v>47</v>
      </c>
      <c r="AA614" t="s">
        <v>114</v>
      </c>
      <c r="AC614" t="s">
        <v>63</v>
      </c>
      <c r="AD614" t="b">
        <v>0</v>
      </c>
      <c r="AF614">
        <v>8</v>
      </c>
      <c r="AG614" t="s">
        <v>78</v>
      </c>
    </row>
    <row r="615" spans="1:33" x14ac:dyDescent="0.2">
      <c r="A615">
        <v>164</v>
      </c>
      <c r="B615" t="s">
        <v>3977</v>
      </c>
      <c r="C615" t="s">
        <v>34</v>
      </c>
      <c r="D615" t="s">
        <v>35</v>
      </c>
      <c r="E615" t="s">
        <v>277</v>
      </c>
      <c r="F615" t="s">
        <v>278</v>
      </c>
      <c r="G615" t="s">
        <v>93</v>
      </c>
      <c r="H615" t="s">
        <v>94</v>
      </c>
      <c r="I615" t="s">
        <v>3978</v>
      </c>
      <c r="J615" t="s">
        <v>227</v>
      </c>
      <c r="K615">
        <v>1963</v>
      </c>
      <c r="L615">
        <v>1963</v>
      </c>
      <c r="M615">
        <v>112</v>
      </c>
      <c r="N615">
        <v>596.58100000000002</v>
      </c>
      <c r="O615">
        <v>46.4</v>
      </c>
      <c r="P615">
        <v>299.14</v>
      </c>
      <c r="Q615">
        <v>0.104</v>
      </c>
      <c r="R615" t="s">
        <v>97</v>
      </c>
      <c r="S615" t="s">
        <v>3979</v>
      </c>
      <c r="T615" t="b">
        <v>1</v>
      </c>
      <c r="U615" t="s">
        <v>3980</v>
      </c>
      <c r="V615" t="s">
        <v>3307</v>
      </c>
      <c r="W615" t="s">
        <v>3981</v>
      </c>
      <c r="X615" t="s">
        <v>47</v>
      </c>
      <c r="AA615" t="s">
        <v>340</v>
      </c>
      <c r="AB615" t="s">
        <v>69</v>
      </c>
      <c r="AC615" t="s">
        <v>1063</v>
      </c>
      <c r="AD615" t="b">
        <v>0</v>
      </c>
      <c r="AF615">
        <v>1</v>
      </c>
      <c r="AG615" t="s">
        <v>104</v>
      </c>
    </row>
    <row r="616" spans="1:33" x14ac:dyDescent="0.2">
      <c r="A616">
        <v>1018</v>
      </c>
      <c r="B616" t="s">
        <v>3982</v>
      </c>
      <c r="C616" t="s">
        <v>34</v>
      </c>
      <c r="D616" t="s">
        <v>35</v>
      </c>
      <c r="E616" t="s">
        <v>3983</v>
      </c>
      <c r="F616" t="s">
        <v>3984</v>
      </c>
      <c r="G616" t="s">
        <v>213</v>
      </c>
      <c r="H616" t="s">
        <v>83</v>
      </c>
      <c r="I616" t="s">
        <v>214</v>
      </c>
      <c r="J616" t="s">
        <v>215</v>
      </c>
      <c r="K616">
        <v>2007</v>
      </c>
      <c r="L616">
        <v>2007</v>
      </c>
      <c r="M616">
        <v>0.08</v>
      </c>
      <c r="N616">
        <v>0.53300000000000003</v>
      </c>
      <c r="R616" t="s">
        <v>84</v>
      </c>
      <c r="S616" t="s">
        <v>3985</v>
      </c>
      <c r="T616" t="b">
        <v>1</v>
      </c>
      <c r="U616" t="s">
        <v>59</v>
      </c>
      <c r="V616" t="s">
        <v>3986</v>
      </c>
      <c r="W616" t="s">
        <v>3987</v>
      </c>
      <c r="X616" t="s">
        <v>47</v>
      </c>
      <c r="AA616" t="s">
        <v>3988</v>
      </c>
      <c r="AC616" t="s">
        <v>63</v>
      </c>
      <c r="AD616" t="b">
        <v>0</v>
      </c>
      <c r="AF616">
        <v>5</v>
      </c>
      <c r="AG616" t="s">
        <v>89</v>
      </c>
    </row>
    <row r="617" spans="1:33" x14ac:dyDescent="0.2">
      <c r="A617">
        <v>1287</v>
      </c>
      <c r="B617" t="s">
        <v>3989</v>
      </c>
      <c r="C617" t="s">
        <v>34</v>
      </c>
      <c r="D617" t="s">
        <v>35</v>
      </c>
      <c r="G617" t="s">
        <v>312</v>
      </c>
      <c r="H617" t="s">
        <v>313</v>
      </c>
      <c r="I617" t="s">
        <v>1385</v>
      </c>
      <c r="J617" t="s">
        <v>337</v>
      </c>
      <c r="K617">
        <v>2000</v>
      </c>
      <c r="L617">
        <v>2000</v>
      </c>
      <c r="M617">
        <v>1.2E-2</v>
      </c>
      <c r="N617">
        <v>0.1</v>
      </c>
      <c r="R617" t="s">
        <v>84</v>
      </c>
      <c r="S617" t="s">
        <v>3990</v>
      </c>
      <c r="T617" t="b">
        <v>1</v>
      </c>
      <c r="U617" t="s">
        <v>754</v>
      </c>
      <c r="V617" t="s">
        <v>274</v>
      </c>
      <c r="W617" t="s">
        <v>3991</v>
      </c>
      <c r="X617" t="s">
        <v>47</v>
      </c>
      <c r="AA617" t="s">
        <v>860</v>
      </c>
      <c r="AC617" t="s">
        <v>63</v>
      </c>
      <c r="AD617" t="b">
        <v>0</v>
      </c>
      <c r="AF617">
        <v>4</v>
      </c>
      <c r="AG617" t="s">
        <v>321</v>
      </c>
    </row>
    <row r="618" spans="1:33" x14ac:dyDescent="0.2">
      <c r="A618">
        <v>165</v>
      </c>
      <c r="B618" t="s">
        <v>3992</v>
      </c>
      <c r="C618" t="s">
        <v>574</v>
      </c>
      <c r="D618" t="s">
        <v>575</v>
      </c>
      <c r="E618" t="s">
        <v>1670</v>
      </c>
      <c r="F618" t="s">
        <v>1671</v>
      </c>
      <c r="G618" t="s">
        <v>312</v>
      </c>
      <c r="H618" t="s">
        <v>313</v>
      </c>
      <c r="I618" t="s">
        <v>1049</v>
      </c>
      <c r="J618" t="s">
        <v>171</v>
      </c>
      <c r="K618">
        <v>1983</v>
      </c>
      <c r="L618">
        <v>1983</v>
      </c>
      <c r="M618">
        <v>-2</v>
      </c>
      <c r="N618">
        <v>-4.8650000000000002</v>
      </c>
      <c r="O618">
        <v>0</v>
      </c>
      <c r="P618">
        <v>12.07</v>
      </c>
      <c r="Q618">
        <v>-4.5999999999999999E-2</v>
      </c>
      <c r="R618" t="s">
        <v>84</v>
      </c>
      <c r="S618" t="s">
        <v>3993</v>
      </c>
      <c r="T618" t="b">
        <v>1</v>
      </c>
      <c r="U618" t="s">
        <v>3994</v>
      </c>
      <c r="V618" t="s">
        <v>1675</v>
      </c>
      <c r="W618" t="s">
        <v>3995</v>
      </c>
      <c r="X618" t="s">
        <v>47</v>
      </c>
      <c r="AA618" t="s">
        <v>1156</v>
      </c>
      <c r="AB618" t="s">
        <v>245</v>
      </c>
      <c r="AC618" t="s">
        <v>616</v>
      </c>
      <c r="AD618" t="b">
        <v>0</v>
      </c>
      <c r="AF618">
        <v>4</v>
      </c>
      <c r="AG618" t="s">
        <v>321</v>
      </c>
    </row>
    <row r="619" spans="1:33" x14ac:dyDescent="0.2">
      <c r="A619">
        <v>166</v>
      </c>
      <c r="B619" t="s">
        <v>3996</v>
      </c>
      <c r="C619" t="s">
        <v>34</v>
      </c>
      <c r="D619" t="s">
        <v>35</v>
      </c>
      <c r="E619" t="s">
        <v>404</v>
      </c>
      <c r="F619" t="s">
        <v>405</v>
      </c>
      <c r="G619" t="s">
        <v>312</v>
      </c>
      <c r="H619" t="s">
        <v>313</v>
      </c>
      <c r="I619" t="s">
        <v>3194</v>
      </c>
      <c r="J619" t="s">
        <v>1697</v>
      </c>
      <c r="K619">
        <v>1964</v>
      </c>
      <c r="L619">
        <v>1926</v>
      </c>
      <c r="M619">
        <v>25.1</v>
      </c>
      <c r="N619">
        <v>133.39099999999999</v>
      </c>
      <c r="O619">
        <v>13.67</v>
      </c>
      <c r="P619">
        <v>206</v>
      </c>
      <c r="Q619">
        <v>3.4000000000000002E-2</v>
      </c>
      <c r="R619" t="s">
        <v>84</v>
      </c>
      <c r="S619" t="s">
        <v>3997</v>
      </c>
      <c r="T619" t="b">
        <v>1</v>
      </c>
      <c r="U619" t="s">
        <v>3998</v>
      </c>
      <c r="V619" t="s">
        <v>408</v>
      </c>
      <c r="W619" t="s">
        <v>3999</v>
      </c>
      <c r="X619" t="s">
        <v>47</v>
      </c>
      <c r="AA619" t="s">
        <v>319</v>
      </c>
      <c r="AB619" t="s">
        <v>177</v>
      </c>
      <c r="AC619" t="s">
        <v>320</v>
      </c>
      <c r="AD619" t="b">
        <v>0</v>
      </c>
      <c r="AF619">
        <v>4</v>
      </c>
      <c r="AG619" t="s">
        <v>321</v>
      </c>
    </row>
    <row r="620" spans="1:33" x14ac:dyDescent="0.2">
      <c r="A620">
        <v>1308</v>
      </c>
      <c r="B620" t="s">
        <v>4000</v>
      </c>
      <c r="C620" t="s">
        <v>34</v>
      </c>
      <c r="D620" t="s">
        <v>35</v>
      </c>
      <c r="E620" t="s">
        <v>4001</v>
      </c>
      <c r="F620" t="s">
        <v>4002</v>
      </c>
      <c r="G620" t="s">
        <v>242</v>
      </c>
      <c r="H620" t="s">
        <v>243</v>
      </c>
      <c r="I620" t="s">
        <v>1012</v>
      </c>
      <c r="J620" t="s">
        <v>676</v>
      </c>
      <c r="K620">
        <v>2006</v>
      </c>
      <c r="L620">
        <v>2006</v>
      </c>
      <c r="M620">
        <v>0.25</v>
      </c>
      <c r="N620">
        <v>1.1020000000000001</v>
      </c>
      <c r="O620">
        <v>109</v>
      </c>
      <c r="P620">
        <v>0.3</v>
      </c>
      <c r="R620" t="s">
        <v>72</v>
      </c>
      <c r="S620" t="s">
        <v>4003</v>
      </c>
      <c r="T620" t="b">
        <v>1</v>
      </c>
      <c r="U620" t="s">
        <v>4004</v>
      </c>
      <c r="V620" t="s">
        <v>4005</v>
      </c>
      <c r="W620" t="s">
        <v>4006</v>
      </c>
      <c r="X620" t="s">
        <v>47</v>
      </c>
      <c r="AA620" t="s">
        <v>1017</v>
      </c>
      <c r="AC620" t="s">
        <v>1018</v>
      </c>
      <c r="AD620" t="b">
        <v>0</v>
      </c>
      <c r="AF620">
        <v>8</v>
      </c>
      <c r="AG620" t="s">
        <v>78</v>
      </c>
    </row>
    <row r="621" spans="1:33" x14ac:dyDescent="0.2">
      <c r="A621">
        <v>1301</v>
      </c>
      <c r="B621" t="s">
        <v>4007</v>
      </c>
      <c r="C621" t="s">
        <v>34</v>
      </c>
      <c r="D621" t="s">
        <v>35</v>
      </c>
      <c r="E621" t="s">
        <v>4008</v>
      </c>
      <c r="F621" t="s">
        <v>4009</v>
      </c>
      <c r="G621" t="s">
        <v>134</v>
      </c>
      <c r="H621" t="s">
        <v>135</v>
      </c>
      <c r="I621" t="s">
        <v>4010</v>
      </c>
      <c r="J621" t="s">
        <v>171</v>
      </c>
      <c r="K621">
        <v>2002</v>
      </c>
      <c r="L621">
        <v>2002</v>
      </c>
      <c r="M621">
        <v>0.04</v>
      </c>
      <c r="N621">
        <v>0.20200000000000001</v>
      </c>
      <c r="R621" t="s">
        <v>42</v>
      </c>
      <c r="S621" t="s">
        <v>4011</v>
      </c>
      <c r="T621" t="b">
        <v>1</v>
      </c>
      <c r="U621" t="s">
        <v>247</v>
      </c>
      <c r="V621" t="s">
        <v>4012</v>
      </c>
      <c r="W621" t="s">
        <v>4013</v>
      </c>
      <c r="X621" t="s">
        <v>47</v>
      </c>
      <c r="AA621" t="s">
        <v>114</v>
      </c>
      <c r="AC621" t="s">
        <v>63</v>
      </c>
      <c r="AD621" t="b">
        <v>0</v>
      </c>
      <c r="AF621">
        <v>10</v>
      </c>
      <c r="AG621" t="s">
        <v>143</v>
      </c>
    </row>
    <row r="622" spans="1:33" x14ac:dyDescent="0.2">
      <c r="A622">
        <v>1845</v>
      </c>
      <c r="B622" t="s">
        <v>4014</v>
      </c>
      <c r="C622" t="s">
        <v>34</v>
      </c>
      <c r="D622" t="s">
        <v>35</v>
      </c>
      <c r="E622" t="s">
        <v>4015</v>
      </c>
      <c r="F622" t="s">
        <v>4016</v>
      </c>
      <c r="G622" t="s">
        <v>53</v>
      </c>
      <c r="H622" t="s">
        <v>54</v>
      </c>
      <c r="I622" t="s">
        <v>1251</v>
      </c>
      <c r="J622" t="s">
        <v>177</v>
      </c>
      <c r="K622">
        <v>2014</v>
      </c>
      <c r="L622">
        <v>2014</v>
      </c>
      <c r="M622">
        <v>0.06</v>
      </c>
      <c r="N622">
        <v>0.30299999999999999</v>
      </c>
      <c r="O622">
        <v>17</v>
      </c>
      <c r="P622">
        <v>0.45</v>
      </c>
      <c r="Q622">
        <v>3.6999999999999998E-2</v>
      </c>
      <c r="R622" t="s">
        <v>72</v>
      </c>
      <c r="S622" t="s">
        <v>4017</v>
      </c>
      <c r="T622" t="b">
        <v>1</v>
      </c>
      <c r="U622" t="s">
        <v>4018</v>
      </c>
      <c r="V622" t="s">
        <v>4019</v>
      </c>
      <c r="W622" t="s">
        <v>4020</v>
      </c>
      <c r="X622" t="s">
        <v>47</v>
      </c>
      <c r="AA622" t="s">
        <v>4021</v>
      </c>
      <c r="AC622" t="s">
        <v>63</v>
      </c>
      <c r="AD622" t="b">
        <v>0</v>
      </c>
      <c r="AF622">
        <v>13</v>
      </c>
      <c r="AG622" t="s">
        <v>155</v>
      </c>
    </row>
    <row r="623" spans="1:33" x14ac:dyDescent="0.2">
      <c r="A623">
        <v>1744</v>
      </c>
      <c r="B623" t="s">
        <v>4022</v>
      </c>
      <c r="C623" t="s">
        <v>34</v>
      </c>
      <c r="D623" t="s">
        <v>35</v>
      </c>
      <c r="E623" t="s">
        <v>4023</v>
      </c>
      <c r="F623" t="s">
        <v>4024</v>
      </c>
      <c r="G623" t="s">
        <v>213</v>
      </c>
      <c r="H623" t="s">
        <v>83</v>
      </c>
      <c r="I623" t="s">
        <v>1029</v>
      </c>
      <c r="J623" t="s">
        <v>225</v>
      </c>
      <c r="K623">
        <v>2013</v>
      </c>
      <c r="L623">
        <v>2013</v>
      </c>
      <c r="M623">
        <v>0.55000000000000004</v>
      </c>
      <c r="N623">
        <v>1.677</v>
      </c>
      <c r="O623">
        <v>135</v>
      </c>
      <c r="P623">
        <v>0.66</v>
      </c>
      <c r="Q623">
        <v>0.23499999999999999</v>
      </c>
      <c r="R623" t="s">
        <v>84</v>
      </c>
      <c r="S623" t="s">
        <v>4025</v>
      </c>
      <c r="T623" t="b">
        <v>1</v>
      </c>
      <c r="U623" t="s">
        <v>4026</v>
      </c>
      <c r="V623" t="s">
        <v>4027</v>
      </c>
      <c r="W623" t="s">
        <v>4028</v>
      </c>
      <c r="X623" t="s">
        <v>47</v>
      </c>
      <c r="AA623" t="s">
        <v>3413</v>
      </c>
      <c r="AC623" t="s">
        <v>63</v>
      </c>
      <c r="AD623" t="b">
        <v>0</v>
      </c>
      <c r="AF623">
        <v>3</v>
      </c>
      <c r="AG623" t="s">
        <v>332</v>
      </c>
    </row>
    <row r="624" spans="1:33" x14ac:dyDescent="0.2">
      <c r="A624">
        <v>1989</v>
      </c>
      <c r="B624" t="s">
        <v>4029</v>
      </c>
      <c r="C624" t="s">
        <v>34</v>
      </c>
      <c r="D624" t="s">
        <v>35</v>
      </c>
      <c r="E624" t="s">
        <v>4030</v>
      </c>
      <c r="F624" t="s">
        <v>4031</v>
      </c>
      <c r="G624" t="s">
        <v>213</v>
      </c>
      <c r="H624" t="s">
        <v>83</v>
      </c>
      <c r="I624" t="s">
        <v>214</v>
      </c>
      <c r="J624" t="s">
        <v>215</v>
      </c>
      <c r="K624">
        <v>2014</v>
      </c>
      <c r="L624">
        <v>2014</v>
      </c>
      <c r="M624">
        <v>3.6999999999999998E-2</v>
      </c>
      <c r="N624">
        <v>2.8000000000000001E-2</v>
      </c>
      <c r="O624">
        <v>70</v>
      </c>
      <c r="P624">
        <v>6.5000000000000002E-2</v>
      </c>
      <c r="Q624">
        <v>0.158</v>
      </c>
      <c r="R624" t="s">
        <v>84</v>
      </c>
      <c r="S624" t="s">
        <v>4032</v>
      </c>
      <c r="T624" t="b">
        <v>1</v>
      </c>
      <c r="U624" t="s">
        <v>4033</v>
      </c>
      <c r="V624" t="s">
        <v>4034</v>
      </c>
      <c r="W624" t="s">
        <v>4035</v>
      </c>
      <c r="X624" t="s">
        <v>47</v>
      </c>
      <c r="AA624" t="s">
        <v>4036</v>
      </c>
      <c r="AC624" t="s">
        <v>4037</v>
      </c>
      <c r="AD624" t="b">
        <v>0</v>
      </c>
      <c r="AF624">
        <v>5</v>
      </c>
      <c r="AG624" t="s">
        <v>89</v>
      </c>
    </row>
    <row r="625" spans="1:33" x14ac:dyDescent="0.2">
      <c r="A625">
        <v>2080</v>
      </c>
      <c r="B625" t="s">
        <v>4038</v>
      </c>
      <c r="C625" t="s">
        <v>34</v>
      </c>
      <c r="D625" t="s">
        <v>35</v>
      </c>
      <c r="E625" t="s">
        <v>4039</v>
      </c>
      <c r="F625" t="s">
        <v>4040</v>
      </c>
      <c r="G625" t="s">
        <v>503</v>
      </c>
      <c r="H625" t="s">
        <v>462</v>
      </c>
      <c r="I625" t="s">
        <v>2564</v>
      </c>
      <c r="J625" t="s">
        <v>262</v>
      </c>
      <c r="K625">
        <v>2022</v>
      </c>
      <c r="L625">
        <v>2022</v>
      </c>
      <c r="M625">
        <v>5.96</v>
      </c>
      <c r="N625">
        <v>19.541</v>
      </c>
      <c r="O625">
        <v>256</v>
      </c>
      <c r="P625">
        <v>2.7</v>
      </c>
      <c r="Q625">
        <v>0.61299999999999999</v>
      </c>
      <c r="R625" t="s">
        <v>84</v>
      </c>
      <c r="S625" t="s">
        <v>4041</v>
      </c>
      <c r="T625" t="b">
        <v>1</v>
      </c>
      <c r="U625" t="s">
        <v>4042</v>
      </c>
      <c r="V625" t="s">
        <v>4043</v>
      </c>
      <c r="W625" t="s">
        <v>4044</v>
      </c>
      <c r="X625" t="s">
        <v>47</v>
      </c>
      <c r="AA625" t="s">
        <v>583</v>
      </c>
      <c r="AC625" t="s">
        <v>585</v>
      </c>
      <c r="AD625" t="b">
        <v>0</v>
      </c>
      <c r="AF625">
        <v>3</v>
      </c>
      <c r="AG625" t="s">
        <v>332</v>
      </c>
    </row>
    <row r="626" spans="1:33" x14ac:dyDescent="0.2">
      <c r="A626">
        <v>1319</v>
      </c>
      <c r="B626" t="s">
        <v>4045</v>
      </c>
      <c r="C626" t="s">
        <v>34</v>
      </c>
      <c r="D626" t="s">
        <v>35</v>
      </c>
      <c r="E626" t="s">
        <v>4046</v>
      </c>
      <c r="F626" t="s">
        <v>4047</v>
      </c>
      <c r="G626" t="s">
        <v>53</v>
      </c>
      <c r="H626" t="s">
        <v>54</v>
      </c>
      <c r="I626" t="s">
        <v>147</v>
      </c>
      <c r="J626" t="s">
        <v>148</v>
      </c>
      <c r="K626">
        <v>2003</v>
      </c>
      <c r="L626">
        <v>2003</v>
      </c>
      <c r="M626">
        <v>1.33</v>
      </c>
      <c r="N626">
        <v>4.7939999999999996</v>
      </c>
      <c r="O626">
        <v>86</v>
      </c>
      <c r="P626">
        <v>2.0499999999999998</v>
      </c>
      <c r="Q626">
        <v>0.18</v>
      </c>
      <c r="R626" t="s">
        <v>72</v>
      </c>
      <c r="S626" t="s">
        <v>4048</v>
      </c>
      <c r="T626" t="b">
        <v>1</v>
      </c>
      <c r="U626" t="s">
        <v>2246</v>
      </c>
      <c r="V626" t="s">
        <v>4049</v>
      </c>
      <c r="W626" t="s">
        <v>4050</v>
      </c>
      <c r="X626" t="s">
        <v>47</v>
      </c>
      <c r="AA626" t="s">
        <v>4051</v>
      </c>
      <c r="AC626" t="s">
        <v>63</v>
      </c>
      <c r="AD626" t="b">
        <v>0</v>
      </c>
      <c r="AF626">
        <v>13</v>
      </c>
      <c r="AG626" t="s">
        <v>155</v>
      </c>
    </row>
    <row r="627" spans="1:33" x14ac:dyDescent="0.2">
      <c r="A627">
        <v>167</v>
      </c>
      <c r="B627" t="s">
        <v>4052</v>
      </c>
      <c r="C627" t="s">
        <v>34</v>
      </c>
      <c r="D627" t="s">
        <v>35</v>
      </c>
      <c r="E627" t="s">
        <v>36</v>
      </c>
      <c r="F627" t="s">
        <v>37</v>
      </c>
      <c r="G627" t="s">
        <v>213</v>
      </c>
      <c r="H627" t="s">
        <v>83</v>
      </c>
      <c r="I627" t="s">
        <v>635</v>
      </c>
      <c r="J627" t="s">
        <v>94</v>
      </c>
      <c r="K627">
        <v>1980</v>
      </c>
      <c r="L627">
        <v>1980</v>
      </c>
      <c r="M627">
        <v>160</v>
      </c>
      <c r="N627">
        <v>623.82600000000002</v>
      </c>
      <c r="O627">
        <v>68</v>
      </c>
      <c r="P627">
        <v>269.35000000000002</v>
      </c>
      <c r="Q627">
        <v>0.16500000000000001</v>
      </c>
      <c r="R627" t="s">
        <v>84</v>
      </c>
      <c r="S627" t="s">
        <v>4053</v>
      </c>
      <c r="T627" t="b">
        <v>1</v>
      </c>
      <c r="U627" t="s">
        <v>4054</v>
      </c>
      <c r="V627" t="s">
        <v>3731</v>
      </c>
      <c r="W627" t="s">
        <v>4055</v>
      </c>
      <c r="X627" t="s">
        <v>47</v>
      </c>
      <c r="AA627" t="s">
        <v>958</v>
      </c>
      <c r="AB627" t="s">
        <v>83</v>
      </c>
      <c r="AC627" t="s">
        <v>959</v>
      </c>
      <c r="AD627" t="b">
        <v>0</v>
      </c>
      <c r="AF627">
        <v>3</v>
      </c>
      <c r="AG627" t="s">
        <v>332</v>
      </c>
    </row>
    <row r="628" spans="1:33" x14ac:dyDescent="0.2">
      <c r="A628">
        <v>168</v>
      </c>
      <c r="B628" t="s">
        <v>4056</v>
      </c>
      <c r="C628" t="s">
        <v>34</v>
      </c>
      <c r="D628" t="s">
        <v>35</v>
      </c>
      <c r="E628" t="s">
        <v>277</v>
      </c>
      <c r="F628" t="s">
        <v>278</v>
      </c>
      <c r="G628" t="s">
        <v>93</v>
      </c>
      <c r="H628" t="s">
        <v>94</v>
      </c>
      <c r="I628" t="s">
        <v>4057</v>
      </c>
      <c r="J628" t="s">
        <v>1975</v>
      </c>
      <c r="K628">
        <v>1945</v>
      </c>
      <c r="L628">
        <v>1986</v>
      </c>
      <c r="M628">
        <v>2.9</v>
      </c>
      <c r="N628">
        <v>11.632</v>
      </c>
      <c r="O628">
        <v>320</v>
      </c>
      <c r="P628">
        <v>1.1200000000000001</v>
      </c>
      <c r="Q628">
        <v>0.73099999999999998</v>
      </c>
      <c r="R628" t="s">
        <v>97</v>
      </c>
      <c r="S628" t="s">
        <v>4058</v>
      </c>
      <c r="T628" t="b">
        <v>1</v>
      </c>
      <c r="U628" t="s">
        <v>4059</v>
      </c>
      <c r="V628" t="s">
        <v>389</v>
      </c>
      <c r="W628" t="s">
        <v>4060</v>
      </c>
      <c r="X628" t="s">
        <v>47</v>
      </c>
      <c r="AA628" t="s">
        <v>4061</v>
      </c>
      <c r="AB628" t="s">
        <v>401</v>
      </c>
      <c r="AC628" t="s">
        <v>4062</v>
      </c>
      <c r="AD628" t="b">
        <v>0</v>
      </c>
      <c r="AF628">
        <v>1</v>
      </c>
      <c r="AG628" t="s">
        <v>104</v>
      </c>
    </row>
    <row r="629" spans="1:33" x14ac:dyDescent="0.2">
      <c r="A629">
        <v>1696</v>
      </c>
      <c r="B629" t="s">
        <v>4063</v>
      </c>
      <c r="C629" t="s">
        <v>34</v>
      </c>
      <c r="D629" t="s">
        <v>35</v>
      </c>
      <c r="E629" t="s">
        <v>4064</v>
      </c>
      <c r="F629" t="s">
        <v>4065</v>
      </c>
      <c r="G629" t="s">
        <v>242</v>
      </c>
      <c r="H629" t="s">
        <v>243</v>
      </c>
      <c r="I629" t="s">
        <v>2348</v>
      </c>
      <c r="J629" t="s">
        <v>225</v>
      </c>
      <c r="K629">
        <v>2013</v>
      </c>
      <c r="L629">
        <v>2013</v>
      </c>
      <c r="M629">
        <v>4.53</v>
      </c>
      <c r="N629">
        <v>10.007999999999999</v>
      </c>
      <c r="O629">
        <v>135.69999999999999</v>
      </c>
      <c r="P629">
        <v>4</v>
      </c>
      <c r="Q629">
        <v>0.315</v>
      </c>
      <c r="R629" t="s">
        <v>72</v>
      </c>
      <c r="S629" t="s">
        <v>4066</v>
      </c>
      <c r="T629" t="b">
        <v>1</v>
      </c>
      <c r="U629" t="s">
        <v>4067</v>
      </c>
      <c r="V629" t="s">
        <v>4068</v>
      </c>
      <c r="W629" t="s">
        <v>4069</v>
      </c>
      <c r="X629" t="s">
        <v>47</v>
      </c>
      <c r="AA629" t="s">
        <v>982</v>
      </c>
      <c r="AB629" t="s">
        <v>262</v>
      </c>
      <c r="AC629" t="s">
        <v>983</v>
      </c>
      <c r="AD629" t="b">
        <v>0</v>
      </c>
      <c r="AF629">
        <v>9</v>
      </c>
      <c r="AG629" t="s">
        <v>251</v>
      </c>
    </row>
    <row r="630" spans="1:33" x14ac:dyDescent="0.2">
      <c r="A630">
        <v>169</v>
      </c>
      <c r="B630" t="s">
        <v>4070</v>
      </c>
      <c r="C630" t="s">
        <v>34</v>
      </c>
      <c r="D630" t="s">
        <v>35</v>
      </c>
      <c r="E630" t="s">
        <v>404</v>
      </c>
      <c r="F630" t="s">
        <v>405</v>
      </c>
      <c r="G630" t="s">
        <v>503</v>
      </c>
      <c r="H630" t="s">
        <v>462</v>
      </c>
      <c r="I630" t="s">
        <v>564</v>
      </c>
      <c r="J630" t="s">
        <v>515</v>
      </c>
      <c r="K630">
        <v>1919</v>
      </c>
      <c r="L630">
        <v>1960</v>
      </c>
      <c r="M630">
        <v>26.5</v>
      </c>
      <c r="N630">
        <v>177.75899999999999</v>
      </c>
      <c r="O630">
        <v>64.06</v>
      </c>
      <c r="P630">
        <v>47</v>
      </c>
      <c r="Q630">
        <v>0.14799999999999999</v>
      </c>
      <c r="R630" t="s">
        <v>84</v>
      </c>
      <c r="S630" t="s">
        <v>4071</v>
      </c>
      <c r="T630" t="b">
        <v>1</v>
      </c>
      <c r="U630" t="s">
        <v>1828</v>
      </c>
      <c r="V630" t="s">
        <v>408</v>
      </c>
      <c r="W630" t="s">
        <v>4072</v>
      </c>
      <c r="X630" t="s">
        <v>47</v>
      </c>
      <c r="AA630" t="s">
        <v>509</v>
      </c>
      <c r="AB630" t="s">
        <v>83</v>
      </c>
      <c r="AC630" t="s">
        <v>510</v>
      </c>
      <c r="AD630" t="b">
        <v>0</v>
      </c>
      <c r="AF630">
        <v>3</v>
      </c>
      <c r="AG630" t="s">
        <v>332</v>
      </c>
    </row>
    <row r="631" spans="1:33" x14ac:dyDescent="0.2">
      <c r="A631">
        <v>621</v>
      </c>
      <c r="B631" t="s">
        <v>4073</v>
      </c>
      <c r="C631" t="s">
        <v>34</v>
      </c>
      <c r="D631" t="s">
        <v>35</v>
      </c>
      <c r="E631" t="s">
        <v>1055</v>
      </c>
      <c r="F631" t="s">
        <v>1056</v>
      </c>
      <c r="G631" t="s">
        <v>93</v>
      </c>
      <c r="H631" t="s">
        <v>94</v>
      </c>
      <c r="I631" t="s">
        <v>1057</v>
      </c>
      <c r="J631" t="s">
        <v>836</v>
      </c>
      <c r="K631">
        <v>1989</v>
      </c>
      <c r="L631">
        <v>1989</v>
      </c>
      <c r="M631">
        <v>1.1000000000000001</v>
      </c>
      <c r="N631">
        <v>4.41</v>
      </c>
      <c r="O631">
        <v>38.5</v>
      </c>
      <c r="P631">
        <v>3.4</v>
      </c>
      <c r="Q631">
        <v>0.09</v>
      </c>
      <c r="R631" t="s">
        <v>97</v>
      </c>
      <c r="S631" t="s">
        <v>4074</v>
      </c>
      <c r="T631" t="b">
        <v>1</v>
      </c>
      <c r="U631" t="s">
        <v>4075</v>
      </c>
      <c r="V631" t="s">
        <v>1060</v>
      </c>
      <c r="W631" t="s">
        <v>113</v>
      </c>
      <c r="X631" t="s">
        <v>47</v>
      </c>
      <c r="AA631" t="s">
        <v>340</v>
      </c>
      <c r="AB631" t="s">
        <v>1653</v>
      </c>
      <c r="AC631" t="s">
        <v>1063</v>
      </c>
      <c r="AD631" t="b">
        <v>0</v>
      </c>
      <c r="AF631">
        <v>1</v>
      </c>
      <c r="AG631" t="s">
        <v>104</v>
      </c>
    </row>
    <row r="632" spans="1:33" x14ac:dyDescent="0.2">
      <c r="A632">
        <v>2058</v>
      </c>
      <c r="B632" t="s">
        <v>4076</v>
      </c>
      <c r="C632" t="s">
        <v>34</v>
      </c>
      <c r="D632" t="s">
        <v>35</v>
      </c>
      <c r="G632" t="s">
        <v>93</v>
      </c>
      <c r="H632" t="s">
        <v>94</v>
      </c>
      <c r="I632" t="s">
        <v>353</v>
      </c>
      <c r="J632" t="s">
        <v>354</v>
      </c>
      <c r="K632">
        <v>1916</v>
      </c>
      <c r="L632">
        <v>1916</v>
      </c>
      <c r="M632">
        <v>9.9000000000000005E-2</v>
      </c>
      <c r="N632">
        <v>0.317</v>
      </c>
      <c r="R632" t="s">
        <v>97</v>
      </c>
      <c r="S632" t="s">
        <v>4077</v>
      </c>
      <c r="T632" t="b">
        <v>1</v>
      </c>
      <c r="U632" t="s">
        <v>4078</v>
      </c>
      <c r="V632" t="s">
        <v>60</v>
      </c>
      <c r="W632" t="s">
        <v>113</v>
      </c>
      <c r="X632" t="s">
        <v>47</v>
      </c>
      <c r="AA632" t="s">
        <v>102</v>
      </c>
      <c r="AC632" t="s">
        <v>103</v>
      </c>
      <c r="AD632" t="b">
        <v>0</v>
      </c>
      <c r="AF632">
        <v>1</v>
      </c>
      <c r="AG632" t="s">
        <v>104</v>
      </c>
    </row>
    <row r="633" spans="1:33" x14ac:dyDescent="0.2">
      <c r="A633">
        <v>1721</v>
      </c>
      <c r="B633" t="s">
        <v>4079</v>
      </c>
      <c r="C633" t="s">
        <v>34</v>
      </c>
      <c r="D633" t="s">
        <v>35</v>
      </c>
      <c r="E633" t="s">
        <v>168</v>
      </c>
      <c r="F633" t="s">
        <v>169</v>
      </c>
      <c r="G633" t="s">
        <v>93</v>
      </c>
      <c r="H633" t="s">
        <v>94</v>
      </c>
      <c r="I633" t="s">
        <v>353</v>
      </c>
      <c r="J633" t="s">
        <v>354</v>
      </c>
      <c r="K633">
        <v>2013</v>
      </c>
      <c r="L633">
        <v>2013</v>
      </c>
      <c r="M633">
        <v>0.88</v>
      </c>
      <c r="N633">
        <v>3.3140000000000001</v>
      </c>
      <c r="O633">
        <v>44.25</v>
      </c>
      <c r="P633">
        <v>2.25</v>
      </c>
      <c r="Q633">
        <v>0.109</v>
      </c>
      <c r="R633" t="s">
        <v>97</v>
      </c>
      <c r="S633" t="s">
        <v>4080</v>
      </c>
      <c r="T633" t="b">
        <v>1</v>
      </c>
      <c r="U633" t="s">
        <v>4081</v>
      </c>
      <c r="V633" t="s">
        <v>174</v>
      </c>
      <c r="W633" t="s">
        <v>4082</v>
      </c>
      <c r="X633" t="s">
        <v>47</v>
      </c>
      <c r="AA633" t="s">
        <v>102</v>
      </c>
      <c r="AC633" t="s">
        <v>103</v>
      </c>
      <c r="AD633" t="b">
        <v>0</v>
      </c>
      <c r="AF633">
        <v>1</v>
      </c>
      <c r="AG633" t="s">
        <v>104</v>
      </c>
    </row>
    <row r="634" spans="1:33" x14ac:dyDescent="0.2">
      <c r="A634">
        <v>170</v>
      </c>
      <c r="B634" t="s">
        <v>4083</v>
      </c>
      <c r="C634" t="s">
        <v>34</v>
      </c>
      <c r="D634" t="s">
        <v>35</v>
      </c>
      <c r="E634" t="s">
        <v>91</v>
      </c>
      <c r="F634" t="s">
        <v>92</v>
      </c>
      <c r="G634" t="s">
        <v>224</v>
      </c>
      <c r="H634" t="s">
        <v>225</v>
      </c>
      <c r="I634" t="s">
        <v>4084</v>
      </c>
      <c r="J634" t="s">
        <v>94</v>
      </c>
      <c r="K634">
        <v>1980</v>
      </c>
      <c r="L634">
        <v>1980</v>
      </c>
      <c r="M634">
        <v>2</v>
      </c>
      <c r="N634">
        <v>8.4930000000000003</v>
      </c>
      <c r="O634">
        <v>67</v>
      </c>
      <c r="P634">
        <v>3.6</v>
      </c>
      <c r="Q634">
        <v>0.153</v>
      </c>
      <c r="R634" t="s">
        <v>97</v>
      </c>
      <c r="S634" t="s">
        <v>4085</v>
      </c>
      <c r="T634" t="b">
        <v>1</v>
      </c>
      <c r="U634" t="s">
        <v>2086</v>
      </c>
      <c r="V634" t="s">
        <v>100</v>
      </c>
      <c r="W634" t="s">
        <v>4086</v>
      </c>
      <c r="X634" t="s">
        <v>47</v>
      </c>
      <c r="AA634" t="s">
        <v>1548</v>
      </c>
      <c r="AB634" t="s">
        <v>313</v>
      </c>
      <c r="AC634" t="s">
        <v>1549</v>
      </c>
      <c r="AD634" t="b">
        <v>0</v>
      </c>
      <c r="AF634">
        <v>1</v>
      </c>
      <c r="AG634" t="s">
        <v>104</v>
      </c>
    </row>
    <row r="635" spans="1:33" x14ac:dyDescent="0.2">
      <c r="A635">
        <v>171</v>
      </c>
      <c r="B635" t="s">
        <v>4087</v>
      </c>
      <c r="C635" t="s">
        <v>34</v>
      </c>
      <c r="D635" t="s">
        <v>35</v>
      </c>
      <c r="E635" t="s">
        <v>4088</v>
      </c>
      <c r="F635" t="s">
        <v>4089</v>
      </c>
      <c r="G635" t="s">
        <v>224</v>
      </c>
      <c r="H635" t="s">
        <v>225</v>
      </c>
      <c r="I635" t="s">
        <v>226</v>
      </c>
      <c r="J635" t="s">
        <v>227</v>
      </c>
      <c r="K635">
        <v>1920</v>
      </c>
      <c r="L635">
        <v>1920</v>
      </c>
      <c r="M635">
        <v>29.4</v>
      </c>
      <c r="N635">
        <v>124.057</v>
      </c>
      <c r="O635">
        <v>21.5</v>
      </c>
      <c r="P635">
        <v>160</v>
      </c>
      <c r="Q635">
        <v>5.0999999999999997E-2</v>
      </c>
      <c r="R635" t="s">
        <v>97</v>
      </c>
      <c r="S635" t="s">
        <v>4090</v>
      </c>
      <c r="T635" t="b">
        <v>1</v>
      </c>
      <c r="U635" t="s">
        <v>4091</v>
      </c>
      <c r="V635" t="s">
        <v>4092</v>
      </c>
      <c r="W635" t="s">
        <v>113</v>
      </c>
      <c r="X635" t="s">
        <v>47</v>
      </c>
      <c r="AA635" t="s">
        <v>102</v>
      </c>
      <c r="AB635" t="s">
        <v>1975</v>
      </c>
      <c r="AC635" t="s">
        <v>103</v>
      </c>
      <c r="AD635" t="b">
        <v>0</v>
      </c>
      <c r="AF635">
        <v>1</v>
      </c>
      <c r="AG635" t="s">
        <v>104</v>
      </c>
    </row>
    <row r="636" spans="1:33" x14ac:dyDescent="0.2">
      <c r="A636">
        <v>175</v>
      </c>
      <c r="B636" t="s">
        <v>4093</v>
      </c>
      <c r="C636" t="s">
        <v>34</v>
      </c>
      <c r="D636" t="s">
        <v>35</v>
      </c>
      <c r="E636" t="s">
        <v>36</v>
      </c>
      <c r="F636" t="s">
        <v>37</v>
      </c>
      <c r="G636" t="s">
        <v>53</v>
      </c>
      <c r="H636" t="s">
        <v>54</v>
      </c>
      <c r="I636" t="s">
        <v>604</v>
      </c>
      <c r="J636" t="s">
        <v>426</v>
      </c>
      <c r="K636">
        <v>1965</v>
      </c>
      <c r="L636">
        <v>1965</v>
      </c>
      <c r="M636">
        <v>93</v>
      </c>
      <c r="N636">
        <v>657.29100000000005</v>
      </c>
      <c r="O636">
        <v>574</v>
      </c>
      <c r="P636">
        <v>19.399999999999999</v>
      </c>
      <c r="Q636">
        <v>1.2889999999999999</v>
      </c>
      <c r="R636" t="s">
        <v>72</v>
      </c>
      <c r="S636" t="s">
        <v>4094</v>
      </c>
      <c r="T636" t="b">
        <v>1</v>
      </c>
      <c r="U636" t="s">
        <v>4095</v>
      </c>
      <c r="V636" t="s">
        <v>45</v>
      </c>
      <c r="W636" t="s">
        <v>4096</v>
      </c>
      <c r="X636" t="s">
        <v>47</v>
      </c>
      <c r="AA636" t="s">
        <v>4097</v>
      </c>
      <c r="AB636" t="s">
        <v>308</v>
      </c>
      <c r="AC636" t="s">
        <v>1925</v>
      </c>
      <c r="AD636" t="b">
        <v>0</v>
      </c>
      <c r="AF636">
        <v>13</v>
      </c>
      <c r="AG636" t="s">
        <v>155</v>
      </c>
    </row>
    <row r="637" spans="1:33" x14ac:dyDescent="0.2">
      <c r="A637">
        <v>176</v>
      </c>
      <c r="B637" t="s">
        <v>4098</v>
      </c>
      <c r="C637" t="s">
        <v>34</v>
      </c>
      <c r="D637" t="s">
        <v>35</v>
      </c>
      <c r="E637" t="s">
        <v>36</v>
      </c>
      <c r="F637" t="s">
        <v>37</v>
      </c>
      <c r="G637" t="s">
        <v>53</v>
      </c>
      <c r="H637" t="s">
        <v>54</v>
      </c>
      <c r="I637" t="s">
        <v>604</v>
      </c>
      <c r="J637" t="s">
        <v>426</v>
      </c>
      <c r="K637">
        <v>1978</v>
      </c>
      <c r="L637">
        <v>1978</v>
      </c>
      <c r="M637">
        <v>16.399999999999999</v>
      </c>
      <c r="N637">
        <v>107.84399999999999</v>
      </c>
      <c r="O637">
        <v>729</v>
      </c>
      <c r="P637">
        <v>2.7</v>
      </c>
      <c r="Q637">
        <v>1.6870000000000001</v>
      </c>
      <c r="R637" t="s">
        <v>72</v>
      </c>
      <c r="S637" t="s">
        <v>4099</v>
      </c>
      <c r="T637" t="b">
        <v>1</v>
      </c>
      <c r="U637" t="s">
        <v>1529</v>
      </c>
      <c r="V637" t="s">
        <v>45</v>
      </c>
      <c r="W637" t="s">
        <v>4100</v>
      </c>
      <c r="X637" t="s">
        <v>47</v>
      </c>
      <c r="AA637" t="s">
        <v>4097</v>
      </c>
      <c r="AB637" t="s">
        <v>192</v>
      </c>
      <c r="AC637" t="s">
        <v>4101</v>
      </c>
      <c r="AD637" t="b">
        <v>0</v>
      </c>
      <c r="AF637">
        <v>13</v>
      </c>
      <c r="AG637" t="s">
        <v>155</v>
      </c>
    </row>
    <row r="638" spans="1:33" x14ac:dyDescent="0.2">
      <c r="A638">
        <v>930</v>
      </c>
      <c r="B638" t="s">
        <v>4102</v>
      </c>
      <c r="C638" t="s">
        <v>34</v>
      </c>
      <c r="D638" t="s">
        <v>35</v>
      </c>
      <c r="E638" t="s">
        <v>4103</v>
      </c>
      <c r="F638" t="s">
        <v>4104</v>
      </c>
      <c r="G638" t="s">
        <v>68</v>
      </c>
      <c r="H638" t="s">
        <v>69</v>
      </c>
      <c r="I638" t="s">
        <v>1458</v>
      </c>
      <c r="J638" t="s">
        <v>1459</v>
      </c>
      <c r="K638">
        <v>1998</v>
      </c>
      <c r="L638">
        <v>1998</v>
      </c>
      <c r="M638">
        <v>1.1000000000000001</v>
      </c>
      <c r="N638">
        <v>5.6429999999999998</v>
      </c>
      <c r="O638">
        <v>145</v>
      </c>
      <c r="P638">
        <v>1</v>
      </c>
      <c r="Q638">
        <v>0.30599999999999999</v>
      </c>
      <c r="R638" t="s">
        <v>72</v>
      </c>
      <c r="S638" t="s">
        <v>4105</v>
      </c>
      <c r="T638" t="b">
        <v>1</v>
      </c>
      <c r="U638" t="s">
        <v>455</v>
      </c>
      <c r="V638" t="s">
        <v>4106</v>
      </c>
      <c r="W638" t="s">
        <v>113</v>
      </c>
      <c r="X638" t="s">
        <v>47</v>
      </c>
      <c r="AA638" t="s">
        <v>479</v>
      </c>
      <c r="AC638" t="s">
        <v>63</v>
      </c>
      <c r="AD638" t="b">
        <v>0</v>
      </c>
      <c r="AF638">
        <v>8</v>
      </c>
      <c r="AG638" t="s">
        <v>78</v>
      </c>
    </row>
    <row r="639" spans="1:33" x14ac:dyDescent="0.2">
      <c r="A639">
        <v>177</v>
      </c>
      <c r="B639" t="s">
        <v>4107</v>
      </c>
      <c r="C639" t="s">
        <v>34</v>
      </c>
      <c r="D639" t="s">
        <v>35</v>
      </c>
      <c r="E639" t="s">
        <v>404</v>
      </c>
      <c r="F639" t="s">
        <v>405</v>
      </c>
      <c r="G639" t="s">
        <v>312</v>
      </c>
      <c r="H639" t="s">
        <v>313</v>
      </c>
      <c r="I639" t="s">
        <v>493</v>
      </c>
      <c r="J639" t="s">
        <v>409</v>
      </c>
      <c r="K639">
        <v>1948</v>
      </c>
      <c r="L639">
        <v>1948</v>
      </c>
      <c r="M639">
        <v>6.6</v>
      </c>
      <c r="N639">
        <v>31.14</v>
      </c>
      <c r="O639">
        <v>53</v>
      </c>
      <c r="P639">
        <v>14.25</v>
      </c>
      <c r="Q639">
        <v>0.129</v>
      </c>
      <c r="R639" t="s">
        <v>84</v>
      </c>
      <c r="S639" t="s">
        <v>4108</v>
      </c>
      <c r="T639" t="b">
        <v>1</v>
      </c>
      <c r="U639" t="s">
        <v>4109</v>
      </c>
      <c r="V639" t="s">
        <v>408</v>
      </c>
      <c r="W639" t="s">
        <v>4110</v>
      </c>
      <c r="X639" t="s">
        <v>47</v>
      </c>
      <c r="AA639" t="s">
        <v>2573</v>
      </c>
      <c r="AB639" t="s">
        <v>177</v>
      </c>
      <c r="AC639" t="s">
        <v>2574</v>
      </c>
      <c r="AD639" t="b">
        <v>0</v>
      </c>
      <c r="AF639">
        <v>4</v>
      </c>
      <c r="AG639" t="s">
        <v>321</v>
      </c>
    </row>
    <row r="640" spans="1:33" x14ac:dyDescent="0.2">
      <c r="A640">
        <v>178</v>
      </c>
      <c r="B640" t="s">
        <v>4111</v>
      </c>
      <c r="C640" t="s">
        <v>34</v>
      </c>
      <c r="D640" t="s">
        <v>35</v>
      </c>
      <c r="E640" t="s">
        <v>4112</v>
      </c>
      <c r="F640" t="s">
        <v>4113</v>
      </c>
      <c r="G640" t="s">
        <v>242</v>
      </c>
      <c r="H640" t="s">
        <v>243</v>
      </c>
      <c r="I640" t="s">
        <v>1439</v>
      </c>
      <c r="J640" t="s">
        <v>171</v>
      </c>
      <c r="K640">
        <v>1966</v>
      </c>
      <c r="L640">
        <v>1966</v>
      </c>
      <c r="M640">
        <v>30</v>
      </c>
      <c r="N640">
        <v>139.71299999999999</v>
      </c>
      <c r="O640">
        <v>215</v>
      </c>
      <c r="P640">
        <v>18</v>
      </c>
      <c r="Q640">
        <v>0.46300000000000002</v>
      </c>
      <c r="R640" t="s">
        <v>72</v>
      </c>
      <c r="S640" t="s">
        <v>4114</v>
      </c>
      <c r="T640" t="b">
        <v>1</v>
      </c>
      <c r="U640" t="s">
        <v>4115</v>
      </c>
      <c r="V640" t="s">
        <v>4116</v>
      </c>
      <c r="W640" t="s">
        <v>4117</v>
      </c>
      <c r="X640" t="s">
        <v>47</v>
      </c>
      <c r="AA640" t="s">
        <v>1276</v>
      </c>
      <c r="AB640" t="s">
        <v>612</v>
      </c>
      <c r="AC640" t="s">
        <v>1277</v>
      </c>
      <c r="AD640" t="b">
        <v>0</v>
      </c>
      <c r="AF640">
        <v>8</v>
      </c>
      <c r="AG640" t="s">
        <v>78</v>
      </c>
    </row>
    <row r="641" spans="1:33" x14ac:dyDescent="0.2">
      <c r="A641">
        <v>2060</v>
      </c>
      <c r="B641" t="s">
        <v>4118</v>
      </c>
      <c r="C641" t="s">
        <v>34</v>
      </c>
      <c r="D641" t="s">
        <v>35</v>
      </c>
      <c r="E641" t="s">
        <v>4119</v>
      </c>
      <c r="F641" t="s">
        <v>4120</v>
      </c>
      <c r="G641" t="s">
        <v>53</v>
      </c>
      <c r="H641" t="s">
        <v>54</v>
      </c>
      <c r="I641" t="s">
        <v>82</v>
      </c>
      <c r="J641" t="s">
        <v>83</v>
      </c>
      <c r="K641">
        <v>2022</v>
      </c>
      <c r="L641">
        <v>2022</v>
      </c>
      <c r="M641">
        <v>8.49</v>
      </c>
      <c r="N641">
        <v>34.805</v>
      </c>
      <c r="O641">
        <v>61.7</v>
      </c>
      <c r="P641">
        <v>17.600000000000001</v>
      </c>
      <c r="Q641">
        <v>0.13400000000000001</v>
      </c>
      <c r="R641" t="s">
        <v>84</v>
      </c>
      <c r="S641" t="s">
        <v>4121</v>
      </c>
      <c r="T641" t="b">
        <v>1</v>
      </c>
      <c r="U641" t="s">
        <v>4122</v>
      </c>
      <c r="V641" t="s">
        <v>4123</v>
      </c>
      <c r="W641" t="s">
        <v>4124</v>
      </c>
      <c r="X641" t="s">
        <v>47</v>
      </c>
      <c r="AA641" t="s">
        <v>554</v>
      </c>
      <c r="AB641" t="s">
        <v>49</v>
      </c>
      <c r="AC641" t="s">
        <v>555</v>
      </c>
      <c r="AD641" t="b">
        <v>0</v>
      </c>
      <c r="AF641">
        <v>5</v>
      </c>
      <c r="AG641" t="s">
        <v>89</v>
      </c>
    </row>
    <row r="642" spans="1:33" x14ac:dyDescent="0.2">
      <c r="A642">
        <v>1321</v>
      </c>
      <c r="B642" t="s">
        <v>4125</v>
      </c>
      <c r="C642" t="s">
        <v>34</v>
      </c>
      <c r="D642" t="s">
        <v>35</v>
      </c>
      <c r="E642" t="s">
        <v>4126</v>
      </c>
      <c r="F642" t="s">
        <v>4127</v>
      </c>
      <c r="G642" t="s">
        <v>53</v>
      </c>
      <c r="H642" t="s">
        <v>54</v>
      </c>
      <c r="I642" t="s">
        <v>1165</v>
      </c>
      <c r="J642" t="s">
        <v>1166</v>
      </c>
      <c r="K642">
        <v>2007</v>
      </c>
      <c r="L642">
        <v>2007</v>
      </c>
      <c r="M642">
        <v>0.1</v>
      </c>
      <c r="N642">
        <v>0.161</v>
      </c>
      <c r="R642" t="s">
        <v>72</v>
      </c>
      <c r="S642" t="s">
        <v>4128</v>
      </c>
      <c r="T642" t="b">
        <v>1</v>
      </c>
      <c r="U642" t="s">
        <v>4129</v>
      </c>
      <c r="V642" t="s">
        <v>4130</v>
      </c>
      <c r="W642" t="s">
        <v>4131</v>
      </c>
      <c r="X642" t="s">
        <v>47</v>
      </c>
      <c r="AA642" t="s">
        <v>479</v>
      </c>
      <c r="AC642" t="s">
        <v>63</v>
      </c>
      <c r="AD642" t="b">
        <v>0</v>
      </c>
      <c r="AF642">
        <v>13</v>
      </c>
      <c r="AG642" t="s">
        <v>155</v>
      </c>
    </row>
    <row r="643" spans="1:33" x14ac:dyDescent="0.2">
      <c r="A643">
        <v>179</v>
      </c>
      <c r="B643" t="s">
        <v>4132</v>
      </c>
      <c r="C643" t="s">
        <v>34</v>
      </c>
      <c r="D643" t="s">
        <v>35</v>
      </c>
      <c r="E643" t="s">
        <v>2350</v>
      </c>
      <c r="F643" t="s">
        <v>2351</v>
      </c>
      <c r="G643" t="s">
        <v>134</v>
      </c>
      <c r="H643" t="s">
        <v>135</v>
      </c>
      <c r="I643" t="s">
        <v>191</v>
      </c>
      <c r="J643" t="s">
        <v>192</v>
      </c>
      <c r="K643">
        <v>1954</v>
      </c>
      <c r="L643">
        <v>1954</v>
      </c>
      <c r="M643">
        <v>9.9</v>
      </c>
      <c r="N643">
        <v>41.137999999999998</v>
      </c>
      <c r="O643">
        <v>217.77</v>
      </c>
      <c r="P643">
        <v>5.5</v>
      </c>
      <c r="Q643">
        <v>0.5</v>
      </c>
      <c r="R643" t="s">
        <v>42</v>
      </c>
      <c r="S643" t="s">
        <v>4133</v>
      </c>
      <c r="T643" t="b">
        <v>1</v>
      </c>
      <c r="U643" t="s">
        <v>4134</v>
      </c>
      <c r="V643" t="s">
        <v>2355</v>
      </c>
      <c r="W643" t="s">
        <v>4135</v>
      </c>
      <c r="X643" t="s">
        <v>47</v>
      </c>
      <c r="AA643" t="s">
        <v>4136</v>
      </c>
      <c r="AB643" t="s">
        <v>49</v>
      </c>
      <c r="AC643" t="s">
        <v>4137</v>
      </c>
      <c r="AD643" t="b">
        <v>0</v>
      </c>
      <c r="AF643">
        <v>11</v>
      </c>
      <c r="AG643" t="s">
        <v>198</v>
      </c>
    </row>
    <row r="644" spans="1:33" x14ac:dyDescent="0.2">
      <c r="A644">
        <v>180</v>
      </c>
      <c r="B644" t="s">
        <v>4138</v>
      </c>
      <c r="C644" t="s">
        <v>34</v>
      </c>
      <c r="D644" t="s">
        <v>35</v>
      </c>
      <c r="E644" t="s">
        <v>1200</v>
      </c>
      <c r="F644" t="s">
        <v>1201</v>
      </c>
      <c r="G644" t="s">
        <v>53</v>
      </c>
      <c r="H644" t="s">
        <v>54</v>
      </c>
      <c r="I644" t="s">
        <v>1143</v>
      </c>
      <c r="J644" t="s">
        <v>54</v>
      </c>
      <c r="K644">
        <v>1955</v>
      </c>
      <c r="L644">
        <v>1955</v>
      </c>
      <c r="M644">
        <v>4.8499999999999996</v>
      </c>
      <c r="N644">
        <v>17.869</v>
      </c>
      <c r="O644">
        <v>60</v>
      </c>
      <c r="P644">
        <v>10</v>
      </c>
      <c r="Q644">
        <v>0.13500000000000001</v>
      </c>
      <c r="R644" t="s">
        <v>72</v>
      </c>
      <c r="S644" t="s">
        <v>4139</v>
      </c>
      <c r="T644" t="b">
        <v>1</v>
      </c>
      <c r="U644" t="s">
        <v>4140</v>
      </c>
      <c r="V644" t="s">
        <v>1204</v>
      </c>
      <c r="W644" t="s">
        <v>4141</v>
      </c>
      <c r="X644" t="s">
        <v>47</v>
      </c>
      <c r="AA644" t="s">
        <v>479</v>
      </c>
      <c r="AB644" t="s">
        <v>49</v>
      </c>
      <c r="AC644" t="s">
        <v>1148</v>
      </c>
      <c r="AD644" t="b">
        <v>0</v>
      </c>
      <c r="AF644">
        <v>13</v>
      </c>
      <c r="AG644" t="s">
        <v>155</v>
      </c>
    </row>
    <row r="645" spans="1:33" x14ac:dyDescent="0.2">
      <c r="A645">
        <v>2106</v>
      </c>
      <c r="B645" t="s">
        <v>4142</v>
      </c>
      <c r="C645" t="s">
        <v>34</v>
      </c>
      <c r="D645" t="s">
        <v>35</v>
      </c>
      <c r="G645" t="s">
        <v>213</v>
      </c>
      <c r="H645" t="s">
        <v>83</v>
      </c>
      <c r="I645" t="s">
        <v>4143</v>
      </c>
      <c r="J645" t="s">
        <v>83</v>
      </c>
      <c r="K645">
        <v>2023</v>
      </c>
      <c r="L645">
        <v>2023</v>
      </c>
      <c r="M645">
        <v>7.9000000000000001E-2</v>
      </c>
      <c r="N645">
        <v>0.2</v>
      </c>
      <c r="O645">
        <v>42</v>
      </c>
      <c r="P645">
        <v>0.14000000000000001</v>
      </c>
      <c r="Q645">
        <v>9.0999999999999998E-2</v>
      </c>
      <c r="R645" t="s">
        <v>84</v>
      </c>
      <c r="S645" t="s">
        <v>4144</v>
      </c>
      <c r="T645" t="b">
        <v>1</v>
      </c>
      <c r="U645" t="s">
        <v>4145</v>
      </c>
      <c r="V645" t="s">
        <v>60</v>
      </c>
      <c r="W645" t="s">
        <v>4146</v>
      </c>
      <c r="X645" t="s">
        <v>47</v>
      </c>
      <c r="AA645" t="s">
        <v>3872</v>
      </c>
      <c r="AC645" t="s">
        <v>3873</v>
      </c>
      <c r="AD645" t="b">
        <v>0</v>
      </c>
      <c r="AF645">
        <v>4</v>
      </c>
      <c r="AG645" t="s">
        <v>321</v>
      </c>
    </row>
    <row r="646" spans="1:33" x14ac:dyDescent="0.2">
      <c r="A646">
        <v>1770</v>
      </c>
      <c r="B646" t="s">
        <v>4147</v>
      </c>
      <c r="C646" t="s">
        <v>34</v>
      </c>
      <c r="D646" t="s">
        <v>35</v>
      </c>
      <c r="E646" t="s">
        <v>4148</v>
      </c>
      <c r="F646" t="s">
        <v>4149</v>
      </c>
      <c r="G646" t="s">
        <v>53</v>
      </c>
      <c r="H646" t="s">
        <v>54</v>
      </c>
      <c r="I646" t="s">
        <v>325</v>
      </c>
      <c r="J646" t="s">
        <v>135</v>
      </c>
      <c r="K646">
        <v>2014</v>
      </c>
      <c r="L646">
        <v>2014</v>
      </c>
      <c r="M646">
        <v>4.9000000000000004</v>
      </c>
      <c r="N646">
        <v>14.336</v>
      </c>
      <c r="O646">
        <v>210.5</v>
      </c>
      <c r="P646">
        <v>2.9</v>
      </c>
      <c r="Q646">
        <v>0.46899999999999997</v>
      </c>
      <c r="R646" t="s">
        <v>84</v>
      </c>
      <c r="S646" t="s">
        <v>4150</v>
      </c>
      <c r="T646" t="b">
        <v>1</v>
      </c>
      <c r="U646" t="s">
        <v>4151</v>
      </c>
      <c r="V646" t="s">
        <v>4152</v>
      </c>
      <c r="W646" t="s">
        <v>4153</v>
      </c>
      <c r="X646" t="s">
        <v>47</v>
      </c>
      <c r="AA646" t="s">
        <v>958</v>
      </c>
      <c r="AB646" t="s">
        <v>225</v>
      </c>
      <c r="AC646" t="s">
        <v>959</v>
      </c>
      <c r="AD646" t="b">
        <v>0</v>
      </c>
      <c r="AF646">
        <v>3</v>
      </c>
      <c r="AG646" t="s">
        <v>332</v>
      </c>
    </row>
    <row r="647" spans="1:33" x14ac:dyDescent="0.2">
      <c r="A647">
        <v>992</v>
      </c>
      <c r="B647" t="s">
        <v>4154</v>
      </c>
      <c r="C647" t="s">
        <v>34</v>
      </c>
      <c r="D647" t="s">
        <v>35</v>
      </c>
      <c r="G647" t="s">
        <v>242</v>
      </c>
      <c r="H647" t="s">
        <v>243</v>
      </c>
      <c r="I647" t="s">
        <v>436</v>
      </c>
      <c r="J647" t="s">
        <v>437</v>
      </c>
      <c r="K647">
        <v>2001</v>
      </c>
      <c r="L647">
        <v>2001</v>
      </c>
      <c r="M647">
        <v>5.0000000000000001E-3</v>
      </c>
      <c r="N647">
        <v>1.4999999999999999E-2</v>
      </c>
      <c r="R647" t="s">
        <v>72</v>
      </c>
      <c r="S647" t="s">
        <v>4155</v>
      </c>
      <c r="T647" t="b">
        <v>1</v>
      </c>
      <c r="U647" t="s">
        <v>1103</v>
      </c>
      <c r="V647" t="s">
        <v>274</v>
      </c>
      <c r="W647" t="s">
        <v>4156</v>
      </c>
      <c r="X647" t="s">
        <v>47</v>
      </c>
      <c r="AA647" t="s">
        <v>441</v>
      </c>
      <c r="AC647" t="s">
        <v>63</v>
      </c>
      <c r="AD647" t="b">
        <v>0</v>
      </c>
      <c r="AF647">
        <v>9</v>
      </c>
      <c r="AG647" t="s">
        <v>251</v>
      </c>
    </row>
    <row r="648" spans="1:33" x14ac:dyDescent="0.2">
      <c r="A648">
        <v>1246</v>
      </c>
      <c r="B648" t="s">
        <v>4157</v>
      </c>
      <c r="C648" t="s">
        <v>34</v>
      </c>
      <c r="D648" t="s">
        <v>35</v>
      </c>
      <c r="E648" t="s">
        <v>36</v>
      </c>
      <c r="F648" t="s">
        <v>37</v>
      </c>
      <c r="G648" t="s">
        <v>53</v>
      </c>
      <c r="H648" t="s">
        <v>54</v>
      </c>
      <c r="I648" t="s">
        <v>325</v>
      </c>
      <c r="J648" t="s">
        <v>135</v>
      </c>
      <c r="K648">
        <v>2006</v>
      </c>
      <c r="L648">
        <v>2006</v>
      </c>
      <c r="M648">
        <v>5</v>
      </c>
      <c r="N648">
        <v>18.170999999999999</v>
      </c>
      <c r="O648">
        <v>60</v>
      </c>
      <c r="P648">
        <v>8.5</v>
      </c>
      <c r="Q648">
        <v>0.16300000000000001</v>
      </c>
      <c r="R648" t="s">
        <v>84</v>
      </c>
      <c r="S648" t="s">
        <v>4158</v>
      </c>
      <c r="T648" t="b">
        <v>1</v>
      </c>
      <c r="U648" t="s">
        <v>4159</v>
      </c>
      <c r="V648" t="s">
        <v>45</v>
      </c>
      <c r="W648" t="s">
        <v>4160</v>
      </c>
      <c r="X648" t="s">
        <v>47</v>
      </c>
      <c r="AA648" t="s">
        <v>4161</v>
      </c>
      <c r="AB648" t="s">
        <v>83</v>
      </c>
      <c r="AC648" t="s">
        <v>4162</v>
      </c>
      <c r="AD648" t="b">
        <v>0</v>
      </c>
      <c r="AF648">
        <v>3</v>
      </c>
      <c r="AG648" t="s">
        <v>332</v>
      </c>
    </row>
    <row r="649" spans="1:33" x14ac:dyDescent="0.2">
      <c r="A649">
        <v>181</v>
      </c>
      <c r="B649" t="s">
        <v>4163</v>
      </c>
      <c r="C649" t="s">
        <v>34</v>
      </c>
      <c r="D649" t="s">
        <v>35</v>
      </c>
      <c r="E649" t="s">
        <v>404</v>
      </c>
      <c r="F649" t="s">
        <v>405</v>
      </c>
      <c r="G649" t="s">
        <v>312</v>
      </c>
      <c r="H649" t="s">
        <v>313</v>
      </c>
      <c r="I649" t="s">
        <v>4164</v>
      </c>
      <c r="J649" t="s">
        <v>41</v>
      </c>
      <c r="K649">
        <v>1957</v>
      </c>
      <c r="L649">
        <v>1957</v>
      </c>
      <c r="M649">
        <v>48</v>
      </c>
      <c r="N649">
        <v>290.47899999999998</v>
      </c>
      <c r="O649">
        <v>85</v>
      </c>
      <c r="P649">
        <v>75</v>
      </c>
      <c r="Q649">
        <v>0.17799999999999999</v>
      </c>
      <c r="R649" t="s">
        <v>84</v>
      </c>
      <c r="S649" t="s">
        <v>4165</v>
      </c>
      <c r="T649" t="b">
        <v>1</v>
      </c>
      <c r="U649" t="s">
        <v>1583</v>
      </c>
      <c r="V649" t="s">
        <v>408</v>
      </c>
      <c r="W649" t="s">
        <v>4166</v>
      </c>
      <c r="X649" t="s">
        <v>47</v>
      </c>
      <c r="AA649" t="s">
        <v>622</v>
      </c>
      <c r="AB649" t="s">
        <v>69</v>
      </c>
      <c r="AC649" t="s">
        <v>623</v>
      </c>
      <c r="AD649" t="b">
        <v>0</v>
      </c>
      <c r="AF649">
        <v>4</v>
      </c>
      <c r="AG649" t="s">
        <v>321</v>
      </c>
    </row>
    <row r="650" spans="1:33" x14ac:dyDescent="0.2">
      <c r="A650">
        <v>1919</v>
      </c>
      <c r="B650" t="s">
        <v>4167</v>
      </c>
      <c r="C650" t="s">
        <v>34</v>
      </c>
      <c r="D650" t="s">
        <v>35</v>
      </c>
      <c r="E650" t="s">
        <v>4168</v>
      </c>
      <c r="F650" t="s">
        <v>4169</v>
      </c>
      <c r="G650" t="s">
        <v>68</v>
      </c>
      <c r="H650" t="s">
        <v>69</v>
      </c>
      <c r="I650" t="s">
        <v>1458</v>
      </c>
      <c r="J650" t="s">
        <v>1459</v>
      </c>
      <c r="K650">
        <v>2007</v>
      </c>
      <c r="L650">
        <v>2007</v>
      </c>
      <c r="M650">
        <v>0.01</v>
      </c>
      <c r="N650">
        <v>2.1999999999999999E-2</v>
      </c>
      <c r="R650" t="s">
        <v>72</v>
      </c>
      <c r="S650" t="s">
        <v>4170</v>
      </c>
      <c r="T650" t="b">
        <v>1</v>
      </c>
      <c r="U650" t="s">
        <v>59</v>
      </c>
      <c r="V650" t="s">
        <v>4171</v>
      </c>
      <c r="W650" t="s">
        <v>113</v>
      </c>
      <c r="X650" t="s">
        <v>47</v>
      </c>
      <c r="AA650" t="s">
        <v>114</v>
      </c>
      <c r="AC650" t="s">
        <v>63</v>
      </c>
      <c r="AD650" t="b">
        <v>0</v>
      </c>
      <c r="AF650">
        <v>8</v>
      </c>
      <c r="AG650" t="s">
        <v>78</v>
      </c>
    </row>
    <row r="651" spans="1:33" x14ac:dyDescent="0.2">
      <c r="A651">
        <v>1690</v>
      </c>
      <c r="B651" t="s">
        <v>4172</v>
      </c>
      <c r="C651" t="s">
        <v>34</v>
      </c>
      <c r="D651" t="s">
        <v>35</v>
      </c>
      <c r="E651" t="s">
        <v>4173</v>
      </c>
      <c r="F651" t="s">
        <v>4174</v>
      </c>
      <c r="G651" t="s">
        <v>53</v>
      </c>
      <c r="H651" t="s">
        <v>54</v>
      </c>
      <c r="I651" t="s">
        <v>118</v>
      </c>
      <c r="J651" t="s">
        <v>119</v>
      </c>
      <c r="K651">
        <v>2008</v>
      </c>
      <c r="L651">
        <v>2008</v>
      </c>
      <c r="M651">
        <v>1.7</v>
      </c>
      <c r="N651">
        <v>6.4669999999999996</v>
      </c>
      <c r="O651">
        <v>450</v>
      </c>
      <c r="P651">
        <v>0.5</v>
      </c>
      <c r="Q651">
        <v>0.94399999999999995</v>
      </c>
      <c r="R651" t="s">
        <v>84</v>
      </c>
      <c r="S651" t="s">
        <v>939</v>
      </c>
      <c r="T651" t="b">
        <v>1</v>
      </c>
      <c r="U651" t="s">
        <v>1268</v>
      </c>
      <c r="V651" t="s">
        <v>4175</v>
      </c>
      <c r="W651" t="s">
        <v>4176</v>
      </c>
      <c r="X651" t="s">
        <v>47</v>
      </c>
      <c r="AA651" t="s">
        <v>479</v>
      </c>
      <c r="AC651" t="s">
        <v>63</v>
      </c>
      <c r="AD651" t="b">
        <v>0</v>
      </c>
      <c r="AF651">
        <v>5</v>
      </c>
      <c r="AG651" t="s">
        <v>89</v>
      </c>
    </row>
    <row r="652" spans="1:33" x14ac:dyDescent="0.2">
      <c r="A652">
        <v>182</v>
      </c>
      <c r="B652" t="s">
        <v>4177</v>
      </c>
      <c r="C652" t="s">
        <v>34</v>
      </c>
      <c r="D652" t="s">
        <v>35</v>
      </c>
      <c r="E652" t="s">
        <v>132</v>
      </c>
      <c r="F652" t="s">
        <v>133</v>
      </c>
      <c r="G652" t="s">
        <v>134</v>
      </c>
      <c r="H652" t="s">
        <v>135</v>
      </c>
      <c r="I652" t="s">
        <v>2074</v>
      </c>
      <c r="J652" t="s">
        <v>225</v>
      </c>
      <c r="K652">
        <v>1950</v>
      </c>
      <c r="L652">
        <v>1950</v>
      </c>
      <c r="M652">
        <v>6.5</v>
      </c>
      <c r="N652">
        <v>28.116</v>
      </c>
      <c r="O652">
        <v>220</v>
      </c>
      <c r="P652">
        <v>3.7</v>
      </c>
      <c r="Q652">
        <v>0.4879</v>
      </c>
      <c r="R652" t="s">
        <v>42</v>
      </c>
      <c r="S652" t="s">
        <v>4178</v>
      </c>
      <c r="T652" t="b">
        <v>1</v>
      </c>
      <c r="U652" t="s">
        <v>4179</v>
      </c>
      <c r="V652" t="s">
        <v>139</v>
      </c>
      <c r="W652" t="s">
        <v>4180</v>
      </c>
      <c r="X652" t="s">
        <v>47</v>
      </c>
      <c r="AA652" t="s">
        <v>2652</v>
      </c>
      <c r="AB652" t="s">
        <v>49</v>
      </c>
      <c r="AC652" t="s">
        <v>2653</v>
      </c>
      <c r="AD652" t="b">
        <v>0</v>
      </c>
      <c r="AF652">
        <v>10</v>
      </c>
      <c r="AG652" t="s">
        <v>143</v>
      </c>
    </row>
    <row r="653" spans="1:33" x14ac:dyDescent="0.2">
      <c r="A653">
        <v>1488</v>
      </c>
      <c r="B653" t="s">
        <v>4181</v>
      </c>
      <c r="C653" t="s">
        <v>34</v>
      </c>
      <c r="D653" t="s">
        <v>35</v>
      </c>
      <c r="E653" t="s">
        <v>501</v>
      </c>
      <c r="F653" t="s">
        <v>502</v>
      </c>
      <c r="G653" t="s">
        <v>213</v>
      </c>
      <c r="H653" t="s">
        <v>83</v>
      </c>
      <c r="I653" t="s">
        <v>214</v>
      </c>
      <c r="J653" t="s">
        <v>215</v>
      </c>
      <c r="K653">
        <v>2010</v>
      </c>
      <c r="L653">
        <v>2010</v>
      </c>
      <c r="M653">
        <v>5</v>
      </c>
      <c r="N653">
        <v>13.965999999999999</v>
      </c>
      <c r="O653">
        <v>105</v>
      </c>
      <c r="P653">
        <v>5.73</v>
      </c>
      <c r="Q653">
        <v>0.24199999999999999</v>
      </c>
      <c r="R653" t="s">
        <v>84</v>
      </c>
      <c r="S653" t="s">
        <v>4032</v>
      </c>
      <c r="T653" t="b">
        <v>1</v>
      </c>
      <c r="U653" t="s">
        <v>4182</v>
      </c>
      <c r="V653" t="s">
        <v>507</v>
      </c>
      <c r="W653" t="s">
        <v>4183</v>
      </c>
      <c r="X653" t="s">
        <v>47</v>
      </c>
      <c r="AA653" t="s">
        <v>4036</v>
      </c>
      <c r="AB653" t="s">
        <v>49</v>
      </c>
      <c r="AC653" t="s">
        <v>4037</v>
      </c>
      <c r="AD653" t="b">
        <v>0</v>
      </c>
      <c r="AF653">
        <v>5</v>
      </c>
      <c r="AG653" t="s">
        <v>89</v>
      </c>
    </row>
    <row r="654" spans="1:33" x14ac:dyDescent="0.2">
      <c r="A654">
        <v>1129</v>
      </c>
      <c r="B654" t="s">
        <v>4184</v>
      </c>
      <c r="C654" t="s">
        <v>34</v>
      </c>
      <c r="D654" t="s">
        <v>35</v>
      </c>
      <c r="E654" t="s">
        <v>1119</v>
      </c>
      <c r="F654" t="s">
        <v>1120</v>
      </c>
      <c r="G654" t="s">
        <v>312</v>
      </c>
      <c r="H654" t="s">
        <v>313</v>
      </c>
      <c r="I654" t="s">
        <v>1049</v>
      </c>
      <c r="J654" t="s">
        <v>171</v>
      </c>
      <c r="K654">
        <v>1999</v>
      </c>
      <c r="L654">
        <v>1999</v>
      </c>
      <c r="M654">
        <v>3.5999999999999997E-2</v>
      </c>
      <c r="N654">
        <v>0.109</v>
      </c>
      <c r="R654" t="s">
        <v>84</v>
      </c>
      <c r="S654" t="s">
        <v>1121</v>
      </c>
      <c r="T654" t="b">
        <v>1</v>
      </c>
      <c r="U654" t="s">
        <v>571</v>
      </c>
      <c r="V654" t="s">
        <v>1123</v>
      </c>
      <c r="W654" t="s">
        <v>4185</v>
      </c>
      <c r="X654" t="s">
        <v>47</v>
      </c>
      <c r="AA654" t="s">
        <v>615</v>
      </c>
      <c r="AC654" t="s">
        <v>616</v>
      </c>
      <c r="AD654" t="b">
        <v>0</v>
      </c>
      <c r="AF654">
        <v>4</v>
      </c>
      <c r="AG654" t="s">
        <v>321</v>
      </c>
    </row>
    <row r="655" spans="1:33" x14ac:dyDescent="0.2">
      <c r="A655">
        <v>1638</v>
      </c>
      <c r="B655" t="s">
        <v>4186</v>
      </c>
      <c r="C655" t="s">
        <v>34</v>
      </c>
      <c r="D655" t="s">
        <v>35</v>
      </c>
      <c r="E655" t="s">
        <v>4187</v>
      </c>
      <c r="F655" t="s">
        <v>4188</v>
      </c>
      <c r="G655" t="s">
        <v>53</v>
      </c>
      <c r="H655" t="s">
        <v>54</v>
      </c>
      <c r="I655" t="s">
        <v>1143</v>
      </c>
      <c r="J655" t="s">
        <v>54</v>
      </c>
      <c r="K655">
        <v>2008</v>
      </c>
      <c r="L655">
        <v>2008</v>
      </c>
      <c r="M655">
        <v>8.8999999999999996E-2</v>
      </c>
      <c r="N655">
        <v>0.24299999999999999</v>
      </c>
      <c r="O655">
        <v>30.8</v>
      </c>
      <c r="P655">
        <v>0.4</v>
      </c>
      <c r="Q655">
        <v>6.2E-2</v>
      </c>
      <c r="R655" t="s">
        <v>72</v>
      </c>
      <c r="S655" t="s">
        <v>1494</v>
      </c>
      <c r="T655" t="b">
        <v>1</v>
      </c>
      <c r="U655" t="s">
        <v>4189</v>
      </c>
      <c r="V655" t="s">
        <v>4190</v>
      </c>
      <c r="W655" t="s">
        <v>4191</v>
      </c>
      <c r="X655" t="s">
        <v>47</v>
      </c>
      <c r="AA655" t="s">
        <v>479</v>
      </c>
      <c r="AC655" t="s">
        <v>1148</v>
      </c>
      <c r="AD655" t="b">
        <v>0</v>
      </c>
      <c r="AF655">
        <v>13</v>
      </c>
      <c r="AG655" t="s">
        <v>155</v>
      </c>
    </row>
    <row r="656" spans="1:33" x14ac:dyDescent="0.2">
      <c r="A656">
        <v>1556</v>
      </c>
      <c r="B656" t="s">
        <v>4192</v>
      </c>
      <c r="C656" t="s">
        <v>34</v>
      </c>
      <c r="D656" t="s">
        <v>35</v>
      </c>
      <c r="E656" t="s">
        <v>3518</v>
      </c>
      <c r="F656" t="s">
        <v>3519</v>
      </c>
      <c r="G656" t="s">
        <v>53</v>
      </c>
      <c r="H656" t="s">
        <v>54</v>
      </c>
      <c r="I656" t="s">
        <v>147</v>
      </c>
      <c r="J656" t="s">
        <v>148</v>
      </c>
      <c r="K656">
        <v>2010</v>
      </c>
      <c r="L656">
        <v>2010</v>
      </c>
      <c r="M656">
        <v>0.88400000000000001</v>
      </c>
      <c r="N656">
        <v>2.407</v>
      </c>
      <c r="O656">
        <v>26.5</v>
      </c>
      <c r="P656">
        <v>4</v>
      </c>
      <c r="Q656">
        <v>6.0999999999999999E-2</v>
      </c>
      <c r="R656" t="s">
        <v>72</v>
      </c>
      <c r="S656" t="s">
        <v>4193</v>
      </c>
      <c r="T656" t="b">
        <v>1</v>
      </c>
      <c r="U656" t="s">
        <v>4194</v>
      </c>
      <c r="V656" t="s">
        <v>4195</v>
      </c>
      <c r="W656" t="s">
        <v>4196</v>
      </c>
      <c r="X656" t="s">
        <v>47</v>
      </c>
      <c r="AA656" t="s">
        <v>400</v>
      </c>
      <c r="AB656" t="s">
        <v>676</v>
      </c>
      <c r="AC656" t="s">
        <v>402</v>
      </c>
      <c r="AD656" t="b">
        <v>0</v>
      </c>
      <c r="AF656">
        <v>13</v>
      </c>
      <c r="AG656" t="s">
        <v>155</v>
      </c>
    </row>
    <row r="657" spans="1:33" x14ac:dyDescent="0.2">
      <c r="A657">
        <v>1460</v>
      </c>
      <c r="B657" t="s">
        <v>4197</v>
      </c>
      <c r="C657" t="s">
        <v>34</v>
      </c>
      <c r="D657" t="s">
        <v>35</v>
      </c>
      <c r="E657" t="s">
        <v>4198</v>
      </c>
      <c r="F657" t="s">
        <v>4199</v>
      </c>
      <c r="G657" t="s">
        <v>242</v>
      </c>
      <c r="H657" t="s">
        <v>243</v>
      </c>
      <c r="I657" t="s">
        <v>2193</v>
      </c>
      <c r="J657" t="s">
        <v>378</v>
      </c>
      <c r="K657">
        <v>2008</v>
      </c>
      <c r="L657">
        <v>2008</v>
      </c>
      <c r="M657">
        <v>0.42499999999999999</v>
      </c>
      <c r="N657">
        <v>1.002</v>
      </c>
      <c r="O657">
        <v>151</v>
      </c>
      <c r="P657">
        <v>0.33</v>
      </c>
      <c r="Q657">
        <v>0.35699999999999998</v>
      </c>
      <c r="R657" t="s">
        <v>72</v>
      </c>
      <c r="S657" t="s">
        <v>4200</v>
      </c>
      <c r="T657" t="b">
        <v>1</v>
      </c>
      <c r="U657" t="s">
        <v>4201</v>
      </c>
      <c r="V657" t="s">
        <v>4202</v>
      </c>
      <c r="W657" t="s">
        <v>4203</v>
      </c>
      <c r="X657" t="s">
        <v>47</v>
      </c>
      <c r="AA657" t="s">
        <v>114</v>
      </c>
      <c r="AC657" t="s">
        <v>63</v>
      </c>
      <c r="AD657" t="b">
        <v>0</v>
      </c>
      <c r="AF657">
        <v>8</v>
      </c>
      <c r="AG657" t="s">
        <v>78</v>
      </c>
    </row>
    <row r="658" spans="1:33" x14ac:dyDescent="0.2">
      <c r="A658">
        <v>1313</v>
      </c>
      <c r="B658" t="s">
        <v>4204</v>
      </c>
      <c r="C658" t="s">
        <v>34</v>
      </c>
      <c r="D658" t="s">
        <v>35</v>
      </c>
      <c r="E658" t="s">
        <v>4205</v>
      </c>
      <c r="F658" t="s">
        <v>4206</v>
      </c>
      <c r="G658" t="s">
        <v>242</v>
      </c>
      <c r="H658" t="s">
        <v>243</v>
      </c>
      <c r="I658" t="s">
        <v>244</v>
      </c>
      <c r="J658" t="s">
        <v>245</v>
      </c>
      <c r="K658">
        <v>2007</v>
      </c>
      <c r="L658">
        <v>2007</v>
      </c>
      <c r="M658">
        <v>0.13200000000000001</v>
      </c>
      <c r="N658">
        <v>0.48899999999999999</v>
      </c>
      <c r="O658">
        <v>100</v>
      </c>
      <c r="P658">
        <v>0.2</v>
      </c>
      <c r="R658" t="s">
        <v>72</v>
      </c>
      <c r="S658" t="s">
        <v>4207</v>
      </c>
      <c r="T658" t="b">
        <v>1</v>
      </c>
      <c r="U658" t="s">
        <v>4208</v>
      </c>
      <c r="V658" t="s">
        <v>4209</v>
      </c>
      <c r="W658" t="s">
        <v>4210</v>
      </c>
      <c r="X658" t="s">
        <v>47</v>
      </c>
      <c r="AA658" t="s">
        <v>250</v>
      </c>
      <c r="AC658" t="s">
        <v>63</v>
      </c>
      <c r="AD658" t="b">
        <v>0</v>
      </c>
      <c r="AF658">
        <v>9</v>
      </c>
      <c r="AG658" t="s">
        <v>251</v>
      </c>
    </row>
    <row r="659" spans="1:33" x14ac:dyDescent="0.2">
      <c r="A659">
        <v>184</v>
      </c>
      <c r="B659" t="s">
        <v>4211</v>
      </c>
      <c r="C659" t="s">
        <v>34</v>
      </c>
      <c r="D659" t="s">
        <v>35</v>
      </c>
      <c r="E659" t="s">
        <v>36</v>
      </c>
      <c r="F659" t="s">
        <v>37</v>
      </c>
      <c r="G659" t="s">
        <v>377</v>
      </c>
      <c r="H659" t="s">
        <v>378</v>
      </c>
      <c r="I659" t="s">
        <v>1559</v>
      </c>
      <c r="J659" t="s">
        <v>71</v>
      </c>
      <c r="K659">
        <v>1960</v>
      </c>
      <c r="L659">
        <v>1960</v>
      </c>
      <c r="M659">
        <v>90</v>
      </c>
      <c r="N659">
        <v>445.34300000000002</v>
      </c>
      <c r="O659">
        <v>185</v>
      </c>
      <c r="P659">
        <v>60</v>
      </c>
      <c r="Q659">
        <v>0.41699999999999998</v>
      </c>
      <c r="R659" t="s">
        <v>42</v>
      </c>
      <c r="S659" t="s">
        <v>4212</v>
      </c>
      <c r="T659" t="b">
        <v>1</v>
      </c>
      <c r="U659" t="s">
        <v>4213</v>
      </c>
      <c r="V659" t="s">
        <v>45</v>
      </c>
      <c r="W659" t="s">
        <v>4214</v>
      </c>
      <c r="X659" t="s">
        <v>47</v>
      </c>
      <c r="AA659" t="s">
        <v>383</v>
      </c>
      <c r="AB659" t="s">
        <v>401</v>
      </c>
      <c r="AC659" t="s">
        <v>384</v>
      </c>
      <c r="AD659" t="b">
        <v>0</v>
      </c>
      <c r="AF659">
        <v>11</v>
      </c>
      <c r="AG659" t="s">
        <v>198</v>
      </c>
    </row>
    <row r="660" spans="1:33" x14ac:dyDescent="0.2">
      <c r="A660">
        <v>1335</v>
      </c>
      <c r="B660" t="s">
        <v>4215</v>
      </c>
      <c r="C660" t="s">
        <v>34</v>
      </c>
      <c r="D660" t="s">
        <v>35</v>
      </c>
      <c r="E660" t="s">
        <v>4216</v>
      </c>
      <c r="F660" t="s">
        <v>4217</v>
      </c>
      <c r="G660" t="s">
        <v>53</v>
      </c>
      <c r="H660" t="s">
        <v>54</v>
      </c>
      <c r="I660" t="s">
        <v>1165</v>
      </c>
      <c r="J660" t="s">
        <v>1166</v>
      </c>
      <c r="K660">
        <v>2007</v>
      </c>
      <c r="L660">
        <v>2007</v>
      </c>
      <c r="M660">
        <v>15.5</v>
      </c>
      <c r="N660">
        <v>42.749000000000002</v>
      </c>
      <c r="O660">
        <v>512</v>
      </c>
      <c r="P660">
        <v>3.5</v>
      </c>
      <c r="Q660">
        <v>1.23</v>
      </c>
      <c r="R660" t="s">
        <v>72</v>
      </c>
      <c r="S660" t="s">
        <v>4128</v>
      </c>
      <c r="T660" t="b">
        <v>1</v>
      </c>
      <c r="U660" t="s">
        <v>4218</v>
      </c>
      <c r="V660" t="s">
        <v>4219</v>
      </c>
      <c r="W660" t="s">
        <v>4220</v>
      </c>
      <c r="X660" t="s">
        <v>47</v>
      </c>
      <c r="AA660" t="s">
        <v>479</v>
      </c>
      <c r="AB660" t="s">
        <v>49</v>
      </c>
      <c r="AC660" t="s">
        <v>4221</v>
      </c>
      <c r="AD660" t="b">
        <v>0</v>
      </c>
      <c r="AF660">
        <v>13</v>
      </c>
      <c r="AG660" t="s">
        <v>155</v>
      </c>
    </row>
    <row r="661" spans="1:33" x14ac:dyDescent="0.2">
      <c r="A661">
        <v>185</v>
      </c>
      <c r="B661" t="s">
        <v>4222</v>
      </c>
      <c r="C661" t="s">
        <v>34</v>
      </c>
      <c r="D661" t="s">
        <v>35</v>
      </c>
      <c r="E661" t="s">
        <v>157</v>
      </c>
      <c r="F661" t="s">
        <v>158</v>
      </c>
      <c r="G661" t="s">
        <v>68</v>
      </c>
      <c r="H661" t="s">
        <v>69</v>
      </c>
      <c r="I661" t="s">
        <v>453</v>
      </c>
      <c r="J661" t="s">
        <v>192</v>
      </c>
      <c r="K661">
        <v>1919</v>
      </c>
      <c r="L661">
        <v>1919</v>
      </c>
      <c r="M661">
        <v>4.8</v>
      </c>
      <c r="N661">
        <v>21.695</v>
      </c>
      <c r="O661">
        <v>158</v>
      </c>
      <c r="P661">
        <v>3.6</v>
      </c>
      <c r="Q661">
        <v>0.37</v>
      </c>
      <c r="R661" t="s">
        <v>72</v>
      </c>
      <c r="S661" t="s">
        <v>4223</v>
      </c>
      <c r="T661" t="b">
        <v>1</v>
      </c>
      <c r="U661" t="s">
        <v>4224</v>
      </c>
      <c r="V661" t="s">
        <v>163</v>
      </c>
      <c r="W661" t="s">
        <v>4225</v>
      </c>
      <c r="X661" t="s">
        <v>47</v>
      </c>
      <c r="AA661" t="s">
        <v>4226</v>
      </c>
      <c r="AB661" t="s">
        <v>49</v>
      </c>
      <c r="AC661" t="s">
        <v>3106</v>
      </c>
      <c r="AD661" t="b">
        <v>0</v>
      </c>
      <c r="AF661">
        <v>8</v>
      </c>
      <c r="AG661" t="s">
        <v>78</v>
      </c>
    </row>
    <row r="662" spans="1:33" x14ac:dyDescent="0.2">
      <c r="A662">
        <v>1225</v>
      </c>
      <c r="B662" t="s">
        <v>4227</v>
      </c>
      <c r="C662" t="s">
        <v>574</v>
      </c>
      <c r="D662" t="s">
        <v>575</v>
      </c>
      <c r="E662" t="s">
        <v>132</v>
      </c>
      <c r="F662" t="s">
        <v>133</v>
      </c>
      <c r="G662" t="s">
        <v>134</v>
      </c>
      <c r="H662" t="s">
        <v>135</v>
      </c>
      <c r="I662" t="s">
        <v>2074</v>
      </c>
      <c r="J662" t="s">
        <v>225</v>
      </c>
      <c r="K662">
        <v>2004</v>
      </c>
      <c r="L662">
        <v>2004</v>
      </c>
      <c r="M662">
        <v>-0.1</v>
      </c>
      <c r="N662">
        <v>-0.247</v>
      </c>
      <c r="O662">
        <v>-31.83</v>
      </c>
      <c r="P662">
        <v>0.25</v>
      </c>
      <c r="Q662">
        <v>-0.111</v>
      </c>
      <c r="R662" t="s">
        <v>42</v>
      </c>
      <c r="S662" t="s">
        <v>2075</v>
      </c>
      <c r="T662" t="b">
        <v>1</v>
      </c>
      <c r="U662" t="s">
        <v>637</v>
      </c>
      <c r="V662" t="s">
        <v>139</v>
      </c>
      <c r="W662" t="s">
        <v>4228</v>
      </c>
      <c r="X662" t="s">
        <v>47</v>
      </c>
      <c r="AA662" t="s">
        <v>2078</v>
      </c>
      <c r="AB662" t="s">
        <v>401</v>
      </c>
      <c r="AC662" t="s">
        <v>2079</v>
      </c>
      <c r="AD662" t="b">
        <v>0</v>
      </c>
      <c r="AF662">
        <v>10</v>
      </c>
      <c r="AG662" t="s">
        <v>143</v>
      </c>
    </row>
    <row r="663" spans="1:33" x14ac:dyDescent="0.2">
      <c r="A663">
        <v>1940</v>
      </c>
      <c r="B663" t="s">
        <v>4229</v>
      </c>
      <c r="C663" t="s">
        <v>34</v>
      </c>
      <c r="D663" t="s">
        <v>35</v>
      </c>
      <c r="E663" t="s">
        <v>4230</v>
      </c>
      <c r="F663" t="s">
        <v>4231</v>
      </c>
      <c r="G663" t="s">
        <v>224</v>
      </c>
      <c r="H663" t="s">
        <v>225</v>
      </c>
      <c r="I663" t="s">
        <v>3775</v>
      </c>
      <c r="J663" t="s">
        <v>515</v>
      </c>
      <c r="K663">
        <v>2017</v>
      </c>
      <c r="L663">
        <v>2017</v>
      </c>
      <c r="M663">
        <v>0.06</v>
      </c>
      <c r="N663">
        <v>0.10100000000000001</v>
      </c>
      <c r="O663">
        <v>25</v>
      </c>
      <c r="P663">
        <v>0.3</v>
      </c>
      <c r="Q663">
        <v>5.6000000000000001E-2</v>
      </c>
      <c r="R663" t="s">
        <v>57</v>
      </c>
      <c r="S663" t="s">
        <v>4232</v>
      </c>
      <c r="T663" t="b">
        <v>1</v>
      </c>
      <c r="U663" t="s">
        <v>4233</v>
      </c>
      <c r="V663" t="s">
        <v>4234</v>
      </c>
      <c r="W663" t="s">
        <v>4235</v>
      </c>
      <c r="X663" t="s">
        <v>47</v>
      </c>
      <c r="AA663" t="s">
        <v>102</v>
      </c>
      <c r="AC663" t="s">
        <v>103</v>
      </c>
      <c r="AD663" t="b">
        <v>0</v>
      </c>
      <c r="AF663">
        <v>2</v>
      </c>
      <c r="AG663" t="s">
        <v>287</v>
      </c>
    </row>
    <row r="664" spans="1:33" x14ac:dyDescent="0.2">
      <c r="A664">
        <v>186</v>
      </c>
      <c r="B664" t="s">
        <v>1190</v>
      </c>
      <c r="C664" t="s">
        <v>34</v>
      </c>
      <c r="D664" t="s">
        <v>35</v>
      </c>
      <c r="E664" t="s">
        <v>404</v>
      </c>
      <c r="F664" t="s">
        <v>405</v>
      </c>
      <c r="G664" t="s">
        <v>312</v>
      </c>
      <c r="H664" t="s">
        <v>313</v>
      </c>
      <c r="I664" t="s">
        <v>1190</v>
      </c>
      <c r="J664" t="s">
        <v>135</v>
      </c>
      <c r="K664">
        <v>1949</v>
      </c>
      <c r="L664">
        <v>1949</v>
      </c>
      <c r="M664">
        <v>87</v>
      </c>
      <c r="N664">
        <v>446.88600000000002</v>
      </c>
      <c r="O664">
        <v>50.5</v>
      </c>
      <c r="P664">
        <v>216</v>
      </c>
      <c r="Q664">
        <v>0.112</v>
      </c>
      <c r="R664" t="s">
        <v>84</v>
      </c>
      <c r="S664" t="s">
        <v>4236</v>
      </c>
      <c r="T664" t="b">
        <v>1</v>
      </c>
      <c r="U664" t="s">
        <v>1869</v>
      </c>
      <c r="V664" t="s">
        <v>408</v>
      </c>
      <c r="W664" t="s">
        <v>4237</v>
      </c>
      <c r="X664" t="s">
        <v>47</v>
      </c>
      <c r="AA664" t="s">
        <v>319</v>
      </c>
      <c r="AB664" t="s">
        <v>227</v>
      </c>
      <c r="AC664" t="s">
        <v>320</v>
      </c>
      <c r="AD664" t="b">
        <v>0</v>
      </c>
      <c r="AF664">
        <v>4</v>
      </c>
      <c r="AG664" t="s">
        <v>321</v>
      </c>
    </row>
    <row r="665" spans="1:33" x14ac:dyDescent="0.2">
      <c r="A665">
        <v>1425</v>
      </c>
      <c r="B665" t="s">
        <v>4238</v>
      </c>
      <c r="C665" t="s">
        <v>34</v>
      </c>
      <c r="D665" t="s">
        <v>35</v>
      </c>
      <c r="E665" t="s">
        <v>4239</v>
      </c>
      <c r="F665" t="s">
        <v>4240</v>
      </c>
      <c r="G665" t="s">
        <v>53</v>
      </c>
      <c r="H665" t="s">
        <v>54</v>
      </c>
      <c r="I665" t="s">
        <v>1039</v>
      </c>
      <c r="J665" t="s">
        <v>243</v>
      </c>
      <c r="K665">
        <v>2008</v>
      </c>
      <c r="L665">
        <v>2008</v>
      </c>
      <c r="M665">
        <v>5</v>
      </c>
      <c r="N665">
        <v>20.97</v>
      </c>
      <c r="O665">
        <v>322</v>
      </c>
      <c r="P665">
        <v>1.9</v>
      </c>
      <c r="Q665">
        <v>0.73099999999999998</v>
      </c>
      <c r="R665" t="s">
        <v>72</v>
      </c>
      <c r="S665" t="s">
        <v>4241</v>
      </c>
      <c r="T665" t="b">
        <v>1</v>
      </c>
      <c r="U665" t="s">
        <v>4242</v>
      </c>
      <c r="V665" t="s">
        <v>4243</v>
      </c>
      <c r="W665" t="s">
        <v>4244</v>
      </c>
      <c r="X665" t="s">
        <v>47</v>
      </c>
      <c r="AA665" t="s">
        <v>400</v>
      </c>
      <c r="AB665" t="s">
        <v>135</v>
      </c>
      <c r="AC665" t="s">
        <v>402</v>
      </c>
      <c r="AD665" t="b">
        <v>0</v>
      </c>
      <c r="AF665">
        <v>13</v>
      </c>
      <c r="AG665" t="s">
        <v>155</v>
      </c>
    </row>
    <row r="666" spans="1:33" x14ac:dyDescent="0.2">
      <c r="A666">
        <v>2071</v>
      </c>
      <c r="B666" t="s">
        <v>4245</v>
      </c>
      <c r="C666" t="s">
        <v>34</v>
      </c>
      <c r="D666" t="s">
        <v>35</v>
      </c>
      <c r="E666" t="s">
        <v>4246</v>
      </c>
      <c r="F666" t="s">
        <v>4247</v>
      </c>
      <c r="G666" t="s">
        <v>53</v>
      </c>
      <c r="H666" t="s">
        <v>54</v>
      </c>
      <c r="I666" t="s">
        <v>1723</v>
      </c>
      <c r="J666" t="s">
        <v>1697</v>
      </c>
      <c r="K666">
        <v>2021</v>
      </c>
      <c r="L666">
        <v>2021</v>
      </c>
      <c r="M666">
        <v>0.99</v>
      </c>
      <c r="N666">
        <v>6.891</v>
      </c>
      <c r="O666">
        <v>215</v>
      </c>
      <c r="P666">
        <v>0.59</v>
      </c>
      <c r="Q666">
        <v>0.46600000000000003</v>
      </c>
      <c r="R666" t="s">
        <v>57</v>
      </c>
      <c r="S666" t="s">
        <v>4248</v>
      </c>
      <c r="T666" t="b">
        <v>1</v>
      </c>
      <c r="U666" t="s">
        <v>3065</v>
      </c>
      <c r="V666" t="s">
        <v>4249</v>
      </c>
      <c r="W666" t="s">
        <v>4250</v>
      </c>
      <c r="X666" t="s">
        <v>47</v>
      </c>
      <c r="AA666" t="s">
        <v>1727</v>
      </c>
      <c r="AC666" t="s">
        <v>1728</v>
      </c>
      <c r="AD666" t="b">
        <v>0</v>
      </c>
      <c r="AF666">
        <v>6</v>
      </c>
      <c r="AG666" t="s">
        <v>64</v>
      </c>
    </row>
    <row r="667" spans="1:33" x14ac:dyDescent="0.2">
      <c r="A667">
        <v>835</v>
      </c>
      <c r="B667" t="s">
        <v>4251</v>
      </c>
      <c r="C667" t="s">
        <v>34</v>
      </c>
      <c r="D667" t="s">
        <v>35</v>
      </c>
      <c r="E667" t="s">
        <v>892</v>
      </c>
      <c r="F667" t="s">
        <v>893</v>
      </c>
      <c r="G667" t="s">
        <v>53</v>
      </c>
      <c r="H667" t="s">
        <v>54</v>
      </c>
      <c r="I667" t="s">
        <v>2104</v>
      </c>
      <c r="J667" t="s">
        <v>203</v>
      </c>
      <c r="K667">
        <v>2005</v>
      </c>
      <c r="L667">
        <v>2005</v>
      </c>
      <c r="M667">
        <v>1.5</v>
      </c>
      <c r="N667">
        <v>6.4669999999999996</v>
      </c>
      <c r="O667">
        <v>66</v>
      </c>
      <c r="P667">
        <v>3</v>
      </c>
      <c r="Q667">
        <v>0.13900000000000001</v>
      </c>
      <c r="R667" t="s">
        <v>57</v>
      </c>
      <c r="S667" t="s">
        <v>4252</v>
      </c>
      <c r="T667" t="b">
        <v>1</v>
      </c>
      <c r="U667" t="s">
        <v>1136</v>
      </c>
      <c r="V667" t="s">
        <v>896</v>
      </c>
      <c r="W667" t="s">
        <v>4253</v>
      </c>
      <c r="X667" t="s">
        <v>47</v>
      </c>
      <c r="AA667" t="s">
        <v>3629</v>
      </c>
      <c r="AB667" t="s">
        <v>49</v>
      </c>
      <c r="AC667" t="s">
        <v>4254</v>
      </c>
      <c r="AD667" t="b">
        <v>0</v>
      </c>
      <c r="AF667">
        <v>7</v>
      </c>
      <c r="AG667" t="s">
        <v>469</v>
      </c>
    </row>
    <row r="668" spans="1:33" x14ac:dyDescent="0.2">
      <c r="A668">
        <v>1373</v>
      </c>
      <c r="B668" t="s">
        <v>4255</v>
      </c>
      <c r="C668" t="s">
        <v>34</v>
      </c>
      <c r="D668" t="s">
        <v>35</v>
      </c>
      <c r="E668" t="s">
        <v>4256</v>
      </c>
      <c r="F668" t="s">
        <v>4257</v>
      </c>
      <c r="G668" t="s">
        <v>242</v>
      </c>
      <c r="H668" t="s">
        <v>243</v>
      </c>
      <c r="I668" t="s">
        <v>1012</v>
      </c>
      <c r="J668" t="s">
        <v>676</v>
      </c>
      <c r="K668">
        <v>2008</v>
      </c>
      <c r="L668">
        <v>2008</v>
      </c>
      <c r="M668">
        <v>1.349</v>
      </c>
      <c r="N668">
        <v>4.0880000000000001</v>
      </c>
      <c r="O668">
        <v>351</v>
      </c>
      <c r="P668">
        <v>0.5</v>
      </c>
      <c r="Q668">
        <v>0.749</v>
      </c>
      <c r="R668" t="s">
        <v>72</v>
      </c>
      <c r="S668" t="s">
        <v>4258</v>
      </c>
      <c r="T668" t="b">
        <v>1</v>
      </c>
      <c r="U668" t="s">
        <v>4259</v>
      </c>
      <c r="V668" t="s">
        <v>4260</v>
      </c>
      <c r="W668" t="s">
        <v>4261</v>
      </c>
      <c r="X668" t="s">
        <v>47</v>
      </c>
      <c r="AA668" t="s">
        <v>1017</v>
      </c>
      <c r="AB668" t="s">
        <v>676</v>
      </c>
      <c r="AC668" t="s">
        <v>1018</v>
      </c>
      <c r="AD668" t="b">
        <v>0</v>
      </c>
      <c r="AF668">
        <v>8</v>
      </c>
      <c r="AG668" t="s">
        <v>78</v>
      </c>
    </row>
    <row r="669" spans="1:33" x14ac:dyDescent="0.2">
      <c r="A669">
        <v>1703</v>
      </c>
      <c r="B669" t="s">
        <v>4262</v>
      </c>
      <c r="C669" t="s">
        <v>34</v>
      </c>
      <c r="D669" t="s">
        <v>35</v>
      </c>
      <c r="E669" t="s">
        <v>4263</v>
      </c>
      <c r="F669" t="s">
        <v>4264</v>
      </c>
      <c r="G669" t="s">
        <v>93</v>
      </c>
      <c r="H669" t="s">
        <v>94</v>
      </c>
      <c r="I669" t="s">
        <v>3695</v>
      </c>
      <c r="J669" t="s">
        <v>485</v>
      </c>
      <c r="K669">
        <v>2012</v>
      </c>
      <c r="L669">
        <v>2012</v>
      </c>
      <c r="M669">
        <v>2.5499999999999998</v>
      </c>
      <c r="N669">
        <v>7.5949999999999998</v>
      </c>
      <c r="O669">
        <v>335</v>
      </c>
      <c r="P669">
        <v>0.9</v>
      </c>
      <c r="Q669">
        <v>0.78700000000000003</v>
      </c>
      <c r="R669" t="s">
        <v>97</v>
      </c>
      <c r="S669" t="s">
        <v>4265</v>
      </c>
      <c r="T669" t="b">
        <v>1</v>
      </c>
      <c r="U669" t="s">
        <v>4266</v>
      </c>
      <c r="V669" t="s">
        <v>4267</v>
      </c>
      <c r="W669" t="s">
        <v>4268</v>
      </c>
      <c r="X669" t="s">
        <v>47</v>
      </c>
      <c r="AA669" t="s">
        <v>340</v>
      </c>
      <c r="AB669" t="s">
        <v>515</v>
      </c>
      <c r="AC669" t="s">
        <v>1063</v>
      </c>
      <c r="AD669" t="b">
        <v>0</v>
      </c>
      <c r="AF669">
        <v>1</v>
      </c>
      <c r="AG669" t="s">
        <v>104</v>
      </c>
    </row>
    <row r="670" spans="1:33" x14ac:dyDescent="0.2">
      <c r="A670">
        <v>844</v>
      </c>
      <c r="B670" t="s">
        <v>4269</v>
      </c>
      <c r="C670" t="s">
        <v>34</v>
      </c>
      <c r="D670" t="s">
        <v>35</v>
      </c>
      <c r="E670" t="s">
        <v>168</v>
      </c>
      <c r="F670" t="s">
        <v>169</v>
      </c>
      <c r="G670" t="s">
        <v>68</v>
      </c>
      <c r="H670" t="s">
        <v>69</v>
      </c>
      <c r="I670" t="s">
        <v>265</v>
      </c>
      <c r="J670" t="s">
        <v>266</v>
      </c>
      <c r="K670">
        <v>2006</v>
      </c>
      <c r="L670">
        <v>2006</v>
      </c>
      <c r="M670">
        <v>4.95</v>
      </c>
      <c r="N670">
        <v>18.896000000000001</v>
      </c>
      <c r="O670">
        <v>195</v>
      </c>
      <c r="P670">
        <v>3.2</v>
      </c>
      <c r="Q670">
        <v>0.49199999999999999</v>
      </c>
      <c r="R670" t="s">
        <v>72</v>
      </c>
      <c r="S670" t="s">
        <v>4270</v>
      </c>
      <c r="T670" t="b">
        <v>1</v>
      </c>
      <c r="U670" t="s">
        <v>4271</v>
      </c>
      <c r="V670" t="s">
        <v>174</v>
      </c>
      <c r="W670" t="s">
        <v>4272</v>
      </c>
      <c r="X670" t="s">
        <v>47</v>
      </c>
      <c r="AA670" t="s">
        <v>4273</v>
      </c>
      <c r="AB670" t="s">
        <v>49</v>
      </c>
      <c r="AC670" t="s">
        <v>4274</v>
      </c>
      <c r="AD670" t="b">
        <v>0</v>
      </c>
      <c r="AF670">
        <v>8</v>
      </c>
      <c r="AG670" t="s">
        <v>78</v>
      </c>
    </row>
    <row r="671" spans="1:33" x14ac:dyDescent="0.2">
      <c r="A671">
        <v>879</v>
      </c>
      <c r="B671" t="s">
        <v>4269</v>
      </c>
      <c r="C671" t="s">
        <v>34</v>
      </c>
      <c r="D671" t="s">
        <v>35</v>
      </c>
      <c r="E671" t="s">
        <v>4275</v>
      </c>
      <c r="F671" t="s">
        <v>4276</v>
      </c>
      <c r="G671" t="s">
        <v>68</v>
      </c>
      <c r="H671" t="s">
        <v>69</v>
      </c>
      <c r="I671" t="s">
        <v>265</v>
      </c>
      <c r="J671" t="s">
        <v>266</v>
      </c>
      <c r="K671">
        <v>2004</v>
      </c>
      <c r="L671">
        <v>2004</v>
      </c>
      <c r="M671">
        <v>0.99</v>
      </c>
      <c r="N671">
        <v>4.1630000000000003</v>
      </c>
      <c r="R671" t="s">
        <v>72</v>
      </c>
      <c r="S671" t="s">
        <v>4270</v>
      </c>
      <c r="T671" t="b">
        <v>1</v>
      </c>
      <c r="U671" t="s">
        <v>637</v>
      </c>
      <c r="V671" t="s">
        <v>4277</v>
      </c>
      <c r="W671" t="s">
        <v>4278</v>
      </c>
      <c r="X671" t="s">
        <v>47</v>
      </c>
      <c r="AA671" t="s">
        <v>4273</v>
      </c>
      <c r="AC671" t="s">
        <v>4274</v>
      </c>
      <c r="AD671" t="b">
        <v>0</v>
      </c>
      <c r="AF671">
        <v>8</v>
      </c>
      <c r="AG671" t="s">
        <v>78</v>
      </c>
    </row>
    <row r="672" spans="1:33" x14ac:dyDescent="0.2">
      <c r="A672">
        <v>1913</v>
      </c>
      <c r="B672" t="s">
        <v>4269</v>
      </c>
      <c r="C672" t="s">
        <v>34</v>
      </c>
      <c r="D672" t="s">
        <v>35</v>
      </c>
      <c r="E672" t="s">
        <v>459</v>
      </c>
      <c r="F672" t="s">
        <v>460</v>
      </c>
      <c r="G672" t="s">
        <v>53</v>
      </c>
      <c r="H672" t="s">
        <v>54</v>
      </c>
      <c r="I672" t="s">
        <v>461</v>
      </c>
      <c r="J672" t="s">
        <v>462</v>
      </c>
      <c r="K672">
        <v>2018</v>
      </c>
      <c r="L672">
        <v>2018</v>
      </c>
      <c r="M672">
        <v>6.06</v>
      </c>
      <c r="N672">
        <v>16.524000000000001</v>
      </c>
      <c r="O672">
        <v>256</v>
      </c>
      <c r="P672">
        <v>2.9</v>
      </c>
      <c r="Q672">
        <v>0.57999999999999996</v>
      </c>
      <c r="R672" t="s">
        <v>57</v>
      </c>
      <c r="S672" t="s">
        <v>4279</v>
      </c>
      <c r="T672" t="b">
        <v>1</v>
      </c>
      <c r="U672" t="s">
        <v>4280</v>
      </c>
      <c r="V672" t="s">
        <v>465</v>
      </c>
      <c r="W672" t="s">
        <v>4281</v>
      </c>
      <c r="X672" t="s">
        <v>47</v>
      </c>
      <c r="AA672" t="s">
        <v>4282</v>
      </c>
      <c r="AB672" t="s">
        <v>49</v>
      </c>
      <c r="AC672" t="s">
        <v>4283</v>
      </c>
      <c r="AD672" t="b">
        <v>0</v>
      </c>
      <c r="AF672">
        <v>7</v>
      </c>
      <c r="AG672" t="s">
        <v>469</v>
      </c>
    </row>
    <row r="673" spans="1:33" x14ac:dyDescent="0.2">
      <c r="A673">
        <v>913</v>
      </c>
      <c r="B673" t="s">
        <v>4284</v>
      </c>
      <c r="C673" t="s">
        <v>34</v>
      </c>
      <c r="D673" t="s">
        <v>35</v>
      </c>
      <c r="E673" t="s">
        <v>4285</v>
      </c>
      <c r="F673" t="s">
        <v>4286</v>
      </c>
      <c r="G673" t="s">
        <v>53</v>
      </c>
      <c r="H673" t="s">
        <v>54</v>
      </c>
      <c r="I673" t="s">
        <v>55</v>
      </c>
      <c r="J673" t="s">
        <v>56</v>
      </c>
      <c r="K673">
        <v>2005</v>
      </c>
      <c r="L673">
        <v>2005</v>
      </c>
      <c r="M673">
        <v>0.45</v>
      </c>
      <c r="N673">
        <v>1.738</v>
      </c>
      <c r="R673" t="s">
        <v>57</v>
      </c>
      <c r="S673" t="s">
        <v>4287</v>
      </c>
      <c r="T673" t="b">
        <v>1</v>
      </c>
      <c r="U673" t="s">
        <v>4288</v>
      </c>
      <c r="V673" t="s">
        <v>4289</v>
      </c>
      <c r="W673" t="s">
        <v>4290</v>
      </c>
      <c r="X673" t="s">
        <v>47</v>
      </c>
      <c r="AA673" t="s">
        <v>3843</v>
      </c>
      <c r="AC673" t="s">
        <v>63</v>
      </c>
      <c r="AD673" t="b">
        <v>0</v>
      </c>
      <c r="AF673">
        <v>6</v>
      </c>
      <c r="AG673" t="s">
        <v>64</v>
      </c>
    </row>
    <row r="674" spans="1:33" x14ac:dyDescent="0.2">
      <c r="A674">
        <v>1865</v>
      </c>
      <c r="B674" t="s">
        <v>4291</v>
      </c>
      <c r="C674" t="s">
        <v>34</v>
      </c>
      <c r="D674" t="s">
        <v>35</v>
      </c>
      <c r="E674" t="s">
        <v>1492</v>
      </c>
      <c r="F674" t="s">
        <v>1493</v>
      </c>
      <c r="G674" t="s">
        <v>53</v>
      </c>
      <c r="H674" t="s">
        <v>54</v>
      </c>
      <c r="I674" t="s">
        <v>55</v>
      </c>
      <c r="J674" t="s">
        <v>56</v>
      </c>
      <c r="K674">
        <v>2017</v>
      </c>
      <c r="L674">
        <v>2017</v>
      </c>
      <c r="M674">
        <v>7.5</v>
      </c>
      <c r="N674">
        <v>17.358000000000001</v>
      </c>
      <c r="O674">
        <v>87</v>
      </c>
      <c r="P674">
        <v>10.199999999999999</v>
      </c>
      <c r="Q674">
        <v>0.20399999999999999</v>
      </c>
      <c r="R674" t="s">
        <v>57</v>
      </c>
      <c r="S674" t="s">
        <v>4292</v>
      </c>
      <c r="T674" t="b">
        <v>1</v>
      </c>
      <c r="U674" t="s">
        <v>4293</v>
      </c>
      <c r="V674" t="s">
        <v>1496</v>
      </c>
      <c r="W674" t="s">
        <v>4294</v>
      </c>
      <c r="X674" t="s">
        <v>47</v>
      </c>
      <c r="AA674" t="s">
        <v>3843</v>
      </c>
      <c r="AB674" t="s">
        <v>177</v>
      </c>
      <c r="AC674" t="s">
        <v>3844</v>
      </c>
      <c r="AD674" t="b">
        <v>0</v>
      </c>
      <c r="AF674">
        <v>6</v>
      </c>
      <c r="AG674" t="s">
        <v>64</v>
      </c>
    </row>
    <row r="675" spans="1:33" x14ac:dyDescent="0.2">
      <c r="A675">
        <v>547</v>
      </c>
      <c r="B675" t="s">
        <v>4295</v>
      </c>
      <c r="C675" t="s">
        <v>34</v>
      </c>
      <c r="D675" t="s">
        <v>35</v>
      </c>
      <c r="E675" t="s">
        <v>36</v>
      </c>
      <c r="F675" t="s">
        <v>37</v>
      </c>
      <c r="G675" t="s">
        <v>53</v>
      </c>
      <c r="H675" t="s">
        <v>54</v>
      </c>
      <c r="I675" t="s">
        <v>532</v>
      </c>
      <c r="J675" t="s">
        <v>533</v>
      </c>
      <c r="K675">
        <v>1989</v>
      </c>
      <c r="L675">
        <v>1989</v>
      </c>
      <c r="M675">
        <v>288</v>
      </c>
      <c r="N675">
        <v>932.11400000000003</v>
      </c>
      <c r="O675">
        <v>1163</v>
      </c>
      <c r="P675">
        <v>29</v>
      </c>
      <c r="Q675">
        <v>2.7589999999999999</v>
      </c>
      <c r="R675" t="s">
        <v>57</v>
      </c>
      <c r="S675" t="s">
        <v>4296</v>
      </c>
      <c r="T675" t="b">
        <v>1</v>
      </c>
      <c r="U675" t="s">
        <v>4297</v>
      </c>
      <c r="V675" t="s">
        <v>45</v>
      </c>
      <c r="W675" t="s">
        <v>4298</v>
      </c>
      <c r="X675" t="s">
        <v>47</v>
      </c>
      <c r="AA675" t="s">
        <v>2689</v>
      </c>
      <c r="AB675" t="s">
        <v>49</v>
      </c>
      <c r="AC675" t="s">
        <v>2690</v>
      </c>
      <c r="AD675" t="b">
        <v>0</v>
      </c>
      <c r="AF675">
        <v>7</v>
      </c>
      <c r="AG675" t="s">
        <v>469</v>
      </c>
    </row>
    <row r="676" spans="1:33" x14ac:dyDescent="0.2">
      <c r="A676">
        <v>187</v>
      </c>
      <c r="B676" t="s">
        <v>4299</v>
      </c>
      <c r="C676" t="s">
        <v>296</v>
      </c>
      <c r="D676" t="s">
        <v>297</v>
      </c>
      <c r="E676" t="s">
        <v>36</v>
      </c>
      <c r="F676" t="s">
        <v>37</v>
      </c>
      <c r="G676" t="s">
        <v>53</v>
      </c>
      <c r="H676" t="s">
        <v>54</v>
      </c>
      <c r="I676" t="s">
        <v>118</v>
      </c>
      <c r="J676" t="s">
        <v>119</v>
      </c>
      <c r="K676">
        <v>1974</v>
      </c>
      <c r="L676">
        <v>1974</v>
      </c>
      <c r="M676">
        <v>35</v>
      </c>
      <c r="N676">
        <v>74.778000000000006</v>
      </c>
      <c r="O676">
        <v>200</v>
      </c>
      <c r="P676">
        <v>27.01</v>
      </c>
      <c r="Q676">
        <v>0.36</v>
      </c>
      <c r="R676" t="s">
        <v>57</v>
      </c>
      <c r="S676" t="s">
        <v>4300</v>
      </c>
      <c r="T676" t="b">
        <v>1</v>
      </c>
      <c r="U676" t="s">
        <v>4301</v>
      </c>
      <c r="V676" t="s">
        <v>4302</v>
      </c>
      <c r="W676" t="s">
        <v>4303</v>
      </c>
      <c r="X676" t="s">
        <v>47</v>
      </c>
      <c r="AA676" t="s">
        <v>4304</v>
      </c>
      <c r="AB676" t="s">
        <v>83</v>
      </c>
      <c r="AC676" t="s">
        <v>2742</v>
      </c>
      <c r="AD676" t="b">
        <v>0</v>
      </c>
      <c r="AF676">
        <v>6</v>
      </c>
      <c r="AG676" t="s">
        <v>64</v>
      </c>
    </row>
    <row r="677" spans="1:33" x14ac:dyDescent="0.2">
      <c r="A677">
        <v>1480</v>
      </c>
      <c r="B677" t="s">
        <v>4305</v>
      </c>
      <c r="C677" t="s">
        <v>34</v>
      </c>
      <c r="D677" t="s">
        <v>35</v>
      </c>
      <c r="E677" t="s">
        <v>4306</v>
      </c>
      <c r="F677" t="s">
        <v>4307</v>
      </c>
      <c r="G677" t="s">
        <v>242</v>
      </c>
      <c r="H677" t="s">
        <v>243</v>
      </c>
      <c r="I677" t="s">
        <v>244</v>
      </c>
      <c r="J677" t="s">
        <v>245</v>
      </c>
      <c r="K677">
        <v>2009</v>
      </c>
      <c r="L677">
        <v>2009</v>
      </c>
      <c r="M677">
        <v>2.4</v>
      </c>
      <c r="N677">
        <v>7.0540000000000003</v>
      </c>
      <c r="O677">
        <v>58</v>
      </c>
      <c r="P677">
        <v>4.7</v>
      </c>
      <c r="Q677">
        <v>0.14199999999999999</v>
      </c>
      <c r="R677" t="s">
        <v>72</v>
      </c>
      <c r="S677" t="s">
        <v>4308</v>
      </c>
      <c r="T677" t="b">
        <v>1</v>
      </c>
      <c r="U677" t="s">
        <v>4309</v>
      </c>
      <c r="V677" t="s">
        <v>4310</v>
      </c>
      <c r="W677" t="s">
        <v>4311</v>
      </c>
      <c r="X677" t="s">
        <v>47</v>
      </c>
      <c r="AA677" t="s">
        <v>250</v>
      </c>
      <c r="AB677" t="s">
        <v>308</v>
      </c>
      <c r="AC677" t="s">
        <v>2585</v>
      </c>
      <c r="AD677" t="b">
        <v>0</v>
      </c>
      <c r="AF677">
        <v>9</v>
      </c>
      <c r="AG677" t="s">
        <v>251</v>
      </c>
    </row>
    <row r="678" spans="1:33" x14ac:dyDescent="0.2">
      <c r="A678">
        <v>188</v>
      </c>
      <c r="B678" t="s">
        <v>4312</v>
      </c>
      <c r="C678" t="s">
        <v>34</v>
      </c>
      <c r="D678" t="s">
        <v>35</v>
      </c>
      <c r="E678" t="s">
        <v>4313</v>
      </c>
      <c r="F678" t="s">
        <v>4314</v>
      </c>
      <c r="G678" t="s">
        <v>242</v>
      </c>
      <c r="H678" t="s">
        <v>243</v>
      </c>
      <c r="I678" t="s">
        <v>3245</v>
      </c>
      <c r="J678" t="s">
        <v>109</v>
      </c>
      <c r="K678">
        <v>1968</v>
      </c>
      <c r="L678">
        <v>1968</v>
      </c>
      <c r="M678">
        <v>7</v>
      </c>
      <c r="N678">
        <v>34.795000000000002</v>
      </c>
      <c r="O678">
        <v>106.8</v>
      </c>
      <c r="P678">
        <v>8</v>
      </c>
      <c r="Q678">
        <v>0.24299999999999999</v>
      </c>
      <c r="R678" t="s">
        <v>72</v>
      </c>
      <c r="S678" t="s">
        <v>4315</v>
      </c>
      <c r="T678" t="b">
        <v>1</v>
      </c>
      <c r="U678" t="s">
        <v>4316</v>
      </c>
      <c r="V678" t="s">
        <v>4317</v>
      </c>
      <c r="W678" t="s">
        <v>4318</v>
      </c>
      <c r="X678" t="s">
        <v>47</v>
      </c>
      <c r="AA678" t="s">
        <v>982</v>
      </c>
      <c r="AB678" t="s">
        <v>612</v>
      </c>
      <c r="AC678" t="s">
        <v>983</v>
      </c>
      <c r="AD678" t="b">
        <v>0</v>
      </c>
      <c r="AF678">
        <v>9</v>
      </c>
      <c r="AG678" t="s">
        <v>251</v>
      </c>
    </row>
    <row r="679" spans="1:33" x14ac:dyDescent="0.2">
      <c r="A679">
        <v>1034</v>
      </c>
      <c r="B679" t="s">
        <v>4319</v>
      </c>
      <c r="C679" t="s">
        <v>34</v>
      </c>
      <c r="D679" t="s">
        <v>35</v>
      </c>
      <c r="E679" t="s">
        <v>4320</v>
      </c>
      <c r="F679" t="s">
        <v>4321</v>
      </c>
      <c r="G679" t="s">
        <v>503</v>
      </c>
      <c r="H679" t="s">
        <v>462</v>
      </c>
      <c r="I679" t="s">
        <v>504</v>
      </c>
      <c r="J679" t="s">
        <v>109</v>
      </c>
      <c r="K679">
        <v>2002</v>
      </c>
      <c r="L679">
        <v>2002</v>
      </c>
      <c r="M679">
        <v>0.45</v>
      </c>
      <c r="N679">
        <v>1.399</v>
      </c>
      <c r="R679" t="s">
        <v>84</v>
      </c>
      <c r="S679" t="s">
        <v>4322</v>
      </c>
      <c r="T679" t="b">
        <v>1</v>
      </c>
      <c r="U679" t="s">
        <v>4323</v>
      </c>
      <c r="V679" t="s">
        <v>4324</v>
      </c>
      <c r="W679" t="s">
        <v>4325</v>
      </c>
      <c r="X679" t="s">
        <v>47</v>
      </c>
      <c r="AA679" t="s">
        <v>509</v>
      </c>
      <c r="AC679" t="s">
        <v>510</v>
      </c>
      <c r="AD679" t="b">
        <v>0</v>
      </c>
      <c r="AF679">
        <v>3</v>
      </c>
      <c r="AG679" t="s">
        <v>332</v>
      </c>
    </row>
    <row r="680" spans="1:33" x14ac:dyDescent="0.2">
      <c r="A680">
        <v>782</v>
      </c>
      <c r="B680" t="s">
        <v>4326</v>
      </c>
      <c r="C680" t="s">
        <v>34</v>
      </c>
      <c r="D680" t="s">
        <v>35</v>
      </c>
      <c r="E680" t="s">
        <v>1739</v>
      </c>
      <c r="F680" t="s">
        <v>1740</v>
      </c>
      <c r="G680" t="s">
        <v>68</v>
      </c>
      <c r="H680" t="s">
        <v>69</v>
      </c>
      <c r="I680" t="s">
        <v>1974</v>
      </c>
      <c r="J680" t="s">
        <v>1975</v>
      </c>
      <c r="K680">
        <v>2002</v>
      </c>
      <c r="L680">
        <v>2002</v>
      </c>
      <c r="M680">
        <v>7</v>
      </c>
      <c r="N680">
        <v>21.343</v>
      </c>
      <c r="O680">
        <v>172</v>
      </c>
      <c r="P680">
        <v>4.8</v>
      </c>
      <c r="Q680">
        <v>0.40500000000000003</v>
      </c>
      <c r="R680" t="s">
        <v>72</v>
      </c>
      <c r="S680" t="s">
        <v>4327</v>
      </c>
      <c r="T680" t="b">
        <v>1</v>
      </c>
      <c r="U680" t="s">
        <v>4328</v>
      </c>
      <c r="V680" t="s">
        <v>1745</v>
      </c>
      <c r="W680" t="s">
        <v>4329</v>
      </c>
      <c r="X680" t="s">
        <v>47</v>
      </c>
      <c r="AA680" t="s">
        <v>479</v>
      </c>
      <c r="AB680" t="s">
        <v>49</v>
      </c>
      <c r="AC680" t="s">
        <v>1980</v>
      </c>
      <c r="AD680" t="b">
        <v>0</v>
      </c>
      <c r="AF680">
        <v>8</v>
      </c>
      <c r="AG680" t="s">
        <v>78</v>
      </c>
    </row>
    <row r="681" spans="1:33" x14ac:dyDescent="0.2">
      <c r="A681">
        <v>880</v>
      </c>
      <c r="B681" t="s">
        <v>4330</v>
      </c>
      <c r="C681" t="s">
        <v>34</v>
      </c>
      <c r="D681" t="s">
        <v>35</v>
      </c>
      <c r="G681" t="s">
        <v>224</v>
      </c>
      <c r="H681" t="s">
        <v>225</v>
      </c>
      <c r="I681" t="s">
        <v>1544</v>
      </c>
      <c r="J681" t="s">
        <v>426</v>
      </c>
      <c r="K681">
        <v>1998</v>
      </c>
      <c r="L681">
        <v>1998</v>
      </c>
      <c r="M681">
        <v>0.01</v>
      </c>
      <c r="N681">
        <v>4.2000000000000003E-2</v>
      </c>
      <c r="R681" t="s">
        <v>57</v>
      </c>
      <c r="S681" t="s">
        <v>4331</v>
      </c>
      <c r="T681" t="b">
        <v>1</v>
      </c>
      <c r="U681" t="s">
        <v>455</v>
      </c>
      <c r="V681" t="s">
        <v>3040</v>
      </c>
      <c r="W681" t="s">
        <v>4332</v>
      </c>
      <c r="X681" t="s">
        <v>47</v>
      </c>
      <c r="AA681" t="s">
        <v>1548</v>
      </c>
      <c r="AC681" t="s">
        <v>1549</v>
      </c>
      <c r="AD681" t="b">
        <v>0</v>
      </c>
      <c r="AF681">
        <v>2</v>
      </c>
      <c r="AG681" t="s">
        <v>287</v>
      </c>
    </row>
    <row r="682" spans="1:33" x14ac:dyDescent="0.2">
      <c r="A682">
        <v>1948</v>
      </c>
      <c r="B682" t="s">
        <v>153</v>
      </c>
      <c r="C682" t="s">
        <v>34</v>
      </c>
      <c r="D682" t="s">
        <v>35</v>
      </c>
      <c r="E682" t="s">
        <v>4333</v>
      </c>
      <c r="F682" t="s">
        <v>4334</v>
      </c>
      <c r="G682" t="s">
        <v>53</v>
      </c>
      <c r="H682" t="s">
        <v>54</v>
      </c>
      <c r="I682" t="s">
        <v>147</v>
      </c>
      <c r="J682" t="s">
        <v>148</v>
      </c>
      <c r="K682">
        <v>2021</v>
      </c>
      <c r="L682">
        <v>2021</v>
      </c>
      <c r="M682">
        <v>62</v>
      </c>
      <c r="N682">
        <v>268.09899999999999</v>
      </c>
      <c r="O682">
        <v>131.80000000000001</v>
      </c>
      <c r="P682">
        <v>55</v>
      </c>
      <c r="Q682">
        <v>0.313</v>
      </c>
      <c r="R682" t="s">
        <v>72</v>
      </c>
      <c r="S682" t="s">
        <v>4335</v>
      </c>
      <c r="T682" t="b">
        <v>1</v>
      </c>
      <c r="U682" t="s">
        <v>3065</v>
      </c>
      <c r="V682" t="s">
        <v>4336</v>
      </c>
      <c r="W682" t="s">
        <v>4337</v>
      </c>
      <c r="X682" t="s">
        <v>47</v>
      </c>
      <c r="AA682" t="s">
        <v>153</v>
      </c>
      <c r="AB682" t="s">
        <v>836</v>
      </c>
      <c r="AC682" t="s">
        <v>154</v>
      </c>
      <c r="AD682" t="b">
        <v>0</v>
      </c>
      <c r="AF682">
        <v>13</v>
      </c>
      <c r="AG682" t="s">
        <v>155</v>
      </c>
    </row>
    <row r="683" spans="1:33" x14ac:dyDescent="0.2">
      <c r="A683">
        <v>951</v>
      </c>
      <c r="B683" t="s">
        <v>4338</v>
      </c>
      <c r="C683" t="s">
        <v>34</v>
      </c>
      <c r="D683" t="s">
        <v>35</v>
      </c>
      <c r="E683" t="s">
        <v>4339</v>
      </c>
      <c r="F683" t="s">
        <v>4340</v>
      </c>
      <c r="G683" t="s">
        <v>53</v>
      </c>
      <c r="H683" t="s">
        <v>54</v>
      </c>
      <c r="I683" t="s">
        <v>147</v>
      </c>
      <c r="J683" t="s">
        <v>148</v>
      </c>
      <c r="K683">
        <v>2003</v>
      </c>
      <c r="L683">
        <v>2003</v>
      </c>
      <c r="M683">
        <v>0.14399999999999999</v>
      </c>
      <c r="N683">
        <v>0.745</v>
      </c>
      <c r="R683" t="s">
        <v>72</v>
      </c>
      <c r="S683" t="s">
        <v>4341</v>
      </c>
      <c r="T683" t="b">
        <v>1</v>
      </c>
      <c r="U683" t="s">
        <v>2246</v>
      </c>
      <c r="V683" t="s">
        <v>4342</v>
      </c>
      <c r="W683" t="s">
        <v>4343</v>
      </c>
      <c r="X683" t="s">
        <v>47</v>
      </c>
      <c r="AA683" t="s">
        <v>153</v>
      </c>
      <c r="AC683" t="s">
        <v>154</v>
      </c>
      <c r="AD683" t="b">
        <v>0</v>
      </c>
      <c r="AF683">
        <v>13</v>
      </c>
      <c r="AG683" t="s">
        <v>155</v>
      </c>
    </row>
    <row r="684" spans="1:33" x14ac:dyDescent="0.2">
      <c r="A684">
        <v>1653</v>
      </c>
      <c r="B684" t="s">
        <v>4344</v>
      </c>
      <c r="C684" t="s">
        <v>34</v>
      </c>
      <c r="D684" t="s">
        <v>35</v>
      </c>
      <c r="E684" t="s">
        <v>4345</v>
      </c>
      <c r="F684" t="s">
        <v>4346</v>
      </c>
      <c r="G684" t="s">
        <v>53</v>
      </c>
      <c r="H684" t="s">
        <v>54</v>
      </c>
      <c r="I684" t="s">
        <v>2058</v>
      </c>
      <c r="J684" t="s">
        <v>354</v>
      </c>
      <c r="K684">
        <v>2011</v>
      </c>
      <c r="L684">
        <v>2011</v>
      </c>
      <c r="M684">
        <v>1.68</v>
      </c>
      <c r="N684">
        <v>3.8340000000000001</v>
      </c>
      <c r="O684">
        <v>294</v>
      </c>
      <c r="P684">
        <v>0.67</v>
      </c>
      <c r="Q684">
        <v>0.69699999999999995</v>
      </c>
      <c r="R684" t="s">
        <v>72</v>
      </c>
      <c r="S684" t="s">
        <v>4347</v>
      </c>
      <c r="T684" t="b">
        <v>1</v>
      </c>
      <c r="U684" t="s">
        <v>4348</v>
      </c>
      <c r="V684" t="s">
        <v>4349</v>
      </c>
      <c r="W684" t="s">
        <v>4350</v>
      </c>
      <c r="X684" t="s">
        <v>47</v>
      </c>
      <c r="AA684" t="s">
        <v>114</v>
      </c>
      <c r="AC684" t="s">
        <v>63</v>
      </c>
      <c r="AD684" t="b">
        <v>0</v>
      </c>
      <c r="AF684">
        <v>13</v>
      </c>
      <c r="AG684" t="s">
        <v>155</v>
      </c>
    </row>
    <row r="685" spans="1:33" x14ac:dyDescent="0.2">
      <c r="A685">
        <v>2201</v>
      </c>
      <c r="B685" t="s">
        <v>4351</v>
      </c>
      <c r="C685" t="s">
        <v>34</v>
      </c>
      <c r="D685" t="s">
        <v>35</v>
      </c>
      <c r="G685" t="s">
        <v>93</v>
      </c>
      <c r="H685" t="s">
        <v>94</v>
      </c>
      <c r="I685" t="s">
        <v>4352</v>
      </c>
      <c r="J685" t="s">
        <v>203</v>
      </c>
      <c r="K685">
        <v>2022</v>
      </c>
      <c r="L685">
        <v>2022</v>
      </c>
      <c r="M685">
        <v>9.9000000000000005E-2</v>
      </c>
      <c r="N685">
        <v>0.1</v>
      </c>
      <c r="R685" t="s">
        <v>97</v>
      </c>
      <c r="S685" t="s">
        <v>4353</v>
      </c>
      <c r="T685" t="b">
        <v>1</v>
      </c>
      <c r="U685" t="s">
        <v>4354</v>
      </c>
      <c r="V685" t="s">
        <v>3040</v>
      </c>
      <c r="W685" t="s">
        <v>4355</v>
      </c>
      <c r="X685" t="s">
        <v>47</v>
      </c>
      <c r="AA685" t="s">
        <v>340</v>
      </c>
      <c r="AC685" t="s">
        <v>341</v>
      </c>
      <c r="AD685" t="b">
        <v>0</v>
      </c>
      <c r="AF685">
        <v>1</v>
      </c>
      <c r="AG685" t="s">
        <v>104</v>
      </c>
    </row>
    <row r="686" spans="1:33" x14ac:dyDescent="0.2">
      <c r="A686">
        <v>2157</v>
      </c>
      <c r="B686" t="s">
        <v>4356</v>
      </c>
      <c r="C686" t="s">
        <v>34</v>
      </c>
      <c r="D686" t="s">
        <v>35</v>
      </c>
      <c r="E686" t="s">
        <v>757</v>
      </c>
      <c r="F686" t="s">
        <v>758</v>
      </c>
      <c r="G686" t="s">
        <v>53</v>
      </c>
      <c r="H686" t="s">
        <v>54</v>
      </c>
      <c r="I686" t="s">
        <v>55</v>
      </c>
      <c r="J686" t="s">
        <v>56</v>
      </c>
      <c r="K686">
        <v>2024</v>
      </c>
      <c r="L686">
        <v>2024</v>
      </c>
      <c r="M686">
        <v>1.83</v>
      </c>
      <c r="N686">
        <v>5.0999999999999996</v>
      </c>
      <c r="O686">
        <v>339</v>
      </c>
      <c r="P686">
        <v>0.67100000000000004</v>
      </c>
      <c r="Q686">
        <v>0.749</v>
      </c>
      <c r="R686" t="s">
        <v>57</v>
      </c>
      <c r="S686" t="s">
        <v>4357</v>
      </c>
      <c r="T686" t="b">
        <v>1</v>
      </c>
      <c r="U686" t="s">
        <v>4358</v>
      </c>
      <c r="V686" t="s">
        <v>761</v>
      </c>
      <c r="W686" t="s">
        <v>4359</v>
      </c>
      <c r="X686" t="s">
        <v>47</v>
      </c>
      <c r="AA686" t="s">
        <v>741</v>
      </c>
      <c r="AC686" t="s">
        <v>742</v>
      </c>
      <c r="AD686" t="b">
        <v>0</v>
      </c>
      <c r="AF686">
        <v>6</v>
      </c>
      <c r="AG686" t="s">
        <v>64</v>
      </c>
    </row>
    <row r="687" spans="1:33" x14ac:dyDescent="0.2">
      <c r="A687">
        <v>191</v>
      </c>
      <c r="B687" t="s">
        <v>4360</v>
      </c>
      <c r="C687" t="s">
        <v>34</v>
      </c>
      <c r="D687" t="s">
        <v>35</v>
      </c>
      <c r="E687" t="s">
        <v>404</v>
      </c>
      <c r="F687" t="s">
        <v>405</v>
      </c>
      <c r="G687" t="s">
        <v>312</v>
      </c>
      <c r="H687" t="s">
        <v>313</v>
      </c>
      <c r="I687" t="s">
        <v>2224</v>
      </c>
      <c r="J687" t="s">
        <v>119</v>
      </c>
      <c r="K687">
        <v>1970</v>
      </c>
      <c r="L687">
        <v>1970</v>
      </c>
      <c r="M687">
        <v>55.2</v>
      </c>
      <c r="N687">
        <v>185.79400000000001</v>
      </c>
      <c r="O687">
        <v>278.60000000000002</v>
      </c>
      <c r="P687">
        <v>24</v>
      </c>
      <c r="Q687">
        <v>0.63800000000000001</v>
      </c>
      <c r="R687" t="s">
        <v>84</v>
      </c>
      <c r="S687" t="s">
        <v>4361</v>
      </c>
      <c r="T687" t="b">
        <v>1</v>
      </c>
      <c r="U687" t="s">
        <v>4362</v>
      </c>
      <c r="V687" t="s">
        <v>408</v>
      </c>
      <c r="W687" t="s">
        <v>4363</v>
      </c>
      <c r="X687" t="s">
        <v>47</v>
      </c>
      <c r="AA687" t="s">
        <v>509</v>
      </c>
      <c r="AB687" t="s">
        <v>1072</v>
      </c>
      <c r="AC687" t="s">
        <v>510</v>
      </c>
      <c r="AD687" t="b">
        <v>0</v>
      </c>
      <c r="AF687">
        <v>4</v>
      </c>
      <c r="AG687" t="s">
        <v>321</v>
      </c>
    </row>
    <row r="688" spans="1:33" x14ac:dyDescent="0.2">
      <c r="A688">
        <v>1501</v>
      </c>
      <c r="B688" t="s">
        <v>4364</v>
      </c>
      <c r="C688" t="s">
        <v>34</v>
      </c>
      <c r="D688" t="s">
        <v>35</v>
      </c>
      <c r="E688" t="s">
        <v>1504</v>
      </c>
      <c r="F688" t="s">
        <v>1505</v>
      </c>
      <c r="G688" t="s">
        <v>213</v>
      </c>
      <c r="H688" t="s">
        <v>83</v>
      </c>
      <c r="I688" t="s">
        <v>711</v>
      </c>
      <c r="J688" t="s">
        <v>515</v>
      </c>
      <c r="K688">
        <v>2010</v>
      </c>
      <c r="L688">
        <v>2010</v>
      </c>
      <c r="M688">
        <v>34</v>
      </c>
      <c r="N688">
        <v>80.129000000000005</v>
      </c>
      <c r="O688">
        <v>281</v>
      </c>
      <c r="P688">
        <v>13</v>
      </c>
      <c r="Q688">
        <v>0.72599999999999998</v>
      </c>
      <c r="R688" t="s">
        <v>84</v>
      </c>
      <c r="S688" t="s">
        <v>4365</v>
      </c>
      <c r="T688" t="b">
        <v>1</v>
      </c>
      <c r="U688" t="s">
        <v>4366</v>
      </c>
      <c r="V688" t="s">
        <v>1508</v>
      </c>
      <c r="W688" t="s">
        <v>4367</v>
      </c>
      <c r="X688" t="s">
        <v>47</v>
      </c>
      <c r="AA688" t="s">
        <v>1510</v>
      </c>
      <c r="AB688" t="s">
        <v>49</v>
      </c>
      <c r="AC688" t="s">
        <v>1511</v>
      </c>
      <c r="AD688" t="b">
        <v>0</v>
      </c>
      <c r="AF688">
        <v>4</v>
      </c>
      <c r="AG688" t="s">
        <v>321</v>
      </c>
    </row>
    <row r="689" spans="1:33" x14ac:dyDescent="0.2">
      <c r="A689">
        <v>1539</v>
      </c>
      <c r="B689" t="s">
        <v>4368</v>
      </c>
      <c r="C689" t="s">
        <v>34</v>
      </c>
      <c r="D689" t="s">
        <v>35</v>
      </c>
      <c r="E689" t="s">
        <v>4369</v>
      </c>
      <c r="F689" t="s">
        <v>4370</v>
      </c>
      <c r="G689" t="s">
        <v>213</v>
      </c>
      <c r="H689" t="s">
        <v>83</v>
      </c>
      <c r="I689" t="s">
        <v>4143</v>
      </c>
      <c r="J689" t="s">
        <v>83</v>
      </c>
      <c r="K689">
        <v>2009</v>
      </c>
      <c r="L689">
        <v>2009</v>
      </c>
      <c r="M689">
        <v>4.5</v>
      </c>
      <c r="N689">
        <v>15.944000000000001</v>
      </c>
      <c r="O689">
        <v>222.1</v>
      </c>
      <c r="P689">
        <v>2.35</v>
      </c>
      <c r="Q689">
        <v>0.53200000000000003</v>
      </c>
      <c r="R689" t="s">
        <v>84</v>
      </c>
      <c r="S689" t="s">
        <v>4371</v>
      </c>
      <c r="T689" t="b">
        <v>1</v>
      </c>
      <c r="U689" t="s">
        <v>1262</v>
      </c>
      <c r="V689" t="s">
        <v>4372</v>
      </c>
      <c r="W689" t="s">
        <v>4373</v>
      </c>
      <c r="X689" t="s">
        <v>47</v>
      </c>
      <c r="AA689" t="s">
        <v>4374</v>
      </c>
      <c r="AB689" t="s">
        <v>49</v>
      </c>
      <c r="AC689" t="s">
        <v>4375</v>
      </c>
      <c r="AD689" t="b">
        <v>0</v>
      </c>
      <c r="AF689">
        <v>4</v>
      </c>
      <c r="AG689" t="s">
        <v>321</v>
      </c>
    </row>
    <row r="690" spans="1:33" x14ac:dyDescent="0.2">
      <c r="A690">
        <v>1541</v>
      </c>
      <c r="B690" t="s">
        <v>4376</v>
      </c>
      <c r="C690" t="s">
        <v>34</v>
      </c>
      <c r="D690" t="s">
        <v>35</v>
      </c>
      <c r="E690" t="s">
        <v>1492</v>
      </c>
      <c r="F690" t="s">
        <v>1493</v>
      </c>
      <c r="G690" t="s">
        <v>53</v>
      </c>
      <c r="H690" t="s">
        <v>54</v>
      </c>
      <c r="I690" t="s">
        <v>325</v>
      </c>
      <c r="J690" t="s">
        <v>135</v>
      </c>
      <c r="K690">
        <v>2010</v>
      </c>
      <c r="L690">
        <v>2010</v>
      </c>
      <c r="M690">
        <v>0.99</v>
      </c>
      <c r="N690">
        <v>3.0990000000000002</v>
      </c>
      <c r="O690">
        <v>253.8</v>
      </c>
      <c r="P690">
        <v>0.56999999999999995</v>
      </c>
      <c r="Q690">
        <v>0.55500000000000005</v>
      </c>
      <c r="R690" t="s">
        <v>57</v>
      </c>
      <c r="S690" t="s">
        <v>2901</v>
      </c>
      <c r="T690" t="b">
        <v>1</v>
      </c>
      <c r="U690" t="s">
        <v>4377</v>
      </c>
      <c r="V690" t="s">
        <v>1496</v>
      </c>
      <c r="W690" t="s">
        <v>4378</v>
      </c>
      <c r="X690" t="s">
        <v>47</v>
      </c>
      <c r="AA690" t="s">
        <v>114</v>
      </c>
      <c r="AC690" t="s">
        <v>63</v>
      </c>
      <c r="AD690" t="b">
        <v>0</v>
      </c>
      <c r="AF690">
        <v>6</v>
      </c>
      <c r="AG690" t="s">
        <v>64</v>
      </c>
    </row>
    <row r="691" spans="1:33" x14ac:dyDescent="0.2">
      <c r="A691">
        <v>192</v>
      </c>
      <c r="B691" t="s">
        <v>4379</v>
      </c>
      <c r="C691" t="s">
        <v>34</v>
      </c>
      <c r="D691" t="s">
        <v>35</v>
      </c>
      <c r="E691" t="s">
        <v>404</v>
      </c>
      <c r="F691" t="s">
        <v>405</v>
      </c>
      <c r="G691" t="s">
        <v>224</v>
      </c>
      <c r="H691" t="s">
        <v>225</v>
      </c>
      <c r="I691" t="s">
        <v>1710</v>
      </c>
      <c r="J691" t="s">
        <v>1077</v>
      </c>
      <c r="K691">
        <v>1951</v>
      </c>
      <c r="L691">
        <v>1951</v>
      </c>
      <c r="M691">
        <v>85.5</v>
      </c>
      <c r="N691">
        <v>582.16200000000003</v>
      </c>
      <c r="O691">
        <v>70</v>
      </c>
      <c r="P691">
        <v>143</v>
      </c>
      <c r="Q691">
        <v>0.16500000000000001</v>
      </c>
      <c r="R691" t="s">
        <v>97</v>
      </c>
      <c r="S691" t="s">
        <v>4380</v>
      </c>
      <c r="T691" t="b">
        <v>1</v>
      </c>
      <c r="U691" t="s">
        <v>4381</v>
      </c>
      <c r="V691" t="s">
        <v>408</v>
      </c>
      <c r="W691" t="s">
        <v>4382</v>
      </c>
      <c r="X691" t="s">
        <v>47</v>
      </c>
      <c r="AA691" t="s">
        <v>102</v>
      </c>
      <c r="AB691" t="s">
        <v>160</v>
      </c>
      <c r="AC691" t="s">
        <v>103</v>
      </c>
      <c r="AD691" t="b">
        <v>0</v>
      </c>
      <c r="AF691">
        <v>1</v>
      </c>
      <c r="AG691" t="s">
        <v>104</v>
      </c>
    </row>
    <row r="692" spans="1:33" x14ac:dyDescent="0.2">
      <c r="A692">
        <v>193</v>
      </c>
      <c r="B692" t="s">
        <v>4383</v>
      </c>
      <c r="C692" t="s">
        <v>34</v>
      </c>
      <c r="D692" t="s">
        <v>35</v>
      </c>
      <c r="E692" t="s">
        <v>4384</v>
      </c>
      <c r="F692" t="s">
        <v>4385</v>
      </c>
      <c r="G692" t="s">
        <v>53</v>
      </c>
      <c r="H692" t="s">
        <v>54</v>
      </c>
      <c r="I692" t="s">
        <v>675</v>
      </c>
      <c r="J692" t="s">
        <v>676</v>
      </c>
      <c r="K692">
        <v>1936</v>
      </c>
      <c r="L692">
        <v>1936</v>
      </c>
      <c r="M692">
        <v>6.3</v>
      </c>
      <c r="N692">
        <v>29.643999999999998</v>
      </c>
      <c r="O692">
        <v>596</v>
      </c>
      <c r="P692">
        <v>1.2</v>
      </c>
      <c r="Q692">
        <v>1.4570000000000001</v>
      </c>
      <c r="R692" t="s">
        <v>57</v>
      </c>
      <c r="S692" t="s">
        <v>4386</v>
      </c>
      <c r="T692" t="b">
        <v>1</v>
      </c>
      <c r="U692" t="s">
        <v>4387</v>
      </c>
      <c r="V692" t="s">
        <v>4388</v>
      </c>
      <c r="W692" t="s">
        <v>4389</v>
      </c>
      <c r="X692" t="s">
        <v>47</v>
      </c>
      <c r="AA692" t="s">
        <v>4390</v>
      </c>
      <c r="AB692" t="s">
        <v>49</v>
      </c>
      <c r="AC692" t="s">
        <v>4391</v>
      </c>
      <c r="AD692" t="b">
        <v>0</v>
      </c>
      <c r="AF692">
        <v>6</v>
      </c>
      <c r="AG692" t="s">
        <v>64</v>
      </c>
    </row>
    <row r="693" spans="1:33" x14ac:dyDescent="0.2">
      <c r="A693">
        <v>194</v>
      </c>
      <c r="B693" t="s">
        <v>4383</v>
      </c>
      <c r="C693" t="s">
        <v>34</v>
      </c>
      <c r="D693" t="s">
        <v>35</v>
      </c>
      <c r="E693" t="s">
        <v>1200</v>
      </c>
      <c r="F693" t="s">
        <v>1201</v>
      </c>
      <c r="G693" t="s">
        <v>53</v>
      </c>
      <c r="H693" t="s">
        <v>54</v>
      </c>
      <c r="I693" t="s">
        <v>170</v>
      </c>
      <c r="J693" t="s">
        <v>171</v>
      </c>
      <c r="K693">
        <v>1964</v>
      </c>
      <c r="L693">
        <v>1964</v>
      </c>
      <c r="M693">
        <v>24</v>
      </c>
      <c r="N693">
        <v>87.506</v>
      </c>
      <c r="O693">
        <v>80.260000000000005</v>
      </c>
      <c r="P693">
        <v>37.9</v>
      </c>
      <c r="Q693">
        <v>0.17599999999999999</v>
      </c>
      <c r="R693" t="s">
        <v>57</v>
      </c>
      <c r="S693" t="s">
        <v>4392</v>
      </c>
      <c r="T693" t="b">
        <v>1</v>
      </c>
      <c r="U693" t="s">
        <v>4393</v>
      </c>
      <c r="V693" t="s">
        <v>1204</v>
      </c>
      <c r="W693" t="s">
        <v>4394</v>
      </c>
      <c r="X693" t="s">
        <v>47</v>
      </c>
      <c r="AA693" t="s">
        <v>1477</v>
      </c>
      <c r="AB693" t="s">
        <v>308</v>
      </c>
      <c r="AC693" t="s">
        <v>1478</v>
      </c>
      <c r="AD693" t="b">
        <v>0</v>
      </c>
      <c r="AF693">
        <v>6</v>
      </c>
      <c r="AG693" t="s">
        <v>64</v>
      </c>
    </row>
    <row r="694" spans="1:33" x14ac:dyDescent="0.2">
      <c r="A694">
        <v>990</v>
      </c>
      <c r="B694" t="s">
        <v>4395</v>
      </c>
      <c r="C694" t="s">
        <v>34</v>
      </c>
      <c r="D694" t="s">
        <v>35</v>
      </c>
      <c r="G694" t="s">
        <v>53</v>
      </c>
      <c r="H694" t="s">
        <v>54</v>
      </c>
      <c r="I694" t="s">
        <v>82</v>
      </c>
      <c r="J694" t="s">
        <v>83</v>
      </c>
      <c r="K694">
        <v>1995</v>
      </c>
      <c r="L694">
        <v>1995</v>
      </c>
      <c r="M694">
        <v>1.4999999999999999E-2</v>
      </c>
      <c r="N694">
        <v>1.2999999999999999E-2</v>
      </c>
      <c r="R694" t="s">
        <v>84</v>
      </c>
      <c r="S694" t="s">
        <v>4396</v>
      </c>
      <c r="T694" t="b">
        <v>1</v>
      </c>
      <c r="U694" t="s">
        <v>2566</v>
      </c>
      <c r="V694" t="s">
        <v>274</v>
      </c>
      <c r="W694" t="s">
        <v>113</v>
      </c>
      <c r="X694" t="s">
        <v>47</v>
      </c>
      <c r="AA694" t="s">
        <v>3302</v>
      </c>
      <c r="AC694" t="s">
        <v>3303</v>
      </c>
      <c r="AD694" t="b">
        <v>0</v>
      </c>
      <c r="AF694">
        <v>5</v>
      </c>
      <c r="AG694" t="s">
        <v>89</v>
      </c>
    </row>
    <row r="695" spans="1:33" x14ac:dyDescent="0.2">
      <c r="A695">
        <v>1765</v>
      </c>
      <c r="B695" t="s">
        <v>4397</v>
      </c>
      <c r="C695" t="s">
        <v>34</v>
      </c>
      <c r="D695" t="s">
        <v>35</v>
      </c>
      <c r="E695" t="s">
        <v>168</v>
      </c>
      <c r="F695" t="s">
        <v>169</v>
      </c>
      <c r="G695" t="s">
        <v>312</v>
      </c>
      <c r="H695" t="s">
        <v>313</v>
      </c>
      <c r="I695" t="s">
        <v>1067</v>
      </c>
      <c r="J695" t="s">
        <v>676</v>
      </c>
      <c r="K695">
        <v>2015</v>
      </c>
      <c r="L695">
        <v>2015</v>
      </c>
      <c r="M695">
        <v>2.8</v>
      </c>
      <c r="N695">
        <v>4.992</v>
      </c>
      <c r="O695">
        <v>204</v>
      </c>
      <c r="P695">
        <v>1.6639999999999999</v>
      </c>
      <c r="Q695">
        <v>0.46700000000000003</v>
      </c>
      <c r="R695" t="s">
        <v>84</v>
      </c>
      <c r="S695" t="s">
        <v>4398</v>
      </c>
      <c r="T695" t="b">
        <v>1</v>
      </c>
      <c r="U695" t="s">
        <v>3632</v>
      </c>
      <c r="V695" t="s">
        <v>174</v>
      </c>
      <c r="W695" t="s">
        <v>4399</v>
      </c>
      <c r="X695" t="s">
        <v>47</v>
      </c>
      <c r="AA695" t="s">
        <v>319</v>
      </c>
      <c r="AB695" t="s">
        <v>243</v>
      </c>
      <c r="AC695" t="s">
        <v>320</v>
      </c>
      <c r="AD695" t="b">
        <v>0</v>
      </c>
      <c r="AF695">
        <v>3</v>
      </c>
      <c r="AG695" t="s">
        <v>332</v>
      </c>
    </row>
    <row r="696" spans="1:33" x14ac:dyDescent="0.2">
      <c r="A696">
        <v>195</v>
      </c>
      <c r="B696" t="s">
        <v>4400</v>
      </c>
      <c r="C696" t="s">
        <v>34</v>
      </c>
      <c r="D696" t="s">
        <v>35</v>
      </c>
      <c r="E696" t="s">
        <v>132</v>
      </c>
      <c r="F696" t="s">
        <v>133</v>
      </c>
      <c r="G696" t="s">
        <v>134</v>
      </c>
      <c r="H696" t="s">
        <v>135</v>
      </c>
      <c r="I696" t="s">
        <v>136</v>
      </c>
      <c r="J696" t="s">
        <v>41</v>
      </c>
      <c r="K696">
        <v>1958</v>
      </c>
      <c r="L696">
        <v>1958</v>
      </c>
      <c r="M696">
        <v>15</v>
      </c>
      <c r="N696">
        <v>71.25</v>
      </c>
      <c r="O696">
        <v>565</v>
      </c>
      <c r="P696">
        <v>3.29</v>
      </c>
      <c r="Q696">
        <v>1.2629999999999999</v>
      </c>
      <c r="R696" t="s">
        <v>42</v>
      </c>
      <c r="S696" t="s">
        <v>4401</v>
      </c>
      <c r="T696" t="b">
        <v>1</v>
      </c>
      <c r="U696" t="s">
        <v>4402</v>
      </c>
      <c r="V696" t="s">
        <v>139</v>
      </c>
      <c r="W696" t="s">
        <v>4403</v>
      </c>
      <c r="X696" t="s">
        <v>47</v>
      </c>
      <c r="AA696" t="s">
        <v>4404</v>
      </c>
      <c r="AB696" t="s">
        <v>49</v>
      </c>
      <c r="AC696" t="s">
        <v>4405</v>
      </c>
      <c r="AD696" t="b">
        <v>0</v>
      </c>
      <c r="AF696">
        <v>10</v>
      </c>
      <c r="AG696" t="s">
        <v>143</v>
      </c>
    </row>
    <row r="697" spans="1:33" x14ac:dyDescent="0.2">
      <c r="A697">
        <v>1996</v>
      </c>
      <c r="B697" t="s">
        <v>4400</v>
      </c>
      <c r="C697" t="s">
        <v>34</v>
      </c>
      <c r="D697" t="s">
        <v>35</v>
      </c>
      <c r="E697" t="s">
        <v>1320</v>
      </c>
      <c r="F697" t="s">
        <v>1321</v>
      </c>
      <c r="G697" t="s">
        <v>134</v>
      </c>
      <c r="H697" t="s">
        <v>135</v>
      </c>
      <c r="I697" t="s">
        <v>191</v>
      </c>
      <c r="J697" t="s">
        <v>192</v>
      </c>
      <c r="K697">
        <v>2019</v>
      </c>
      <c r="L697">
        <v>2019</v>
      </c>
      <c r="M697">
        <v>2.1</v>
      </c>
      <c r="N697">
        <v>5.617</v>
      </c>
      <c r="O697">
        <v>294</v>
      </c>
      <c r="P697">
        <v>0.88</v>
      </c>
      <c r="Q697">
        <v>0.65500000000000003</v>
      </c>
      <c r="R697" t="s">
        <v>42</v>
      </c>
      <c r="S697" t="s">
        <v>4406</v>
      </c>
      <c r="T697" t="b">
        <v>1</v>
      </c>
      <c r="U697" t="s">
        <v>4407</v>
      </c>
      <c r="V697" t="s">
        <v>1324</v>
      </c>
      <c r="W697" t="s">
        <v>4408</v>
      </c>
      <c r="X697" t="s">
        <v>47</v>
      </c>
      <c r="AA697" t="s">
        <v>114</v>
      </c>
      <c r="AC697" t="s">
        <v>63</v>
      </c>
      <c r="AD697" t="b">
        <v>0</v>
      </c>
      <c r="AF697">
        <v>11</v>
      </c>
      <c r="AG697" t="s">
        <v>198</v>
      </c>
    </row>
    <row r="698" spans="1:33" x14ac:dyDescent="0.2">
      <c r="A698">
        <v>1813</v>
      </c>
      <c r="B698" t="s">
        <v>4409</v>
      </c>
      <c r="C698" t="s">
        <v>34</v>
      </c>
      <c r="D698" t="s">
        <v>35</v>
      </c>
      <c r="E698" t="s">
        <v>4410</v>
      </c>
      <c r="F698" t="s">
        <v>4411</v>
      </c>
      <c r="G698" t="s">
        <v>213</v>
      </c>
      <c r="H698" t="s">
        <v>83</v>
      </c>
      <c r="I698" t="s">
        <v>635</v>
      </c>
      <c r="J698" t="s">
        <v>94</v>
      </c>
      <c r="K698">
        <v>2014</v>
      </c>
      <c r="L698">
        <v>2014</v>
      </c>
      <c r="M698">
        <v>2.99</v>
      </c>
      <c r="N698">
        <v>8.9700000000000006</v>
      </c>
      <c r="O698">
        <v>327.33999999999997</v>
      </c>
      <c r="P698">
        <v>1.19</v>
      </c>
      <c r="Q698">
        <v>0.69799999999999995</v>
      </c>
      <c r="R698" t="s">
        <v>84</v>
      </c>
      <c r="S698" t="s">
        <v>4412</v>
      </c>
      <c r="T698" t="b">
        <v>1</v>
      </c>
      <c r="U698" t="s">
        <v>4413</v>
      </c>
      <c r="V698" t="s">
        <v>4414</v>
      </c>
      <c r="W698" t="s">
        <v>4415</v>
      </c>
      <c r="X698" t="s">
        <v>47</v>
      </c>
      <c r="AA698" t="s">
        <v>4416</v>
      </c>
      <c r="AB698" t="s">
        <v>177</v>
      </c>
      <c r="AC698" t="s">
        <v>4417</v>
      </c>
      <c r="AD698" t="b">
        <v>0</v>
      </c>
      <c r="AF698">
        <v>5</v>
      </c>
      <c r="AG698" t="s">
        <v>89</v>
      </c>
    </row>
    <row r="699" spans="1:33" x14ac:dyDescent="0.2">
      <c r="A699">
        <v>1085</v>
      </c>
      <c r="B699" t="s">
        <v>4418</v>
      </c>
      <c r="C699" t="s">
        <v>34</v>
      </c>
      <c r="D699" t="s">
        <v>35</v>
      </c>
      <c r="E699" t="s">
        <v>4419</v>
      </c>
      <c r="F699" t="s">
        <v>4420</v>
      </c>
      <c r="G699" t="s">
        <v>53</v>
      </c>
      <c r="H699" t="s">
        <v>54</v>
      </c>
      <c r="I699" t="s">
        <v>325</v>
      </c>
      <c r="J699" t="s">
        <v>135</v>
      </c>
      <c r="K699">
        <v>2003</v>
      </c>
      <c r="L699">
        <v>2003</v>
      </c>
      <c r="M699">
        <v>5.3999999999999999E-2</v>
      </c>
      <c r="N699">
        <v>0.23899999999999999</v>
      </c>
      <c r="O699">
        <v>190</v>
      </c>
      <c r="P699">
        <v>1.0999999999999999E-2</v>
      </c>
      <c r="R699" t="s">
        <v>57</v>
      </c>
      <c r="S699" t="s">
        <v>4421</v>
      </c>
      <c r="T699" t="b">
        <v>1</v>
      </c>
      <c r="U699" t="s">
        <v>2246</v>
      </c>
      <c r="V699" t="s">
        <v>4422</v>
      </c>
      <c r="W699" t="s">
        <v>4423</v>
      </c>
      <c r="X699" t="s">
        <v>47</v>
      </c>
      <c r="AA699" t="s">
        <v>114</v>
      </c>
      <c r="AC699" t="s">
        <v>63</v>
      </c>
      <c r="AD699" t="b">
        <v>0</v>
      </c>
      <c r="AF699">
        <v>6</v>
      </c>
      <c r="AG699" t="s">
        <v>64</v>
      </c>
    </row>
    <row r="700" spans="1:33" x14ac:dyDescent="0.2">
      <c r="A700">
        <v>886</v>
      </c>
      <c r="B700" t="s">
        <v>4424</v>
      </c>
      <c r="C700" t="s">
        <v>34</v>
      </c>
      <c r="D700" t="s">
        <v>35</v>
      </c>
      <c r="E700" t="s">
        <v>4425</v>
      </c>
      <c r="F700" t="s">
        <v>4426</v>
      </c>
      <c r="G700" t="s">
        <v>213</v>
      </c>
      <c r="H700" t="s">
        <v>83</v>
      </c>
      <c r="I700" t="s">
        <v>635</v>
      </c>
      <c r="J700" t="s">
        <v>94</v>
      </c>
      <c r="K700">
        <v>2000</v>
      </c>
      <c r="L700">
        <v>2000</v>
      </c>
      <c r="M700">
        <v>0.09</v>
      </c>
      <c r="N700">
        <v>0.47699999999999998</v>
      </c>
      <c r="R700" t="s">
        <v>84</v>
      </c>
      <c r="S700" t="s">
        <v>4427</v>
      </c>
      <c r="T700" t="b">
        <v>1</v>
      </c>
      <c r="U700" t="s">
        <v>754</v>
      </c>
      <c r="V700" t="s">
        <v>4428</v>
      </c>
      <c r="W700" t="s">
        <v>4429</v>
      </c>
      <c r="X700" t="s">
        <v>47</v>
      </c>
      <c r="AA700" t="s">
        <v>958</v>
      </c>
      <c r="AC700" t="s">
        <v>959</v>
      </c>
      <c r="AD700" t="b">
        <v>0</v>
      </c>
      <c r="AF700">
        <v>3</v>
      </c>
      <c r="AG700" t="s">
        <v>332</v>
      </c>
    </row>
    <row r="701" spans="1:33" x14ac:dyDescent="0.2">
      <c r="A701">
        <v>196</v>
      </c>
      <c r="B701" t="s">
        <v>4430</v>
      </c>
      <c r="C701" t="s">
        <v>34</v>
      </c>
      <c r="D701" t="s">
        <v>35</v>
      </c>
      <c r="E701" t="s">
        <v>277</v>
      </c>
      <c r="F701" t="s">
        <v>278</v>
      </c>
      <c r="G701" t="s">
        <v>93</v>
      </c>
      <c r="H701" t="s">
        <v>94</v>
      </c>
      <c r="I701" t="s">
        <v>95</v>
      </c>
      <c r="J701" t="s">
        <v>96</v>
      </c>
      <c r="K701">
        <v>1967</v>
      </c>
      <c r="L701">
        <v>1967</v>
      </c>
      <c r="M701">
        <v>19</v>
      </c>
      <c r="N701">
        <v>103.83199999999999</v>
      </c>
      <c r="O701">
        <v>243.3</v>
      </c>
      <c r="P701">
        <v>9.4</v>
      </c>
      <c r="Q701">
        <v>0.56000000000000005</v>
      </c>
      <c r="R701" t="s">
        <v>97</v>
      </c>
      <c r="S701" t="s">
        <v>4431</v>
      </c>
      <c r="T701" t="b">
        <v>1</v>
      </c>
      <c r="U701" t="s">
        <v>4432</v>
      </c>
      <c r="V701" t="s">
        <v>389</v>
      </c>
      <c r="W701" t="s">
        <v>4433</v>
      </c>
      <c r="X701" t="s">
        <v>47</v>
      </c>
      <c r="AA701" t="s">
        <v>102</v>
      </c>
      <c r="AB701" t="s">
        <v>462</v>
      </c>
      <c r="AC701" t="s">
        <v>103</v>
      </c>
      <c r="AD701" t="b">
        <v>0</v>
      </c>
      <c r="AF701">
        <v>1</v>
      </c>
      <c r="AG701" t="s">
        <v>104</v>
      </c>
    </row>
    <row r="702" spans="1:33" x14ac:dyDescent="0.2">
      <c r="A702">
        <v>1155</v>
      </c>
      <c r="B702" t="s">
        <v>4434</v>
      </c>
      <c r="C702" t="s">
        <v>34</v>
      </c>
      <c r="D702" t="s">
        <v>35</v>
      </c>
      <c r="E702" t="s">
        <v>4435</v>
      </c>
      <c r="F702" t="s">
        <v>4436</v>
      </c>
      <c r="G702" t="s">
        <v>242</v>
      </c>
      <c r="H702" t="s">
        <v>243</v>
      </c>
      <c r="I702" t="s">
        <v>3245</v>
      </c>
      <c r="J702" t="s">
        <v>109</v>
      </c>
      <c r="K702">
        <v>2000</v>
      </c>
      <c r="L702">
        <v>2000</v>
      </c>
      <c r="M702">
        <v>0.28000000000000003</v>
      </c>
      <c r="N702">
        <v>0.77400000000000002</v>
      </c>
      <c r="R702" t="s">
        <v>72</v>
      </c>
      <c r="S702" t="s">
        <v>4437</v>
      </c>
      <c r="T702" t="b">
        <v>1</v>
      </c>
      <c r="U702" t="s">
        <v>754</v>
      </c>
      <c r="V702" t="s">
        <v>4438</v>
      </c>
      <c r="W702" t="s">
        <v>4439</v>
      </c>
      <c r="X702" t="s">
        <v>47</v>
      </c>
      <c r="AA702" t="s">
        <v>982</v>
      </c>
      <c r="AC702" t="s">
        <v>983</v>
      </c>
      <c r="AD702" t="b">
        <v>0</v>
      </c>
      <c r="AF702">
        <v>9</v>
      </c>
      <c r="AG702" t="s">
        <v>251</v>
      </c>
    </row>
    <row r="703" spans="1:33" x14ac:dyDescent="0.2">
      <c r="A703">
        <v>989</v>
      </c>
      <c r="B703" t="s">
        <v>4440</v>
      </c>
      <c r="C703" t="s">
        <v>34</v>
      </c>
      <c r="D703" t="s">
        <v>35</v>
      </c>
      <c r="E703" t="s">
        <v>696</v>
      </c>
      <c r="F703" t="s">
        <v>697</v>
      </c>
      <c r="G703" t="s">
        <v>53</v>
      </c>
      <c r="H703" t="s">
        <v>54</v>
      </c>
      <c r="I703" t="s">
        <v>82</v>
      </c>
      <c r="J703" t="s">
        <v>83</v>
      </c>
      <c r="K703">
        <v>2002</v>
      </c>
      <c r="L703">
        <v>2002</v>
      </c>
      <c r="M703">
        <v>0.05</v>
      </c>
      <c r="N703">
        <v>0.26100000000000001</v>
      </c>
      <c r="R703" t="s">
        <v>84</v>
      </c>
      <c r="S703" t="s">
        <v>4441</v>
      </c>
      <c r="T703" t="b">
        <v>1</v>
      </c>
      <c r="U703" t="s">
        <v>247</v>
      </c>
      <c r="V703" t="s">
        <v>700</v>
      </c>
      <c r="W703" t="s">
        <v>4442</v>
      </c>
      <c r="X703" t="s">
        <v>47</v>
      </c>
      <c r="AA703" t="s">
        <v>3302</v>
      </c>
      <c r="AC703" t="s">
        <v>3303</v>
      </c>
      <c r="AD703" t="b">
        <v>0</v>
      </c>
      <c r="AF703">
        <v>5</v>
      </c>
      <c r="AG703" t="s">
        <v>89</v>
      </c>
    </row>
    <row r="704" spans="1:33" x14ac:dyDescent="0.2">
      <c r="A704">
        <v>197</v>
      </c>
      <c r="B704" t="s">
        <v>4443</v>
      </c>
      <c r="C704" t="s">
        <v>34</v>
      </c>
      <c r="D704" t="s">
        <v>35</v>
      </c>
      <c r="E704" t="s">
        <v>91</v>
      </c>
      <c r="F704" t="s">
        <v>92</v>
      </c>
      <c r="G704" t="s">
        <v>503</v>
      </c>
      <c r="H704" t="s">
        <v>462</v>
      </c>
      <c r="I704" t="s">
        <v>1520</v>
      </c>
      <c r="J704" t="s">
        <v>337</v>
      </c>
      <c r="K704">
        <v>1958</v>
      </c>
      <c r="L704">
        <v>1958</v>
      </c>
      <c r="M704">
        <v>1.9</v>
      </c>
      <c r="N704">
        <v>9.4939999999999998</v>
      </c>
      <c r="O704">
        <v>6.4</v>
      </c>
      <c r="P704">
        <v>36</v>
      </c>
      <c r="Q704">
        <v>1.4999999999999999E-2</v>
      </c>
      <c r="R704" t="s">
        <v>84</v>
      </c>
      <c r="S704" t="s">
        <v>4444</v>
      </c>
      <c r="T704" t="b">
        <v>1</v>
      </c>
      <c r="U704" t="s">
        <v>566</v>
      </c>
      <c r="V704" t="s">
        <v>100</v>
      </c>
      <c r="W704" t="s">
        <v>4445</v>
      </c>
      <c r="X704" t="s">
        <v>47</v>
      </c>
      <c r="AA704" t="s">
        <v>1297</v>
      </c>
      <c r="AB704" t="s">
        <v>49</v>
      </c>
      <c r="AC704" t="s">
        <v>1298</v>
      </c>
      <c r="AD704" t="b">
        <v>0</v>
      </c>
      <c r="AF704">
        <v>3</v>
      </c>
      <c r="AG704" t="s">
        <v>332</v>
      </c>
    </row>
    <row r="705" spans="1:33" x14ac:dyDescent="0.2">
      <c r="A705">
        <v>1264</v>
      </c>
      <c r="B705" t="s">
        <v>4446</v>
      </c>
      <c r="C705" t="s">
        <v>34</v>
      </c>
      <c r="D705" t="s">
        <v>35</v>
      </c>
      <c r="G705" t="s">
        <v>53</v>
      </c>
      <c r="H705" t="s">
        <v>54</v>
      </c>
      <c r="I705" t="s">
        <v>147</v>
      </c>
      <c r="J705" t="s">
        <v>148</v>
      </c>
      <c r="K705">
        <v>2005</v>
      </c>
      <c r="L705">
        <v>2005</v>
      </c>
      <c r="M705">
        <v>0.01</v>
      </c>
      <c r="N705">
        <v>0.03</v>
      </c>
      <c r="R705" t="s">
        <v>72</v>
      </c>
      <c r="S705" t="s">
        <v>4447</v>
      </c>
      <c r="T705" t="b">
        <v>1</v>
      </c>
      <c r="U705" t="s">
        <v>237</v>
      </c>
      <c r="V705" t="s">
        <v>274</v>
      </c>
      <c r="W705" t="s">
        <v>4448</v>
      </c>
      <c r="X705" t="s">
        <v>47</v>
      </c>
      <c r="AA705" t="s">
        <v>374</v>
      </c>
      <c r="AC705" t="s">
        <v>63</v>
      </c>
      <c r="AD705" t="b">
        <v>0</v>
      </c>
      <c r="AF705">
        <v>13</v>
      </c>
      <c r="AG705" t="s">
        <v>155</v>
      </c>
    </row>
    <row r="706" spans="1:33" x14ac:dyDescent="0.2">
      <c r="A706">
        <v>1521</v>
      </c>
      <c r="B706" t="s">
        <v>4449</v>
      </c>
      <c r="C706" t="s">
        <v>34</v>
      </c>
      <c r="D706" t="s">
        <v>35</v>
      </c>
      <c r="E706" t="s">
        <v>4450</v>
      </c>
      <c r="F706" t="s">
        <v>4451</v>
      </c>
      <c r="G706" t="s">
        <v>53</v>
      </c>
      <c r="H706" t="s">
        <v>54</v>
      </c>
      <c r="I706" t="s">
        <v>1039</v>
      </c>
      <c r="J706" t="s">
        <v>243</v>
      </c>
      <c r="K706">
        <v>2009</v>
      </c>
      <c r="L706">
        <v>2009</v>
      </c>
      <c r="M706">
        <v>4.8</v>
      </c>
      <c r="N706">
        <v>19.437999999999999</v>
      </c>
      <c r="O706">
        <v>206</v>
      </c>
      <c r="P706">
        <v>3</v>
      </c>
      <c r="Q706">
        <v>0.44400000000000001</v>
      </c>
      <c r="R706" t="s">
        <v>72</v>
      </c>
      <c r="S706" t="s">
        <v>4452</v>
      </c>
      <c r="T706" t="b">
        <v>1</v>
      </c>
      <c r="U706" t="s">
        <v>4453</v>
      </c>
      <c r="V706" t="s">
        <v>4454</v>
      </c>
      <c r="W706" t="s">
        <v>4455</v>
      </c>
      <c r="X706" t="s">
        <v>47</v>
      </c>
      <c r="AA706" t="s">
        <v>400</v>
      </c>
      <c r="AB706" t="s">
        <v>539</v>
      </c>
      <c r="AC706" t="s">
        <v>402</v>
      </c>
      <c r="AD706" t="b">
        <v>0</v>
      </c>
      <c r="AF706">
        <v>13</v>
      </c>
      <c r="AG706" t="s">
        <v>155</v>
      </c>
    </row>
    <row r="707" spans="1:33" x14ac:dyDescent="0.2">
      <c r="A707">
        <v>1519</v>
      </c>
      <c r="B707" t="s">
        <v>4456</v>
      </c>
      <c r="C707" t="s">
        <v>34</v>
      </c>
      <c r="D707" t="s">
        <v>35</v>
      </c>
      <c r="E707" t="s">
        <v>1085</v>
      </c>
      <c r="F707" t="s">
        <v>1086</v>
      </c>
      <c r="G707" t="s">
        <v>134</v>
      </c>
      <c r="H707" t="s">
        <v>135</v>
      </c>
      <c r="I707" t="s">
        <v>641</v>
      </c>
      <c r="J707" t="s">
        <v>109</v>
      </c>
      <c r="K707">
        <v>2010</v>
      </c>
      <c r="L707">
        <v>2010</v>
      </c>
      <c r="M707">
        <v>3.097</v>
      </c>
      <c r="N707">
        <v>6.3929999999999998</v>
      </c>
      <c r="O707">
        <v>253.87</v>
      </c>
      <c r="P707">
        <v>1.53</v>
      </c>
      <c r="Q707">
        <v>0.56200000000000006</v>
      </c>
      <c r="R707" t="s">
        <v>42</v>
      </c>
      <c r="S707" t="s">
        <v>4457</v>
      </c>
      <c r="T707" t="b">
        <v>1</v>
      </c>
      <c r="U707" t="s">
        <v>4458</v>
      </c>
      <c r="V707" t="s">
        <v>1089</v>
      </c>
      <c r="W707" t="s">
        <v>4459</v>
      </c>
      <c r="X707" t="s">
        <v>47</v>
      </c>
      <c r="AA707" t="s">
        <v>640</v>
      </c>
      <c r="AB707" t="s">
        <v>177</v>
      </c>
      <c r="AC707" t="s">
        <v>646</v>
      </c>
      <c r="AD707" t="b">
        <v>0</v>
      </c>
      <c r="AF707">
        <v>10</v>
      </c>
      <c r="AG707" t="s">
        <v>143</v>
      </c>
    </row>
    <row r="708" spans="1:33" x14ac:dyDescent="0.2">
      <c r="A708">
        <v>1583</v>
      </c>
      <c r="B708" t="s">
        <v>4460</v>
      </c>
      <c r="C708" t="s">
        <v>34</v>
      </c>
      <c r="D708" t="s">
        <v>35</v>
      </c>
      <c r="E708" t="s">
        <v>168</v>
      </c>
      <c r="F708" t="s">
        <v>169</v>
      </c>
      <c r="G708" t="s">
        <v>68</v>
      </c>
      <c r="H708" t="s">
        <v>69</v>
      </c>
      <c r="I708" t="s">
        <v>453</v>
      </c>
      <c r="J708" t="s">
        <v>192</v>
      </c>
      <c r="K708">
        <v>2012</v>
      </c>
      <c r="L708">
        <v>2012</v>
      </c>
      <c r="M708">
        <v>5.49</v>
      </c>
      <c r="N708">
        <v>17.2</v>
      </c>
      <c r="O708">
        <v>261</v>
      </c>
      <c r="P708">
        <v>2.85</v>
      </c>
      <c r="Q708">
        <v>0.53500000000000003</v>
      </c>
      <c r="R708" t="s">
        <v>72</v>
      </c>
      <c r="S708" t="s">
        <v>1608</v>
      </c>
      <c r="T708" t="b">
        <v>1</v>
      </c>
      <c r="U708" t="s">
        <v>4461</v>
      </c>
      <c r="V708" t="s">
        <v>174</v>
      </c>
      <c r="W708" t="s">
        <v>4462</v>
      </c>
      <c r="X708" t="s">
        <v>47</v>
      </c>
      <c r="AA708" t="s">
        <v>1611</v>
      </c>
      <c r="AB708" t="s">
        <v>177</v>
      </c>
      <c r="AC708" t="s">
        <v>1612</v>
      </c>
      <c r="AD708" t="b">
        <v>0</v>
      </c>
      <c r="AF708">
        <v>8</v>
      </c>
      <c r="AG708" t="s">
        <v>78</v>
      </c>
    </row>
    <row r="709" spans="1:33" x14ac:dyDescent="0.2">
      <c r="A709">
        <v>1532</v>
      </c>
      <c r="B709" t="s">
        <v>4463</v>
      </c>
      <c r="C709" t="s">
        <v>34</v>
      </c>
      <c r="D709" t="s">
        <v>35</v>
      </c>
      <c r="E709" t="s">
        <v>4464</v>
      </c>
      <c r="F709" t="s">
        <v>4465</v>
      </c>
      <c r="G709" t="s">
        <v>53</v>
      </c>
      <c r="H709" t="s">
        <v>54</v>
      </c>
      <c r="I709" t="s">
        <v>147</v>
      </c>
      <c r="J709" t="s">
        <v>148</v>
      </c>
      <c r="K709">
        <v>2009</v>
      </c>
      <c r="L709">
        <v>2009</v>
      </c>
      <c r="M709">
        <v>0.39</v>
      </c>
      <c r="N709">
        <v>2.3690000000000002</v>
      </c>
      <c r="O709">
        <v>302</v>
      </c>
      <c r="P709">
        <v>0.152</v>
      </c>
      <c r="Q709">
        <v>0.72199999999999998</v>
      </c>
      <c r="R709" t="s">
        <v>72</v>
      </c>
      <c r="S709" t="s">
        <v>4466</v>
      </c>
      <c r="T709" t="b">
        <v>1</v>
      </c>
      <c r="U709" t="s">
        <v>4467</v>
      </c>
      <c r="V709" t="s">
        <v>4468</v>
      </c>
      <c r="W709" t="s">
        <v>4469</v>
      </c>
      <c r="X709" t="s">
        <v>47</v>
      </c>
      <c r="AA709" t="s">
        <v>374</v>
      </c>
      <c r="AC709" t="s">
        <v>375</v>
      </c>
      <c r="AD709" t="b">
        <v>0</v>
      </c>
      <c r="AF709">
        <v>13</v>
      </c>
      <c r="AG709" t="s">
        <v>155</v>
      </c>
    </row>
    <row r="710" spans="1:33" x14ac:dyDescent="0.2">
      <c r="A710">
        <v>200</v>
      </c>
      <c r="B710" t="s">
        <v>4470</v>
      </c>
      <c r="C710" t="s">
        <v>574</v>
      </c>
      <c r="D710" t="s">
        <v>575</v>
      </c>
      <c r="E710" t="s">
        <v>36</v>
      </c>
      <c r="F710" t="s">
        <v>37</v>
      </c>
      <c r="G710" t="s">
        <v>53</v>
      </c>
      <c r="H710" t="s">
        <v>54</v>
      </c>
      <c r="I710" t="s">
        <v>675</v>
      </c>
      <c r="J710" t="s">
        <v>676</v>
      </c>
      <c r="K710">
        <v>1969</v>
      </c>
      <c r="L710">
        <v>1969</v>
      </c>
      <c r="M710">
        <v>-1.6</v>
      </c>
      <c r="N710">
        <v>-4.5880000000000001</v>
      </c>
      <c r="O710">
        <v>0</v>
      </c>
      <c r="P710">
        <v>1</v>
      </c>
      <c r="Q710">
        <v>-0.27800000000000002</v>
      </c>
      <c r="R710" t="s">
        <v>57</v>
      </c>
      <c r="S710" t="s">
        <v>4471</v>
      </c>
      <c r="T710" t="b">
        <v>1</v>
      </c>
      <c r="U710" t="s">
        <v>4472</v>
      </c>
      <c r="V710" t="s">
        <v>45</v>
      </c>
      <c r="W710" t="s">
        <v>113</v>
      </c>
      <c r="X710" t="s">
        <v>47</v>
      </c>
      <c r="AA710" t="s">
        <v>2993</v>
      </c>
      <c r="AB710" t="s">
        <v>177</v>
      </c>
      <c r="AC710" t="s">
        <v>680</v>
      </c>
      <c r="AD710" t="b">
        <v>0</v>
      </c>
      <c r="AF710">
        <v>6</v>
      </c>
      <c r="AG710" t="s">
        <v>64</v>
      </c>
    </row>
    <row r="711" spans="1:33" x14ac:dyDescent="0.2">
      <c r="A711">
        <v>1187</v>
      </c>
      <c r="B711" t="s">
        <v>4473</v>
      </c>
      <c r="C711" t="s">
        <v>34</v>
      </c>
      <c r="D711" t="s">
        <v>35</v>
      </c>
      <c r="E711" t="s">
        <v>4474</v>
      </c>
      <c r="F711" t="s">
        <v>4475</v>
      </c>
      <c r="G711" t="s">
        <v>53</v>
      </c>
      <c r="H711" t="s">
        <v>54</v>
      </c>
      <c r="I711" t="s">
        <v>461</v>
      </c>
      <c r="J711" t="s">
        <v>462</v>
      </c>
      <c r="K711">
        <v>1996</v>
      </c>
      <c r="L711">
        <v>1996</v>
      </c>
      <c r="M711">
        <v>5.5E-2</v>
      </c>
      <c r="N711">
        <v>0.03</v>
      </c>
      <c r="R711" t="s">
        <v>57</v>
      </c>
      <c r="S711" t="s">
        <v>4476</v>
      </c>
      <c r="T711" t="b">
        <v>1</v>
      </c>
      <c r="U711" t="s">
        <v>439</v>
      </c>
      <c r="V711" t="s">
        <v>4477</v>
      </c>
      <c r="W711" t="s">
        <v>113</v>
      </c>
      <c r="X711" t="s">
        <v>47</v>
      </c>
      <c r="AA711" t="s">
        <v>4478</v>
      </c>
      <c r="AC711" t="s">
        <v>4479</v>
      </c>
      <c r="AD711" t="b">
        <v>0</v>
      </c>
      <c r="AF711">
        <v>7</v>
      </c>
      <c r="AG711" t="s">
        <v>469</v>
      </c>
    </row>
    <row r="712" spans="1:33" x14ac:dyDescent="0.2">
      <c r="A712">
        <v>1493</v>
      </c>
      <c r="B712" t="s">
        <v>4480</v>
      </c>
      <c r="C712" t="s">
        <v>34</v>
      </c>
      <c r="D712" t="s">
        <v>35</v>
      </c>
      <c r="E712" t="s">
        <v>4474</v>
      </c>
      <c r="F712" t="s">
        <v>4475</v>
      </c>
      <c r="G712" t="s">
        <v>53</v>
      </c>
      <c r="H712" t="s">
        <v>54</v>
      </c>
      <c r="I712" t="s">
        <v>461</v>
      </c>
      <c r="J712" t="s">
        <v>462</v>
      </c>
      <c r="K712">
        <v>2010</v>
      </c>
      <c r="L712">
        <v>2010</v>
      </c>
      <c r="M712">
        <v>5.0999999999999996</v>
      </c>
      <c r="N712">
        <v>10.926</v>
      </c>
      <c r="O712">
        <v>392</v>
      </c>
      <c r="P712">
        <v>1.5269999999999999</v>
      </c>
      <c r="Q712">
        <v>0.92800000000000005</v>
      </c>
      <c r="R712" t="s">
        <v>57</v>
      </c>
      <c r="S712" t="s">
        <v>4481</v>
      </c>
      <c r="T712" t="b">
        <v>1</v>
      </c>
      <c r="U712" t="s">
        <v>4482</v>
      </c>
      <c r="V712" t="s">
        <v>4477</v>
      </c>
      <c r="W712" t="s">
        <v>4483</v>
      </c>
      <c r="X712" t="s">
        <v>47</v>
      </c>
      <c r="AA712" t="s">
        <v>4478</v>
      </c>
      <c r="AB712" t="s">
        <v>177</v>
      </c>
      <c r="AC712" t="s">
        <v>4479</v>
      </c>
      <c r="AD712" t="b">
        <v>0</v>
      </c>
      <c r="AF712">
        <v>7</v>
      </c>
      <c r="AG712" t="s">
        <v>469</v>
      </c>
    </row>
    <row r="713" spans="1:33" x14ac:dyDescent="0.2">
      <c r="A713">
        <v>2066</v>
      </c>
      <c r="B713" t="s">
        <v>4484</v>
      </c>
      <c r="C713" t="s">
        <v>34</v>
      </c>
      <c r="D713" t="s">
        <v>35</v>
      </c>
      <c r="E713" t="s">
        <v>4485</v>
      </c>
      <c r="F713" t="s">
        <v>4486</v>
      </c>
      <c r="G713" t="s">
        <v>134</v>
      </c>
      <c r="H713" t="s">
        <v>135</v>
      </c>
      <c r="I713" t="s">
        <v>2605</v>
      </c>
      <c r="J713" t="s">
        <v>1303</v>
      </c>
      <c r="K713">
        <v>2021</v>
      </c>
      <c r="L713">
        <v>2021</v>
      </c>
      <c r="M713">
        <v>0.3</v>
      </c>
      <c r="N713">
        <v>1.0149999999999999</v>
      </c>
      <c r="O713">
        <v>80</v>
      </c>
      <c r="P713">
        <v>0.45</v>
      </c>
      <c r="Q713">
        <v>0.185</v>
      </c>
      <c r="R713" t="s">
        <v>42</v>
      </c>
      <c r="S713" t="s">
        <v>4487</v>
      </c>
      <c r="T713" t="b">
        <v>1</v>
      </c>
      <c r="U713" t="s">
        <v>4488</v>
      </c>
      <c r="V713" t="s">
        <v>4489</v>
      </c>
      <c r="W713" t="s">
        <v>4490</v>
      </c>
      <c r="X713" t="s">
        <v>47</v>
      </c>
      <c r="AA713" t="s">
        <v>4491</v>
      </c>
      <c r="AC713" t="s">
        <v>63</v>
      </c>
      <c r="AD713" t="b">
        <v>0</v>
      </c>
      <c r="AF713">
        <v>10</v>
      </c>
      <c r="AG713" t="s">
        <v>143</v>
      </c>
    </row>
    <row r="714" spans="1:33" x14ac:dyDescent="0.2">
      <c r="A714">
        <v>198</v>
      </c>
      <c r="B714" t="s">
        <v>4492</v>
      </c>
      <c r="C714" t="s">
        <v>34</v>
      </c>
      <c r="D714" t="s">
        <v>35</v>
      </c>
      <c r="E714" t="s">
        <v>542</v>
      </c>
      <c r="F714" t="s">
        <v>543</v>
      </c>
      <c r="G714" t="s">
        <v>377</v>
      </c>
      <c r="H714" t="s">
        <v>378</v>
      </c>
      <c r="I714" t="s">
        <v>4493</v>
      </c>
      <c r="J714" t="s">
        <v>533</v>
      </c>
      <c r="K714">
        <v>1960</v>
      </c>
      <c r="L714">
        <v>1960</v>
      </c>
      <c r="M714">
        <v>8.1999999999999993</v>
      </c>
      <c r="N714">
        <v>36.430999999999997</v>
      </c>
      <c r="O714">
        <v>193.69</v>
      </c>
      <c r="P714">
        <v>4.3</v>
      </c>
      <c r="Q714">
        <v>0.41899999999999998</v>
      </c>
      <c r="R714" t="s">
        <v>42</v>
      </c>
      <c r="S714" t="s">
        <v>4494</v>
      </c>
      <c r="T714" t="b">
        <v>1</v>
      </c>
      <c r="U714" t="s">
        <v>4495</v>
      </c>
      <c r="V714" t="s">
        <v>547</v>
      </c>
      <c r="W714" t="s">
        <v>4496</v>
      </c>
      <c r="X714" t="s">
        <v>47</v>
      </c>
      <c r="AA714" t="s">
        <v>4497</v>
      </c>
      <c r="AB714" t="s">
        <v>49</v>
      </c>
      <c r="AC714" t="s">
        <v>4498</v>
      </c>
      <c r="AD714" t="b">
        <v>0</v>
      </c>
      <c r="AF714">
        <v>12</v>
      </c>
      <c r="AG714" t="s">
        <v>51</v>
      </c>
    </row>
    <row r="715" spans="1:33" x14ac:dyDescent="0.2">
      <c r="A715">
        <v>1126</v>
      </c>
      <c r="B715" t="s">
        <v>4499</v>
      </c>
      <c r="C715" t="s">
        <v>34</v>
      </c>
      <c r="D715" t="s">
        <v>35</v>
      </c>
      <c r="G715" t="s">
        <v>68</v>
      </c>
      <c r="H715" t="s">
        <v>69</v>
      </c>
      <c r="I715" t="s">
        <v>1741</v>
      </c>
      <c r="J715" t="s">
        <v>1742</v>
      </c>
      <c r="K715">
        <v>2004</v>
      </c>
      <c r="L715">
        <v>2004</v>
      </c>
      <c r="M715">
        <v>1.4999999999999999E-2</v>
      </c>
      <c r="N715">
        <v>0.05</v>
      </c>
      <c r="R715" t="s">
        <v>72</v>
      </c>
      <c r="S715" t="s">
        <v>1833</v>
      </c>
      <c r="T715" t="b">
        <v>1</v>
      </c>
      <c r="U715" t="s">
        <v>637</v>
      </c>
      <c r="V715" t="s">
        <v>274</v>
      </c>
      <c r="W715" t="s">
        <v>4500</v>
      </c>
      <c r="X715" t="s">
        <v>47</v>
      </c>
      <c r="AA715" t="s">
        <v>1836</v>
      </c>
      <c r="AC715" t="s">
        <v>1837</v>
      </c>
      <c r="AD715" t="b">
        <v>0</v>
      </c>
      <c r="AF715">
        <v>8</v>
      </c>
      <c r="AG715" t="s">
        <v>78</v>
      </c>
    </row>
    <row r="716" spans="1:33" x14ac:dyDescent="0.2">
      <c r="A716">
        <v>1082</v>
      </c>
      <c r="B716" t="s">
        <v>4501</v>
      </c>
      <c r="C716" t="s">
        <v>34</v>
      </c>
      <c r="D716" t="s">
        <v>35</v>
      </c>
      <c r="E716" t="s">
        <v>4502</v>
      </c>
      <c r="F716" t="s">
        <v>4503</v>
      </c>
      <c r="G716" t="s">
        <v>53</v>
      </c>
      <c r="H716" t="s">
        <v>54</v>
      </c>
      <c r="I716" t="s">
        <v>325</v>
      </c>
      <c r="J716" t="s">
        <v>135</v>
      </c>
      <c r="K716">
        <v>1995</v>
      </c>
      <c r="L716">
        <v>1995</v>
      </c>
      <c r="M716">
        <v>7.0000000000000007E-2</v>
      </c>
      <c r="N716">
        <v>0.55000000000000004</v>
      </c>
      <c r="R716" t="s">
        <v>57</v>
      </c>
      <c r="S716" t="s">
        <v>4504</v>
      </c>
      <c r="T716" t="b">
        <v>1</v>
      </c>
      <c r="U716" t="s">
        <v>2566</v>
      </c>
      <c r="V716" t="s">
        <v>4505</v>
      </c>
      <c r="W716" t="s">
        <v>4506</v>
      </c>
      <c r="X716" t="s">
        <v>47</v>
      </c>
      <c r="AA716" t="s">
        <v>4507</v>
      </c>
      <c r="AC716" t="s">
        <v>63</v>
      </c>
      <c r="AD716" t="b">
        <v>0</v>
      </c>
      <c r="AF716">
        <v>6</v>
      </c>
      <c r="AG716" t="s">
        <v>64</v>
      </c>
    </row>
    <row r="717" spans="1:33" x14ac:dyDescent="0.2">
      <c r="A717">
        <v>1188</v>
      </c>
      <c r="B717" t="s">
        <v>4508</v>
      </c>
      <c r="C717" t="s">
        <v>34</v>
      </c>
      <c r="D717" t="s">
        <v>35</v>
      </c>
      <c r="E717" t="s">
        <v>4502</v>
      </c>
      <c r="F717" t="s">
        <v>4503</v>
      </c>
      <c r="G717" t="s">
        <v>53</v>
      </c>
      <c r="H717" t="s">
        <v>54</v>
      </c>
      <c r="I717" t="s">
        <v>325</v>
      </c>
      <c r="J717" t="s">
        <v>135</v>
      </c>
      <c r="K717">
        <v>1996</v>
      </c>
      <c r="L717">
        <v>1996</v>
      </c>
      <c r="M717">
        <v>9.9000000000000005E-2</v>
      </c>
      <c r="N717">
        <v>0.8</v>
      </c>
      <c r="R717" t="s">
        <v>57</v>
      </c>
      <c r="S717" t="s">
        <v>4504</v>
      </c>
      <c r="T717" t="b">
        <v>1</v>
      </c>
      <c r="U717" t="s">
        <v>439</v>
      </c>
      <c r="V717" t="s">
        <v>4505</v>
      </c>
      <c r="W717" t="s">
        <v>113</v>
      </c>
      <c r="X717" t="s">
        <v>47</v>
      </c>
      <c r="AA717" t="s">
        <v>4507</v>
      </c>
      <c r="AC717" t="s">
        <v>63</v>
      </c>
      <c r="AD717" t="b">
        <v>0</v>
      </c>
      <c r="AF717">
        <v>6</v>
      </c>
      <c r="AG717" t="s">
        <v>64</v>
      </c>
    </row>
    <row r="718" spans="1:33" x14ac:dyDescent="0.2">
      <c r="A718">
        <v>1723</v>
      </c>
      <c r="B718" t="s">
        <v>4509</v>
      </c>
      <c r="C718" t="s">
        <v>34</v>
      </c>
      <c r="D718" t="s">
        <v>35</v>
      </c>
      <c r="E718" t="s">
        <v>168</v>
      </c>
      <c r="F718" t="s">
        <v>169</v>
      </c>
      <c r="G718" t="s">
        <v>134</v>
      </c>
      <c r="H718" t="s">
        <v>135</v>
      </c>
      <c r="I718" t="s">
        <v>136</v>
      </c>
      <c r="J718" t="s">
        <v>41</v>
      </c>
      <c r="K718">
        <v>2014</v>
      </c>
      <c r="L718">
        <v>2014</v>
      </c>
      <c r="M718">
        <v>2.95</v>
      </c>
      <c r="N718">
        <v>7.6520000000000001</v>
      </c>
      <c r="O718">
        <v>158</v>
      </c>
      <c r="P718">
        <v>2.31</v>
      </c>
      <c r="Q718">
        <v>0.35499999999999998</v>
      </c>
      <c r="R718" t="s">
        <v>42</v>
      </c>
      <c r="S718" t="s">
        <v>4510</v>
      </c>
      <c r="T718" t="b">
        <v>1</v>
      </c>
      <c r="U718" t="s">
        <v>4511</v>
      </c>
      <c r="V718" t="s">
        <v>174</v>
      </c>
      <c r="W718" t="s">
        <v>4512</v>
      </c>
      <c r="X718" t="s">
        <v>47</v>
      </c>
      <c r="AA718" t="s">
        <v>4513</v>
      </c>
      <c r="AB718" t="s">
        <v>177</v>
      </c>
      <c r="AC718" t="s">
        <v>4514</v>
      </c>
      <c r="AD718" t="b">
        <v>0</v>
      </c>
      <c r="AF718">
        <v>10</v>
      </c>
      <c r="AG718" t="s">
        <v>143</v>
      </c>
    </row>
    <row r="719" spans="1:33" x14ac:dyDescent="0.2">
      <c r="A719">
        <v>752</v>
      </c>
      <c r="B719" t="s">
        <v>4507</v>
      </c>
      <c r="C719" t="s">
        <v>34</v>
      </c>
      <c r="D719" t="s">
        <v>35</v>
      </c>
      <c r="E719" t="s">
        <v>1821</v>
      </c>
      <c r="F719" t="s">
        <v>1822</v>
      </c>
      <c r="G719" t="s">
        <v>53</v>
      </c>
      <c r="H719" t="s">
        <v>54</v>
      </c>
      <c r="I719" t="s">
        <v>325</v>
      </c>
      <c r="J719" t="s">
        <v>135</v>
      </c>
      <c r="K719">
        <v>1917</v>
      </c>
      <c r="L719">
        <v>2016</v>
      </c>
      <c r="M719">
        <v>4.0999999999999996</v>
      </c>
      <c r="N719">
        <v>21.007999999999999</v>
      </c>
      <c r="O719">
        <v>111</v>
      </c>
      <c r="P719">
        <v>4.3499999999999996</v>
      </c>
      <c r="Q719">
        <v>0.26200000000000001</v>
      </c>
      <c r="R719" t="s">
        <v>57</v>
      </c>
      <c r="S719" t="s">
        <v>4515</v>
      </c>
      <c r="T719" t="b">
        <v>1</v>
      </c>
      <c r="U719" t="s">
        <v>4516</v>
      </c>
      <c r="V719" t="s">
        <v>1824</v>
      </c>
      <c r="W719" t="s">
        <v>4517</v>
      </c>
      <c r="X719" t="s">
        <v>47</v>
      </c>
      <c r="AA719" t="s">
        <v>4507</v>
      </c>
      <c r="AB719" t="s">
        <v>49</v>
      </c>
      <c r="AC719" t="s">
        <v>4518</v>
      </c>
      <c r="AD719" t="b">
        <v>0</v>
      </c>
      <c r="AF719">
        <v>6</v>
      </c>
      <c r="AG719" t="s">
        <v>64</v>
      </c>
    </row>
    <row r="720" spans="1:33" x14ac:dyDescent="0.2">
      <c r="A720">
        <v>1409</v>
      </c>
      <c r="B720" t="s">
        <v>4519</v>
      </c>
      <c r="C720" t="s">
        <v>34</v>
      </c>
      <c r="D720" t="s">
        <v>35</v>
      </c>
      <c r="E720" t="s">
        <v>168</v>
      </c>
      <c r="F720" t="s">
        <v>169</v>
      </c>
      <c r="G720" t="s">
        <v>134</v>
      </c>
      <c r="H720" t="s">
        <v>135</v>
      </c>
      <c r="I720" t="s">
        <v>4520</v>
      </c>
      <c r="J720" t="s">
        <v>485</v>
      </c>
      <c r="K720">
        <v>2008</v>
      </c>
      <c r="L720">
        <v>2008</v>
      </c>
      <c r="M720">
        <v>1.6</v>
      </c>
      <c r="N720">
        <v>3.8319999999999999</v>
      </c>
      <c r="O720">
        <v>69</v>
      </c>
      <c r="P720">
        <v>2.8</v>
      </c>
      <c r="Q720">
        <v>0.159</v>
      </c>
      <c r="R720" t="s">
        <v>42</v>
      </c>
      <c r="S720" t="s">
        <v>4521</v>
      </c>
      <c r="T720" t="b">
        <v>1</v>
      </c>
      <c r="U720" t="s">
        <v>4522</v>
      </c>
      <c r="V720" t="s">
        <v>174</v>
      </c>
      <c r="W720" t="s">
        <v>4523</v>
      </c>
      <c r="X720" t="s">
        <v>47</v>
      </c>
      <c r="AA720" t="s">
        <v>4524</v>
      </c>
      <c r="AB720" t="s">
        <v>177</v>
      </c>
      <c r="AC720" t="s">
        <v>4525</v>
      </c>
      <c r="AD720" t="b">
        <v>0</v>
      </c>
      <c r="AF720">
        <v>10</v>
      </c>
      <c r="AG720" t="s">
        <v>143</v>
      </c>
    </row>
    <row r="721" spans="1:33" x14ac:dyDescent="0.2">
      <c r="A721">
        <v>199</v>
      </c>
      <c r="B721" t="s">
        <v>4526</v>
      </c>
      <c r="C721" t="s">
        <v>34</v>
      </c>
      <c r="D721" t="s">
        <v>35</v>
      </c>
      <c r="E721" t="s">
        <v>91</v>
      </c>
      <c r="F721" t="s">
        <v>92</v>
      </c>
      <c r="G721" t="s">
        <v>503</v>
      </c>
      <c r="H721" t="s">
        <v>462</v>
      </c>
      <c r="I721" t="s">
        <v>3770</v>
      </c>
      <c r="J721" t="s">
        <v>539</v>
      </c>
      <c r="K721">
        <v>1917</v>
      </c>
      <c r="L721">
        <v>1917</v>
      </c>
      <c r="M721">
        <v>5.87</v>
      </c>
      <c r="N721">
        <v>20.175000000000001</v>
      </c>
      <c r="O721">
        <v>43</v>
      </c>
      <c r="P721">
        <v>15</v>
      </c>
      <c r="Q721">
        <v>7.8E-2</v>
      </c>
      <c r="R721" t="s">
        <v>84</v>
      </c>
      <c r="S721" t="s">
        <v>4527</v>
      </c>
      <c r="T721" t="b">
        <v>1</v>
      </c>
      <c r="U721" t="s">
        <v>4528</v>
      </c>
      <c r="V721" t="s">
        <v>100</v>
      </c>
      <c r="W721" t="s">
        <v>113</v>
      </c>
      <c r="X721" t="s">
        <v>47</v>
      </c>
      <c r="AA721" t="s">
        <v>2555</v>
      </c>
      <c r="AB721" t="s">
        <v>177</v>
      </c>
      <c r="AC721" t="s">
        <v>2556</v>
      </c>
      <c r="AD721" t="b">
        <v>0</v>
      </c>
      <c r="AF721">
        <v>3</v>
      </c>
      <c r="AG721" t="s">
        <v>332</v>
      </c>
    </row>
    <row r="722" spans="1:33" x14ac:dyDescent="0.2">
      <c r="A722">
        <v>201</v>
      </c>
      <c r="B722" t="s">
        <v>4529</v>
      </c>
      <c r="C722" t="s">
        <v>34</v>
      </c>
      <c r="D722" t="s">
        <v>35</v>
      </c>
      <c r="E722" t="s">
        <v>481</v>
      </c>
      <c r="F722" t="s">
        <v>482</v>
      </c>
      <c r="G722" t="s">
        <v>483</v>
      </c>
      <c r="H722" t="s">
        <v>109</v>
      </c>
      <c r="I722" t="s">
        <v>484</v>
      </c>
      <c r="J722" t="s">
        <v>485</v>
      </c>
      <c r="K722">
        <v>1942</v>
      </c>
      <c r="L722">
        <v>1942</v>
      </c>
      <c r="M722">
        <v>1.4</v>
      </c>
      <c r="N722">
        <v>7.4509999999999996</v>
      </c>
      <c r="O722">
        <v>9</v>
      </c>
      <c r="P722">
        <v>20.46</v>
      </c>
      <c r="Q722">
        <v>1.7999999999999999E-2</v>
      </c>
      <c r="R722" t="s">
        <v>97</v>
      </c>
      <c r="S722" t="s">
        <v>228</v>
      </c>
      <c r="T722" t="b">
        <v>1</v>
      </c>
      <c r="U722" t="s">
        <v>4530</v>
      </c>
      <c r="V722" t="s">
        <v>4531</v>
      </c>
      <c r="W722" t="s">
        <v>4532</v>
      </c>
      <c r="X722" t="s">
        <v>47</v>
      </c>
      <c r="AA722" t="s">
        <v>102</v>
      </c>
      <c r="AB722" t="s">
        <v>612</v>
      </c>
      <c r="AC722" t="s">
        <v>103</v>
      </c>
      <c r="AD722" t="b">
        <v>0</v>
      </c>
      <c r="AF722">
        <v>1</v>
      </c>
      <c r="AG722" t="s">
        <v>104</v>
      </c>
    </row>
    <row r="723" spans="1:33" x14ac:dyDescent="0.2">
      <c r="A723">
        <v>202</v>
      </c>
      <c r="B723" t="s">
        <v>4533</v>
      </c>
      <c r="C723" t="s">
        <v>34</v>
      </c>
      <c r="D723" t="s">
        <v>35</v>
      </c>
      <c r="E723" t="s">
        <v>481</v>
      </c>
      <c r="F723" t="s">
        <v>482</v>
      </c>
      <c r="G723" t="s">
        <v>483</v>
      </c>
      <c r="H723" t="s">
        <v>109</v>
      </c>
      <c r="I723" t="s">
        <v>484</v>
      </c>
      <c r="J723" t="s">
        <v>485</v>
      </c>
      <c r="K723">
        <v>1955</v>
      </c>
      <c r="L723">
        <v>1955</v>
      </c>
      <c r="M723">
        <v>4.2</v>
      </c>
      <c r="N723">
        <v>33.491999999999997</v>
      </c>
      <c r="O723">
        <v>10.5</v>
      </c>
      <c r="P723">
        <v>44.43</v>
      </c>
      <c r="Q723">
        <v>2.5000000000000001E-2</v>
      </c>
      <c r="R723" t="s">
        <v>97</v>
      </c>
      <c r="S723" t="s">
        <v>228</v>
      </c>
      <c r="T723" t="b">
        <v>1</v>
      </c>
      <c r="U723" t="s">
        <v>4534</v>
      </c>
      <c r="V723" t="s">
        <v>4531</v>
      </c>
      <c r="W723" t="s">
        <v>4532</v>
      </c>
      <c r="X723" t="s">
        <v>47</v>
      </c>
      <c r="AA723" t="s">
        <v>102</v>
      </c>
      <c r="AB723" t="s">
        <v>539</v>
      </c>
      <c r="AC723" t="s">
        <v>103</v>
      </c>
      <c r="AD723" t="b">
        <v>0</v>
      </c>
      <c r="AF723">
        <v>1</v>
      </c>
      <c r="AG723" t="s">
        <v>104</v>
      </c>
    </row>
    <row r="724" spans="1:33" x14ac:dyDescent="0.2">
      <c r="A724">
        <v>1374</v>
      </c>
      <c r="B724" t="s">
        <v>4535</v>
      </c>
      <c r="C724" t="s">
        <v>34</v>
      </c>
      <c r="D724" t="s">
        <v>35</v>
      </c>
      <c r="E724" t="s">
        <v>4536</v>
      </c>
      <c r="F724" t="s">
        <v>4537</v>
      </c>
      <c r="G724" t="s">
        <v>224</v>
      </c>
      <c r="H724" t="s">
        <v>225</v>
      </c>
      <c r="I724" t="s">
        <v>3124</v>
      </c>
      <c r="J724" t="s">
        <v>71</v>
      </c>
      <c r="K724">
        <v>2007</v>
      </c>
      <c r="L724">
        <v>2007</v>
      </c>
      <c r="M724">
        <v>1.9</v>
      </c>
      <c r="N724">
        <v>6.0979999999999999</v>
      </c>
      <c r="O724">
        <v>160</v>
      </c>
      <c r="P724">
        <v>1.5</v>
      </c>
      <c r="Q724">
        <v>0.35199999999999998</v>
      </c>
      <c r="R724" t="s">
        <v>57</v>
      </c>
      <c r="S724" t="s">
        <v>4538</v>
      </c>
      <c r="T724" t="b">
        <v>1</v>
      </c>
      <c r="U724" t="s">
        <v>4539</v>
      </c>
      <c r="V724" t="s">
        <v>4540</v>
      </c>
      <c r="W724" t="s">
        <v>4541</v>
      </c>
      <c r="X724" t="s">
        <v>47</v>
      </c>
      <c r="AA724" t="s">
        <v>102</v>
      </c>
      <c r="AB724" t="s">
        <v>964</v>
      </c>
      <c r="AC724" t="s">
        <v>103</v>
      </c>
      <c r="AD724" t="b">
        <v>0</v>
      </c>
      <c r="AF724">
        <v>2</v>
      </c>
      <c r="AG724" t="s">
        <v>287</v>
      </c>
    </row>
    <row r="725" spans="1:33" x14ac:dyDescent="0.2">
      <c r="A725">
        <v>203</v>
      </c>
      <c r="B725" t="s">
        <v>4542</v>
      </c>
      <c r="C725" t="s">
        <v>34</v>
      </c>
      <c r="D725" t="s">
        <v>35</v>
      </c>
      <c r="E725" t="s">
        <v>36</v>
      </c>
      <c r="F725" t="s">
        <v>37</v>
      </c>
      <c r="G725" t="s">
        <v>503</v>
      </c>
      <c r="H725" t="s">
        <v>462</v>
      </c>
      <c r="I725" t="s">
        <v>3390</v>
      </c>
      <c r="J725" t="s">
        <v>485</v>
      </c>
      <c r="K725">
        <v>1979</v>
      </c>
      <c r="L725">
        <v>1979</v>
      </c>
      <c r="M725">
        <v>62</v>
      </c>
      <c r="N725">
        <v>236.595</v>
      </c>
      <c r="O725">
        <v>174</v>
      </c>
      <c r="P725">
        <v>41</v>
      </c>
      <c r="Q725">
        <v>0.41899999999999998</v>
      </c>
      <c r="R725" t="s">
        <v>84</v>
      </c>
      <c r="S725" t="s">
        <v>4543</v>
      </c>
      <c r="T725" t="b">
        <v>1</v>
      </c>
      <c r="U725" t="s">
        <v>4544</v>
      </c>
      <c r="V725" t="s">
        <v>45</v>
      </c>
      <c r="W725" t="s">
        <v>4545</v>
      </c>
      <c r="X725" t="s">
        <v>47</v>
      </c>
      <c r="AA725" t="s">
        <v>583</v>
      </c>
      <c r="AB725" t="s">
        <v>4546</v>
      </c>
      <c r="AC725" t="s">
        <v>585</v>
      </c>
      <c r="AD725" t="b">
        <v>0</v>
      </c>
      <c r="AF725">
        <v>3</v>
      </c>
      <c r="AG725" t="s">
        <v>332</v>
      </c>
    </row>
    <row r="726" spans="1:33" x14ac:dyDescent="0.2">
      <c r="A726">
        <v>1965</v>
      </c>
      <c r="B726" t="s">
        <v>4547</v>
      </c>
      <c r="C726" t="s">
        <v>34</v>
      </c>
      <c r="D726" t="s">
        <v>35</v>
      </c>
      <c r="E726" t="s">
        <v>4548</v>
      </c>
      <c r="F726" t="s">
        <v>4549</v>
      </c>
      <c r="G726" t="s">
        <v>377</v>
      </c>
      <c r="H726" t="s">
        <v>378</v>
      </c>
      <c r="I726" t="s">
        <v>425</v>
      </c>
      <c r="J726" t="s">
        <v>426</v>
      </c>
      <c r="K726">
        <v>2020</v>
      </c>
      <c r="L726">
        <v>2020</v>
      </c>
      <c r="M726">
        <v>5</v>
      </c>
      <c r="N726">
        <v>12.855</v>
      </c>
      <c r="O726">
        <v>233.7</v>
      </c>
      <c r="P726">
        <v>2.5</v>
      </c>
      <c r="Q726">
        <v>0.55600000000000005</v>
      </c>
      <c r="R726" t="s">
        <v>42</v>
      </c>
      <c r="S726" t="s">
        <v>4550</v>
      </c>
      <c r="T726" t="b">
        <v>1</v>
      </c>
      <c r="U726" t="s">
        <v>4551</v>
      </c>
      <c r="V726" t="s">
        <v>4552</v>
      </c>
      <c r="W726" t="s">
        <v>4553</v>
      </c>
      <c r="X726" t="s">
        <v>47</v>
      </c>
      <c r="AA726" t="s">
        <v>114</v>
      </c>
      <c r="AC726" t="s">
        <v>63</v>
      </c>
      <c r="AD726" t="b">
        <v>0</v>
      </c>
      <c r="AF726">
        <v>11</v>
      </c>
      <c r="AG726" t="s">
        <v>198</v>
      </c>
    </row>
    <row r="727" spans="1:33" x14ac:dyDescent="0.2">
      <c r="A727">
        <v>980</v>
      </c>
      <c r="B727" t="s">
        <v>4554</v>
      </c>
      <c r="C727" t="s">
        <v>34</v>
      </c>
      <c r="D727" t="s">
        <v>35</v>
      </c>
      <c r="E727" t="s">
        <v>4555</v>
      </c>
      <c r="F727" t="s">
        <v>4556</v>
      </c>
      <c r="G727" t="s">
        <v>53</v>
      </c>
      <c r="H727" t="s">
        <v>54</v>
      </c>
      <c r="I727" t="s">
        <v>774</v>
      </c>
      <c r="J727" t="s">
        <v>567</v>
      </c>
      <c r="K727">
        <v>1998</v>
      </c>
      <c r="L727">
        <v>1998</v>
      </c>
      <c r="M727">
        <v>0.28499999999999998</v>
      </c>
      <c r="N727">
        <v>1.548</v>
      </c>
      <c r="O727">
        <v>80</v>
      </c>
      <c r="P727">
        <v>0.5</v>
      </c>
      <c r="R727" t="s">
        <v>57</v>
      </c>
      <c r="S727" t="s">
        <v>1732</v>
      </c>
      <c r="T727" t="b">
        <v>1</v>
      </c>
      <c r="U727" t="s">
        <v>455</v>
      </c>
      <c r="V727" t="s">
        <v>4557</v>
      </c>
      <c r="W727" t="s">
        <v>4558</v>
      </c>
      <c r="X727" t="s">
        <v>47</v>
      </c>
      <c r="AA727" t="s">
        <v>1736</v>
      </c>
      <c r="AC727" t="s">
        <v>1737</v>
      </c>
      <c r="AD727" t="b">
        <v>0</v>
      </c>
      <c r="AF727">
        <v>6</v>
      </c>
      <c r="AG727" t="s">
        <v>64</v>
      </c>
    </row>
    <row r="728" spans="1:33" x14ac:dyDescent="0.2">
      <c r="A728">
        <v>1161</v>
      </c>
      <c r="B728" t="s">
        <v>4559</v>
      </c>
      <c r="C728" t="s">
        <v>34</v>
      </c>
      <c r="D728" t="s">
        <v>35</v>
      </c>
      <c r="E728" t="s">
        <v>4560</v>
      </c>
      <c r="F728" t="s">
        <v>4561</v>
      </c>
      <c r="G728" t="s">
        <v>134</v>
      </c>
      <c r="H728" t="s">
        <v>135</v>
      </c>
      <c r="I728" t="s">
        <v>202</v>
      </c>
      <c r="J728" t="s">
        <v>203</v>
      </c>
      <c r="K728">
        <v>2004</v>
      </c>
      <c r="L728">
        <v>2004</v>
      </c>
      <c r="M728">
        <v>0.47</v>
      </c>
      <c r="N728">
        <v>1.264</v>
      </c>
      <c r="O728">
        <v>132</v>
      </c>
      <c r="P728">
        <v>0.45</v>
      </c>
      <c r="Q728">
        <v>0.28999999999999998</v>
      </c>
      <c r="R728" t="s">
        <v>42</v>
      </c>
      <c r="S728" t="s">
        <v>4562</v>
      </c>
      <c r="T728" t="b">
        <v>1</v>
      </c>
      <c r="U728" t="s">
        <v>4563</v>
      </c>
      <c r="V728" t="s">
        <v>4564</v>
      </c>
      <c r="W728" t="s">
        <v>4565</v>
      </c>
      <c r="X728" t="s">
        <v>47</v>
      </c>
      <c r="AA728" t="s">
        <v>208</v>
      </c>
      <c r="AC728" t="s">
        <v>4566</v>
      </c>
      <c r="AD728" t="b">
        <v>0</v>
      </c>
      <c r="AF728">
        <v>10</v>
      </c>
      <c r="AG728" t="s">
        <v>143</v>
      </c>
    </row>
    <row r="729" spans="1:33" x14ac:dyDescent="0.2">
      <c r="A729">
        <v>1742</v>
      </c>
      <c r="B729" t="s">
        <v>4567</v>
      </c>
      <c r="C729" t="s">
        <v>34</v>
      </c>
      <c r="D729" t="s">
        <v>35</v>
      </c>
      <c r="E729" t="s">
        <v>36</v>
      </c>
      <c r="F729" t="s">
        <v>37</v>
      </c>
      <c r="G729" t="s">
        <v>134</v>
      </c>
      <c r="H729" t="s">
        <v>135</v>
      </c>
      <c r="I729" t="s">
        <v>641</v>
      </c>
      <c r="J729" t="s">
        <v>109</v>
      </c>
      <c r="K729">
        <v>2014</v>
      </c>
      <c r="L729">
        <v>2014</v>
      </c>
      <c r="M729">
        <v>14</v>
      </c>
      <c r="N729">
        <v>58.374000000000002</v>
      </c>
      <c r="O729">
        <v>70</v>
      </c>
      <c r="P729">
        <v>22</v>
      </c>
      <c r="Q729">
        <v>0.17699999999999999</v>
      </c>
      <c r="R729" t="s">
        <v>42</v>
      </c>
      <c r="S729" t="s">
        <v>4568</v>
      </c>
      <c r="T729" t="b">
        <v>1</v>
      </c>
      <c r="U729" t="s">
        <v>4569</v>
      </c>
      <c r="V729" t="s">
        <v>45</v>
      </c>
      <c r="W729" t="s">
        <v>4570</v>
      </c>
      <c r="X729" t="s">
        <v>47</v>
      </c>
      <c r="AA729" t="s">
        <v>640</v>
      </c>
      <c r="AB729" t="s">
        <v>83</v>
      </c>
      <c r="AC729" t="s">
        <v>4571</v>
      </c>
      <c r="AD729" t="b">
        <v>0</v>
      </c>
      <c r="AF729">
        <v>10</v>
      </c>
      <c r="AG729" t="s">
        <v>143</v>
      </c>
    </row>
    <row r="730" spans="1:33" x14ac:dyDescent="0.2">
      <c r="A730">
        <v>1951</v>
      </c>
      <c r="B730" t="s">
        <v>4572</v>
      </c>
      <c r="C730" t="s">
        <v>34</v>
      </c>
      <c r="D730" t="s">
        <v>35</v>
      </c>
      <c r="E730" t="s">
        <v>4573</v>
      </c>
      <c r="F730" t="s">
        <v>4574</v>
      </c>
      <c r="G730" t="s">
        <v>53</v>
      </c>
      <c r="H730" t="s">
        <v>54</v>
      </c>
      <c r="I730" t="s">
        <v>532</v>
      </c>
      <c r="J730" t="s">
        <v>533</v>
      </c>
      <c r="K730">
        <v>2021</v>
      </c>
      <c r="L730">
        <v>2021</v>
      </c>
      <c r="M730">
        <v>8.9990000000000006</v>
      </c>
      <c r="N730">
        <v>26.547000000000001</v>
      </c>
      <c r="O730">
        <v>508</v>
      </c>
      <c r="P730">
        <v>2.27</v>
      </c>
      <c r="Q730">
        <v>1.101</v>
      </c>
      <c r="R730" t="s">
        <v>57</v>
      </c>
      <c r="S730" t="s">
        <v>4575</v>
      </c>
      <c r="T730" t="b">
        <v>1</v>
      </c>
      <c r="U730" t="s">
        <v>4576</v>
      </c>
      <c r="V730" t="s">
        <v>4577</v>
      </c>
      <c r="W730" t="s">
        <v>4578</v>
      </c>
      <c r="X730" t="s">
        <v>47</v>
      </c>
      <c r="AA730" t="s">
        <v>1943</v>
      </c>
      <c r="AC730" t="s">
        <v>1944</v>
      </c>
      <c r="AD730" t="b">
        <v>0</v>
      </c>
      <c r="AF730">
        <v>7</v>
      </c>
      <c r="AG730" t="s">
        <v>469</v>
      </c>
    </row>
    <row r="731" spans="1:33" x14ac:dyDescent="0.2">
      <c r="A731">
        <v>2109</v>
      </c>
      <c r="B731" t="s">
        <v>4579</v>
      </c>
      <c r="C731" t="s">
        <v>34</v>
      </c>
      <c r="D731" t="s">
        <v>35</v>
      </c>
      <c r="E731" t="s">
        <v>4580</v>
      </c>
      <c r="F731" t="s">
        <v>4581</v>
      </c>
      <c r="G731" t="s">
        <v>242</v>
      </c>
      <c r="H731" t="s">
        <v>243</v>
      </c>
      <c r="I731" t="s">
        <v>4582</v>
      </c>
      <c r="J731" t="s">
        <v>533</v>
      </c>
      <c r="K731">
        <v>2023</v>
      </c>
      <c r="L731">
        <v>2023</v>
      </c>
      <c r="M731">
        <v>3.3</v>
      </c>
      <c r="N731">
        <v>11</v>
      </c>
      <c r="O731">
        <v>273.5</v>
      </c>
      <c r="P731">
        <v>1.5</v>
      </c>
      <c r="Q731">
        <v>0.66700000000000004</v>
      </c>
      <c r="R731" t="s">
        <v>42</v>
      </c>
      <c r="S731" t="s">
        <v>4583</v>
      </c>
      <c r="T731" t="b">
        <v>1</v>
      </c>
      <c r="U731" t="s">
        <v>4584</v>
      </c>
      <c r="V731" t="s">
        <v>4585</v>
      </c>
      <c r="W731" t="s">
        <v>4586</v>
      </c>
      <c r="X731" t="s">
        <v>47</v>
      </c>
      <c r="AA731" t="s">
        <v>261</v>
      </c>
      <c r="AC731" t="s">
        <v>263</v>
      </c>
      <c r="AD731" t="b">
        <v>0</v>
      </c>
      <c r="AF731">
        <v>10</v>
      </c>
      <c r="AG731" t="s">
        <v>143</v>
      </c>
    </row>
    <row r="732" spans="1:33" x14ac:dyDescent="0.2">
      <c r="A732">
        <v>816</v>
      </c>
      <c r="B732" t="s">
        <v>4587</v>
      </c>
      <c r="C732" t="s">
        <v>34</v>
      </c>
      <c r="D732" t="s">
        <v>35</v>
      </c>
      <c r="E732" t="s">
        <v>4588</v>
      </c>
      <c r="F732" t="s">
        <v>4589</v>
      </c>
      <c r="G732" t="s">
        <v>53</v>
      </c>
      <c r="H732" t="s">
        <v>54</v>
      </c>
      <c r="I732" t="s">
        <v>811</v>
      </c>
      <c r="J732" t="s">
        <v>94</v>
      </c>
      <c r="K732">
        <v>2004</v>
      </c>
      <c r="L732">
        <v>2004</v>
      </c>
      <c r="M732">
        <v>1.48</v>
      </c>
      <c r="N732">
        <v>4.4530000000000003</v>
      </c>
      <c r="O732">
        <v>127</v>
      </c>
      <c r="P732">
        <v>1.35</v>
      </c>
      <c r="Q732">
        <v>0.30499999999999999</v>
      </c>
      <c r="R732" t="s">
        <v>57</v>
      </c>
      <c r="S732" t="s">
        <v>4590</v>
      </c>
      <c r="T732" t="b">
        <v>1</v>
      </c>
      <c r="U732" t="s">
        <v>706</v>
      </c>
      <c r="V732" t="s">
        <v>4591</v>
      </c>
      <c r="W732" t="s">
        <v>4592</v>
      </c>
      <c r="X732" t="s">
        <v>47</v>
      </c>
      <c r="AA732" t="s">
        <v>1501</v>
      </c>
      <c r="AB732" t="s">
        <v>69</v>
      </c>
      <c r="AC732" t="s">
        <v>1502</v>
      </c>
      <c r="AD732" t="b">
        <v>0</v>
      </c>
      <c r="AF732">
        <v>6</v>
      </c>
      <c r="AG732" t="s">
        <v>64</v>
      </c>
    </row>
    <row r="733" spans="1:33" x14ac:dyDescent="0.2">
      <c r="A733">
        <v>204</v>
      </c>
      <c r="B733" t="s">
        <v>4593</v>
      </c>
      <c r="C733" t="s">
        <v>34</v>
      </c>
      <c r="D733" t="s">
        <v>35</v>
      </c>
      <c r="E733" t="s">
        <v>4594</v>
      </c>
      <c r="F733" t="s">
        <v>4595</v>
      </c>
      <c r="G733" t="s">
        <v>53</v>
      </c>
      <c r="H733" t="s">
        <v>54</v>
      </c>
      <c r="I733" t="s">
        <v>279</v>
      </c>
      <c r="J733" t="s">
        <v>280</v>
      </c>
      <c r="K733">
        <v>1944</v>
      </c>
      <c r="L733">
        <v>1944</v>
      </c>
      <c r="M733">
        <v>3.6</v>
      </c>
      <c r="N733">
        <v>14.601000000000001</v>
      </c>
      <c r="O733">
        <v>95</v>
      </c>
      <c r="P733">
        <v>4.5999999999999996</v>
      </c>
      <c r="Q733">
        <v>0.217</v>
      </c>
      <c r="R733" t="s">
        <v>57</v>
      </c>
      <c r="S733" t="s">
        <v>4596</v>
      </c>
      <c r="T733" t="b">
        <v>1</v>
      </c>
      <c r="U733" t="s">
        <v>4597</v>
      </c>
      <c r="V733" t="s">
        <v>4598</v>
      </c>
      <c r="W733" t="s">
        <v>4599</v>
      </c>
      <c r="X733" t="s">
        <v>47</v>
      </c>
      <c r="AA733" t="s">
        <v>4600</v>
      </c>
      <c r="AB733" t="s">
        <v>177</v>
      </c>
      <c r="AC733" t="s">
        <v>4601</v>
      </c>
      <c r="AD733" t="b">
        <v>0</v>
      </c>
      <c r="AF733">
        <v>2</v>
      </c>
      <c r="AG733" t="s">
        <v>287</v>
      </c>
    </row>
    <row r="734" spans="1:33" x14ac:dyDescent="0.2">
      <c r="A734">
        <v>1484</v>
      </c>
      <c r="B734" t="s">
        <v>4602</v>
      </c>
      <c r="C734" t="s">
        <v>34</v>
      </c>
      <c r="D734" t="s">
        <v>35</v>
      </c>
      <c r="E734" t="s">
        <v>4603</v>
      </c>
      <c r="F734" t="s">
        <v>4604</v>
      </c>
      <c r="G734" t="s">
        <v>242</v>
      </c>
      <c r="H734" t="s">
        <v>243</v>
      </c>
      <c r="I734" t="s">
        <v>2767</v>
      </c>
      <c r="J734" t="s">
        <v>1072</v>
      </c>
      <c r="K734">
        <v>2009</v>
      </c>
      <c r="L734">
        <v>2009</v>
      </c>
      <c r="M734">
        <v>0.99</v>
      </c>
      <c r="N734">
        <v>3.0550000000000002</v>
      </c>
      <c r="O734">
        <v>213</v>
      </c>
      <c r="P734">
        <v>0.56200000000000006</v>
      </c>
      <c r="Q734">
        <v>0.48899999999999999</v>
      </c>
      <c r="R734" t="s">
        <v>42</v>
      </c>
      <c r="S734" t="s">
        <v>4605</v>
      </c>
      <c r="T734" t="b">
        <v>1</v>
      </c>
      <c r="U734" t="s">
        <v>4606</v>
      </c>
      <c r="V734" t="s">
        <v>4607</v>
      </c>
      <c r="W734" t="s">
        <v>4608</v>
      </c>
      <c r="X734" t="s">
        <v>47</v>
      </c>
      <c r="AA734" t="s">
        <v>2159</v>
      </c>
      <c r="AC734" t="s">
        <v>63</v>
      </c>
      <c r="AD734" t="b">
        <v>0</v>
      </c>
      <c r="AF734">
        <v>10</v>
      </c>
      <c r="AG734" t="s">
        <v>143</v>
      </c>
    </row>
    <row r="735" spans="1:33" x14ac:dyDescent="0.2">
      <c r="A735">
        <v>1337</v>
      </c>
      <c r="B735" t="s">
        <v>4609</v>
      </c>
      <c r="C735" t="s">
        <v>34</v>
      </c>
      <c r="D735" t="s">
        <v>35</v>
      </c>
      <c r="E735" t="s">
        <v>277</v>
      </c>
      <c r="F735" t="s">
        <v>278</v>
      </c>
      <c r="G735" t="s">
        <v>93</v>
      </c>
      <c r="H735" t="s">
        <v>94</v>
      </c>
      <c r="I735" t="s">
        <v>2974</v>
      </c>
      <c r="J735" t="s">
        <v>731</v>
      </c>
      <c r="K735">
        <v>1990</v>
      </c>
      <c r="L735">
        <v>1990</v>
      </c>
      <c r="M735">
        <v>0.8</v>
      </c>
      <c r="N735">
        <v>4.2569999999999997</v>
      </c>
      <c r="O735">
        <v>28</v>
      </c>
      <c r="R735" t="s">
        <v>97</v>
      </c>
      <c r="S735" t="s">
        <v>4610</v>
      </c>
      <c r="T735" t="b">
        <v>1</v>
      </c>
      <c r="U735" t="s">
        <v>4611</v>
      </c>
      <c r="V735" t="s">
        <v>389</v>
      </c>
      <c r="W735" t="s">
        <v>4612</v>
      </c>
      <c r="X735" t="s">
        <v>47</v>
      </c>
      <c r="AA735" t="s">
        <v>102</v>
      </c>
      <c r="AB735" t="s">
        <v>135</v>
      </c>
      <c r="AC735" t="s">
        <v>103</v>
      </c>
      <c r="AD735" t="b">
        <v>0</v>
      </c>
      <c r="AF735">
        <v>1</v>
      </c>
      <c r="AG735" t="s">
        <v>104</v>
      </c>
    </row>
    <row r="736" spans="1:33" x14ac:dyDescent="0.2">
      <c r="A736">
        <v>1639</v>
      </c>
      <c r="B736" t="s">
        <v>4613</v>
      </c>
      <c r="C736" t="s">
        <v>34</v>
      </c>
      <c r="D736" t="s">
        <v>35</v>
      </c>
      <c r="E736" t="s">
        <v>4614</v>
      </c>
      <c r="F736" t="s">
        <v>4615</v>
      </c>
      <c r="G736" t="s">
        <v>213</v>
      </c>
      <c r="H736" t="s">
        <v>83</v>
      </c>
      <c r="I736" t="s">
        <v>635</v>
      </c>
      <c r="J736" t="s">
        <v>94</v>
      </c>
      <c r="K736">
        <v>2010</v>
      </c>
      <c r="L736">
        <v>2010</v>
      </c>
      <c r="M736">
        <v>0.34</v>
      </c>
      <c r="N736">
        <v>0.997</v>
      </c>
      <c r="O736">
        <v>160</v>
      </c>
      <c r="P736">
        <v>0.24</v>
      </c>
      <c r="Q736">
        <v>0.39400000000000002</v>
      </c>
      <c r="R736" t="s">
        <v>84</v>
      </c>
      <c r="S736" t="s">
        <v>4616</v>
      </c>
      <c r="T736" t="b">
        <v>1</v>
      </c>
      <c r="U736" t="s">
        <v>4617</v>
      </c>
      <c r="V736" t="s">
        <v>4618</v>
      </c>
      <c r="W736" t="s">
        <v>4619</v>
      </c>
      <c r="X736" t="s">
        <v>47</v>
      </c>
      <c r="AA736" t="s">
        <v>2952</v>
      </c>
      <c r="AC736" t="s">
        <v>63</v>
      </c>
      <c r="AD736" t="b">
        <v>0</v>
      </c>
      <c r="AF736">
        <v>3</v>
      </c>
      <c r="AG736" t="s">
        <v>332</v>
      </c>
    </row>
    <row r="737" spans="1:33" x14ac:dyDescent="0.2">
      <c r="A737">
        <v>1873</v>
      </c>
      <c r="B737" t="s">
        <v>4620</v>
      </c>
      <c r="C737" t="s">
        <v>34</v>
      </c>
      <c r="D737" t="s">
        <v>35</v>
      </c>
      <c r="E737" t="s">
        <v>4621</v>
      </c>
      <c r="F737" t="s">
        <v>4622</v>
      </c>
      <c r="G737" t="s">
        <v>53</v>
      </c>
      <c r="H737" t="s">
        <v>54</v>
      </c>
      <c r="I737" t="s">
        <v>2058</v>
      </c>
      <c r="J737" t="s">
        <v>354</v>
      </c>
      <c r="K737">
        <v>2016</v>
      </c>
      <c r="L737">
        <v>2016</v>
      </c>
      <c r="M737">
        <v>2.5</v>
      </c>
      <c r="N737">
        <v>6.3710000000000004</v>
      </c>
      <c r="O737">
        <v>208.6</v>
      </c>
      <c r="P737">
        <v>1.47</v>
      </c>
      <c r="Q737">
        <v>0.47199999999999998</v>
      </c>
      <c r="R737" t="s">
        <v>72</v>
      </c>
      <c r="S737" t="s">
        <v>4623</v>
      </c>
      <c r="T737" t="b">
        <v>1</v>
      </c>
      <c r="U737" t="s">
        <v>4624</v>
      </c>
      <c r="V737" t="s">
        <v>4625</v>
      </c>
      <c r="W737" t="s">
        <v>4626</v>
      </c>
      <c r="X737" t="s">
        <v>47</v>
      </c>
      <c r="AA737" t="s">
        <v>4627</v>
      </c>
      <c r="AC737" t="s">
        <v>63</v>
      </c>
      <c r="AD737" t="b">
        <v>0</v>
      </c>
      <c r="AF737">
        <v>13</v>
      </c>
      <c r="AG737" t="s">
        <v>155</v>
      </c>
    </row>
    <row r="738" spans="1:33" x14ac:dyDescent="0.2">
      <c r="A738">
        <v>1485</v>
      </c>
      <c r="B738" t="s">
        <v>4628</v>
      </c>
      <c r="C738" t="s">
        <v>34</v>
      </c>
      <c r="D738" t="s">
        <v>35</v>
      </c>
      <c r="E738" t="s">
        <v>1200</v>
      </c>
      <c r="F738" t="s">
        <v>1201</v>
      </c>
      <c r="G738" t="s">
        <v>53</v>
      </c>
      <c r="H738" t="s">
        <v>54</v>
      </c>
      <c r="I738" t="s">
        <v>147</v>
      </c>
      <c r="J738" t="s">
        <v>148</v>
      </c>
      <c r="K738">
        <v>2010</v>
      </c>
      <c r="L738">
        <v>2010</v>
      </c>
      <c r="M738">
        <v>84</v>
      </c>
      <c r="N738">
        <v>227.334</v>
      </c>
      <c r="O738">
        <v>775.4</v>
      </c>
      <c r="P738">
        <v>12</v>
      </c>
      <c r="Q738">
        <v>1.944</v>
      </c>
      <c r="R738" t="s">
        <v>72</v>
      </c>
      <c r="S738" t="s">
        <v>2910</v>
      </c>
      <c r="T738" t="b">
        <v>1</v>
      </c>
      <c r="U738" t="s">
        <v>4629</v>
      </c>
      <c r="V738" t="s">
        <v>1204</v>
      </c>
      <c r="W738" t="s">
        <v>4630</v>
      </c>
      <c r="X738" t="s">
        <v>47</v>
      </c>
      <c r="AA738" t="s">
        <v>153</v>
      </c>
      <c r="AB738" t="s">
        <v>231</v>
      </c>
      <c r="AC738" t="s">
        <v>154</v>
      </c>
      <c r="AD738" t="b">
        <v>0</v>
      </c>
      <c r="AF738">
        <v>13</v>
      </c>
      <c r="AG738" t="s">
        <v>155</v>
      </c>
    </row>
    <row r="739" spans="1:33" x14ac:dyDescent="0.2">
      <c r="A739">
        <v>1061</v>
      </c>
      <c r="B739" t="s">
        <v>4631</v>
      </c>
      <c r="C739" t="s">
        <v>34</v>
      </c>
      <c r="D739" t="s">
        <v>35</v>
      </c>
      <c r="E739" t="s">
        <v>4632</v>
      </c>
      <c r="F739" t="s">
        <v>4633</v>
      </c>
      <c r="G739" t="s">
        <v>213</v>
      </c>
      <c r="H739" t="s">
        <v>83</v>
      </c>
      <c r="I739" t="s">
        <v>1029</v>
      </c>
      <c r="J739" t="s">
        <v>225</v>
      </c>
      <c r="K739">
        <v>1997</v>
      </c>
      <c r="L739">
        <v>1997</v>
      </c>
      <c r="M739">
        <v>8.7999999999999995E-2</v>
      </c>
      <c r="N739">
        <v>0.48399999999999999</v>
      </c>
      <c r="R739" t="s">
        <v>84</v>
      </c>
      <c r="S739" t="s">
        <v>4025</v>
      </c>
      <c r="T739" t="b">
        <v>1</v>
      </c>
      <c r="U739" t="s">
        <v>111</v>
      </c>
      <c r="V739" t="s">
        <v>4634</v>
      </c>
      <c r="W739" t="s">
        <v>4635</v>
      </c>
      <c r="X739" t="s">
        <v>47</v>
      </c>
      <c r="AA739" t="s">
        <v>3413</v>
      </c>
      <c r="AC739" t="s">
        <v>3723</v>
      </c>
      <c r="AD739" t="b">
        <v>0</v>
      </c>
      <c r="AF739">
        <v>3</v>
      </c>
      <c r="AG739" t="s">
        <v>332</v>
      </c>
    </row>
    <row r="740" spans="1:33" x14ac:dyDescent="0.2">
      <c r="A740">
        <v>2127</v>
      </c>
      <c r="B740" t="s">
        <v>4636</v>
      </c>
      <c r="C740" t="s">
        <v>34</v>
      </c>
      <c r="D740" t="s">
        <v>35</v>
      </c>
      <c r="E740" t="s">
        <v>4637</v>
      </c>
      <c r="F740" t="s">
        <v>4638</v>
      </c>
      <c r="G740" t="s">
        <v>53</v>
      </c>
      <c r="H740" t="s">
        <v>54</v>
      </c>
      <c r="I740" t="s">
        <v>1251</v>
      </c>
      <c r="J740" t="s">
        <v>177</v>
      </c>
      <c r="K740">
        <v>2025</v>
      </c>
      <c r="L740">
        <v>2025</v>
      </c>
      <c r="M740">
        <v>3.07</v>
      </c>
      <c r="N740">
        <v>9</v>
      </c>
      <c r="O740">
        <v>369.2</v>
      </c>
      <c r="P740">
        <v>1.01</v>
      </c>
      <c r="Q740">
        <v>0.85</v>
      </c>
      <c r="R740" t="s">
        <v>72</v>
      </c>
      <c r="S740" t="s">
        <v>4639</v>
      </c>
      <c r="T740" t="b">
        <v>1</v>
      </c>
      <c r="U740" t="s">
        <v>4640</v>
      </c>
      <c r="V740" t="s">
        <v>4641</v>
      </c>
      <c r="W740" t="s">
        <v>4642</v>
      </c>
      <c r="X740" t="s">
        <v>47</v>
      </c>
      <c r="AA740" t="s">
        <v>4643</v>
      </c>
      <c r="AB740" t="s">
        <v>49</v>
      </c>
      <c r="AC740" t="s">
        <v>4644</v>
      </c>
      <c r="AD740" t="b">
        <v>0</v>
      </c>
      <c r="AF740">
        <v>13</v>
      </c>
      <c r="AG740" t="s">
        <v>155</v>
      </c>
    </row>
    <row r="741" spans="1:33" x14ac:dyDescent="0.2">
      <c r="A741">
        <v>1514</v>
      </c>
      <c r="B741" t="s">
        <v>4645</v>
      </c>
      <c r="C741" t="s">
        <v>34</v>
      </c>
      <c r="D741" t="s">
        <v>35</v>
      </c>
      <c r="E741" t="s">
        <v>1525</v>
      </c>
      <c r="F741" t="s">
        <v>1526</v>
      </c>
      <c r="G741" t="s">
        <v>213</v>
      </c>
      <c r="H741" t="s">
        <v>83</v>
      </c>
      <c r="I741" t="s">
        <v>1527</v>
      </c>
      <c r="J741" t="s">
        <v>245</v>
      </c>
      <c r="K741">
        <v>2009</v>
      </c>
      <c r="L741">
        <v>2009</v>
      </c>
      <c r="M741">
        <v>3.9</v>
      </c>
      <c r="N741">
        <v>10.147</v>
      </c>
      <c r="O741">
        <v>74</v>
      </c>
      <c r="P741">
        <v>9</v>
      </c>
      <c r="Q741">
        <v>0.12</v>
      </c>
      <c r="R741" t="s">
        <v>84</v>
      </c>
      <c r="S741" t="s">
        <v>4646</v>
      </c>
      <c r="T741" t="b">
        <v>1</v>
      </c>
      <c r="U741" t="s">
        <v>4647</v>
      </c>
      <c r="V741" t="s">
        <v>4648</v>
      </c>
      <c r="W741" t="s">
        <v>4649</v>
      </c>
      <c r="X741" t="s">
        <v>47</v>
      </c>
      <c r="AA741" t="s">
        <v>1532</v>
      </c>
      <c r="AB741" t="s">
        <v>227</v>
      </c>
      <c r="AC741" t="s">
        <v>1533</v>
      </c>
      <c r="AD741" t="b">
        <v>0</v>
      </c>
      <c r="AF741">
        <v>5</v>
      </c>
      <c r="AG741" t="s">
        <v>89</v>
      </c>
    </row>
    <row r="742" spans="1:33" x14ac:dyDescent="0.2">
      <c r="A742">
        <v>2062</v>
      </c>
      <c r="B742" t="s">
        <v>4650</v>
      </c>
      <c r="C742" t="s">
        <v>34</v>
      </c>
      <c r="D742" t="s">
        <v>35</v>
      </c>
      <c r="E742" t="s">
        <v>4651</v>
      </c>
      <c r="F742" t="s">
        <v>4652</v>
      </c>
      <c r="G742" t="s">
        <v>312</v>
      </c>
      <c r="H742" t="s">
        <v>313</v>
      </c>
      <c r="I742" t="s">
        <v>493</v>
      </c>
      <c r="J742" t="s">
        <v>409</v>
      </c>
      <c r="K742">
        <v>2021</v>
      </c>
      <c r="L742">
        <v>2021</v>
      </c>
      <c r="M742">
        <v>1.81</v>
      </c>
      <c r="N742">
        <v>6.1710000000000003</v>
      </c>
      <c r="O742">
        <v>239.2</v>
      </c>
      <c r="P742">
        <v>0.92</v>
      </c>
      <c r="Q742">
        <v>0.54600000000000004</v>
      </c>
      <c r="R742" t="s">
        <v>84</v>
      </c>
      <c r="S742" t="s">
        <v>1686</v>
      </c>
      <c r="T742" t="b">
        <v>1</v>
      </c>
      <c r="U742" t="s">
        <v>4653</v>
      </c>
      <c r="V742" t="s">
        <v>4654</v>
      </c>
      <c r="W742" t="s">
        <v>4655</v>
      </c>
      <c r="X742" t="s">
        <v>47</v>
      </c>
      <c r="AA742" t="s">
        <v>498</v>
      </c>
      <c r="AC742" t="s">
        <v>499</v>
      </c>
      <c r="AD742" t="b">
        <v>0</v>
      </c>
      <c r="AF742">
        <v>4</v>
      </c>
      <c r="AG742" t="s">
        <v>321</v>
      </c>
    </row>
    <row r="743" spans="1:33" x14ac:dyDescent="0.2">
      <c r="A743">
        <v>889</v>
      </c>
      <c r="B743" t="s">
        <v>4656</v>
      </c>
      <c r="C743" t="s">
        <v>34</v>
      </c>
      <c r="D743" t="s">
        <v>35</v>
      </c>
      <c r="E743" t="s">
        <v>4657</v>
      </c>
      <c r="F743" t="s">
        <v>4658</v>
      </c>
      <c r="G743" t="s">
        <v>213</v>
      </c>
      <c r="H743" t="s">
        <v>83</v>
      </c>
      <c r="I743" t="s">
        <v>635</v>
      </c>
      <c r="J743" t="s">
        <v>94</v>
      </c>
      <c r="K743">
        <v>2004</v>
      </c>
      <c r="L743">
        <v>2004</v>
      </c>
      <c r="M743">
        <v>0.98599999999999999</v>
      </c>
      <c r="N743">
        <v>2.6349999999999998</v>
      </c>
      <c r="R743" t="s">
        <v>84</v>
      </c>
      <c r="S743" t="s">
        <v>4659</v>
      </c>
      <c r="T743" t="b">
        <v>1</v>
      </c>
      <c r="U743" t="s">
        <v>4660</v>
      </c>
      <c r="V743" t="s">
        <v>4661</v>
      </c>
      <c r="W743" t="s">
        <v>4662</v>
      </c>
      <c r="X743" t="s">
        <v>47</v>
      </c>
      <c r="AA743" t="s">
        <v>958</v>
      </c>
      <c r="AC743" t="s">
        <v>959</v>
      </c>
      <c r="AD743" t="b">
        <v>0</v>
      </c>
      <c r="AF743">
        <v>3</v>
      </c>
      <c r="AG743" t="s">
        <v>332</v>
      </c>
    </row>
    <row r="744" spans="1:33" x14ac:dyDescent="0.2">
      <c r="A744">
        <v>1535</v>
      </c>
      <c r="B744" t="s">
        <v>4656</v>
      </c>
      <c r="C744" t="s">
        <v>34</v>
      </c>
      <c r="D744" t="s">
        <v>35</v>
      </c>
      <c r="E744" t="s">
        <v>4663</v>
      </c>
      <c r="F744" t="s">
        <v>4664</v>
      </c>
      <c r="G744" t="s">
        <v>53</v>
      </c>
      <c r="H744" t="s">
        <v>54</v>
      </c>
      <c r="I744" t="s">
        <v>1723</v>
      </c>
      <c r="J744" t="s">
        <v>1697</v>
      </c>
      <c r="K744">
        <v>2008</v>
      </c>
      <c r="L744">
        <v>2008</v>
      </c>
      <c r="M744">
        <v>9.9000000000000005E-2</v>
      </c>
      <c r="N744">
        <v>0.29099999999999998</v>
      </c>
      <c r="R744" t="s">
        <v>57</v>
      </c>
      <c r="S744" t="s">
        <v>4665</v>
      </c>
      <c r="T744" t="b">
        <v>1</v>
      </c>
      <c r="U744" t="s">
        <v>4666</v>
      </c>
      <c r="V744" t="s">
        <v>4667</v>
      </c>
      <c r="W744" t="s">
        <v>4668</v>
      </c>
      <c r="X744" t="s">
        <v>47</v>
      </c>
      <c r="AA744" t="s">
        <v>1727</v>
      </c>
      <c r="AC744" t="s">
        <v>1728</v>
      </c>
      <c r="AD744" t="b">
        <v>0</v>
      </c>
      <c r="AF744">
        <v>6</v>
      </c>
      <c r="AG744" t="s">
        <v>64</v>
      </c>
    </row>
    <row r="745" spans="1:33" x14ac:dyDescent="0.2">
      <c r="A745">
        <v>917</v>
      </c>
      <c r="B745" t="s">
        <v>4669</v>
      </c>
      <c r="C745" t="s">
        <v>34</v>
      </c>
      <c r="D745" t="s">
        <v>35</v>
      </c>
      <c r="E745" t="s">
        <v>180</v>
      </c>
      <c r="F745" t="s">
        <v>181</v>
      </c>
      <c r="G745" t="s">
        <v>53</v>
      </c>
      <c r="H745" t="s">
        <v>54</v>
      </c>
      <c r="I745" t="s">
        <v>55</v>
      </c>
      <c r="J745" t="s">
        <v>56</v>
      </c>
      <c r="K745">
        <v>1946</v>
      </c>
      <c r="L745">
        <v>2024</v>
      </c>
      <c r="M745">
        <v>0.92</v>
      </c>
      <c r="N745">
        <v>4.55</v>
      </c>
      <c r="O745">
        <v>25</v>
      </c>
      <c r="P745">
        <v>4.4000000000000004</v>
      </c>
      <c r="Q745">
        <v>5.8000000000000003E-2</v>
      </c>
      <c r="R745" t="s">
        <v>57</v>
      </c>
      <c r="S745" t="s">
        <v>4670</v>
      </c>
      <c r="T745" t="b">
        <v>1</v>
      </c>
      <c r="U745" t="s">
        <v>4671</v>
      </c>
      <c r="V745" t="s">
        <v>429</v>
      </c>
      <c r="W745" t="s">
        <v>4672</v>
      </c>
      <c r="X745" t="s">
        <v>47</v>
      </c>
      <c r="AA745" t="s">
        <v>741</v>
      </c>
      <c r="AC745" t="s">
        <v>742</v>
      </c>
      <c r="AD745" t="b">
        <v>0</v>
      </c>
      <c r="AF745">
        <v>6</v>
      </c>
      <c r="AG745" t="s">
        <v>64</v>
      </c>
    </row>
    <row r="746" spans="1:33" x14ac:dyDescent="0.2">
      <c r="A746">
        <v>205</v>
      </c>
      <c r="B746" t="s">
        <v>4673</v>
      </c>
      <c r="C746" t="s">
        <v>34</v>
      </c>
      <c r="D746" t="s">
        <v>35</v>
      </c>
      <c r="E746" t="s">
        <v>4674</v>
      </c>
      <c r="F746" t="s">
        <v>4675</v>
      </c>
      <c r="G746" t="s">
        <v>503</v>
      </c>
      <c r="H746" t="s">
        <v>462</v>
      </c>
      <c r="I746" t="s">
        <v>578</v>
      </c>
      <c r="J746" t="s">
        <v>308</v>
      </c>
      <c r="K746">
        <v>1969</v>
      </c>
      <c r="L746">
        <v>1969</v>
      </c>
      <c r="M746">
        <v>12.9</v>
      </c>
      <c r="N746">
        <v>68.254000000000005</v>
      </c>
      <c r="O746">
        <v>5.0199999999999996</v>
      </c>
      <c r="P746">
        <v>320</v>
      </c>
      <c r="Q746">
        <v>1.0999999999999999E-2</v>
      </c>
      <c r="R746" t="s">
        <v>84</v>
      </c>
      <c r="S746" t="s">
        <v>4676</v>
      </c>
      <c r="T746" t="b">
        <v>1</v>
      </c>
      <c r="U746" t="s">
        <v>4677</v>
      </c>
      <c r="V746" t="s">
        <v>4678</v>
      </c>
      <c r="W746" t="s">
        <v>4679</v>
      </c>
      <c r="X746" t="s">
        <v>47</v>
      </c>
      <c r="AA746" t="s">
        <v>583</v>
      </c>
      <c r="AB746" t="s">
        <v>177</v>
      </c>
      <c r="AC746" t="s">
        <v>585</v>
      </c>
      <c r="AD746" t="b">
        <v>0</v>
      </c>
      <c r="AF746">
        <v>3</v>
      </c>
      <c r="AG746" t="s">
        <v>332</v>
      </c>
    </row>
    <row r="747" spans="1:33" x14ac:dyDescent="0.2">
      <c r="A747">
        <v>826</v>
      </c>
      <c r="B747" t="s">
        <v>4680</v>
      </c>
      <c r="C747" t="s">
        <v>574</v>
      </c>
      <c r="D747" t="s">
        <v>575</v>
      </c>
      <c r="E747" t="s">
        <v>1027</v>
      </c>
      <c r="F747" t="s">
        <v>1028</v>
      </c>
      <c r="G747" t="s">
        <v>213</v>
      </c>
      <c r="H747" t="s">
        <v>83</v>
      </c>
      <c r="I747" t="s">
        <v>1672</v>
      </c>
      <c r="J747" t="s">
        <v>231</v>
      </c>
      <c r="K747">
        <v>1999</v>
      </c>
      <c r="L747">
        <v>1999</v>
      </c>
      <c r="M747">
        <v>-0.2</v>
      </c>
      <c r="N747">
        <v>-0.48299999999999998</v>
      </c>
      <c r="O747">
        <v>0</v>
      </c>
      <c r="P747">
        <v>0.4</v>
      </c>
      <c r="Q747">
        <v>-0.13900000000000001</v>
      </c>
      <c r="R747" t="s">
        <v>84</v>
      </c>
      <c r="S747" t="s">
        <v>4681</v>
      </c>
      <c r="T747" t="b">
        <v>1</v>
      </c>
      <c r="U747" t="s">
        <v>571</v>
      </c>
      <c r="V747" t="s">
        <v>1032</v>
      </c>
      <c r="W747" t="s">
        <v>4682</v>
      </c>
      <c r="X747" t="s">
        <v>47</v>
      </c>
      <c r="AA747" t="s">
        <v>4683</v>
      </c>
      <c r="AB747" t="s">
        <v>177</v>
      </c>
      <c r="AC747" t="s">
        <v>2266</v>
      </c>
      <c r="AD747" t="b">
        <v>0</v>
      </c>
      <c r="AF747">
        <v>4</v>
      </c>
      <c r="AG747" t="s">
        <v>321</v>
      </c>
    </row>
    <row r="748" spans="1:33" x14ac:dyDescent="0.2">
      <c r="A748">
        <v>1733</v>
      </c>
      <c r="B748" t="s">
        <v>4684</v>
      </c>
      <c r="C748" t="s">
        <v>34</v>
      </c>
      <c r="D748" t="s">
        <v>35</v>
      </c>
      <c r="E748" t="s">
        <v>4685</v>
      </c>
      <c r="F748" t="s">
        <v>4686</v>
      </c>
      <c r="G748" t="s">
        <v>53</v>
      </c>
      <c r="H748" t="s">
        <v>54</v>
      </c>
      <c r="I748" t="s">
        <v>118</v>
      </c>
      <c r="J748" t="s">
        <v>119</v>
      </c>
      <c r="K748">
        <v>2013</v>
      </c>
      <c r="L748">
        <v>2013</v>
      </c>
      <c r="M748">
        <v>1.389</v>
      </c>
      <c r="N748">
        <v>4.1079999999999997</v>
      </c>
      <c r="O748">
        <v>222</v>
      </c>
      <c r="P748">
        <v>0.84</v>
      </c>
      <c r="Q748">
        <v>0.45900000000000002</v>
      </c>
      <c r="R748" t="s">
        <v>84</v>
      </c>
      <c r="S748" t="s">
        <v>939</v>
      </c>
      <c r="T748" t="b">
        <v>1</v>
      </c>
      <c r="U748" t="s">
        <v>4687</v>
      </c>
      <c r="V748" t="s">
        <v>4688</v>
      </c>
      <c r="W748" t="s">
        <v>4689</v>
      </c>
      <c r="X748" t="s">
        <v>47</v>
      </c>
      <c r="AA748" t="s">
        <v>479</v>
      </c>
      <c r="AB748" t="s">
        <v>177</v>
      </c>
      <c r="AC748" t="s">
        <v>1518</v>
      </c>
      <c r="AD748" t="b">
        <v>0</v>
      </c>
      <c r="AF748">
        <v>5</v>
      </c>
      <c r="AG748" t="s">
        <v>89</v>
      </c>
    </row>
    <row r="749" spans="1:33" x14ac:dyDescent="0.2">
      <c r="A749">
        <v>846</v>
      </c>
      <c r="B749" t="s">
        <v>4690</v>
      </c>
      <c r="C749" t="s">
        <v>34</v>
      </c>
      <c r="D749" t="s">
        <v>35</v>
      </c>
      <c r="E749" t="s">
        <v>1200</v>
      </c>
      <c r="F749" t="s">
        <v>1201</v>
      </c>
      <c r="G749" t="s">
        <v>53</v>
      </c>
      <c r="H749" t="s">
        <v>54</v>
      </c>
      <c r="I749" t="s">
        <v>1678</v>
      </c>
      <c r="J749" t="s">
        <v>245</v>
      </c>
      <c r="K749">
        <v>2006</v>
      </c>
      <c r="L749">
        <v>2006</v>
      </c>
      <c r="M749">
        <v>8.9</v>
      </c>
      <c r="N749">
        <v>35.909999999999997</v>
      </c>
      <c r="O749">
        <v>384</v>
      </c>
      <c r="P749">
        <v>2.6</v>
      </c>
      <c r="Q749">
        <v>0.95099999999999996</v>
      </c>
      <c r="R749" t="s">
        <v>57</v>
      </c>
      <c r="S749" t="s">
        <v>4691</v>
      </c>
      <c r="T749" t="b">
        <v>1</v>
      </c>
      <c r="U749" t="s">
        <v>4692</v>
      </c>
      <c r="V749" t="s">
        <v>1204</v>
      </c>
      <c r="W749" t="s">
        <v>4693</v>
      </c>
      <c r="X749" t="s">
        <v>47</v>
      </c>
      <c r="AA749" t="s">
        <v>4694</v>
      </c>
      <c r="AB749" t="s">
        <v>49</v>
      </c>
      <c r="AC749" t="s">
        <v>4695</v>
      </c>
      <c r="AD749" t="b">
        <v>0</v>
      </c>
      <c r="AF749">
        <v>6</v>
      </c>
      <c r="AG749" t="s">
        <v>64</v>
      </c>
    </row>
    <row r="750" spans="1:33" x14ac:dyDescent="0.2">
      <c r="A750">
        <v>1596</v>
      </c>
      <c r="B750" t="s">
        <v>4696</v>
      </c>
      <c r="C750" t="s">
        <v>34</v>
      </c>
      <c r="D750" t="s">
        <v>35</v>
      </c>
      <c r="E750" t="s">
        <v>168</v>
      </c>
      <c r="F750" t="s">
        <v>169</v>
      </c>
      <c r="G750" t="s">
        <v>242</v>
      </c>
      <c r="H750" t="s">
        <v>243</v>
      </c>
      <c r="I750" t="s">
        <v>255</v>
      </c>
      <c r="J750" t="s">
        <v>256</v>
      </c>
      <c r="K750">
        <v>2010</v>
      </c>
      <c r="L750">
        <v>2010</v>
      </c>
      <c r="M750">
        <v>4.8499999999999996</v>
      </c>
      <c r="N750">
        <v>10.057</v>
      </c>
      <c r="O750">
        <v>60</v>
      </c>
      <c r="P750">
        <v>9.9</v>
      </c>
      <c r="Q750">
        <v>0.13600000000000001</v>
      </c>
      <c r="R750" t="s">
        <v>72</v>
      </c>
      <c r="S750" t="s">
        <v>4697</v>
      </c>
      <c r="T750" t="b">
        <v>1</v>
      </c>
      <c r="U750" t="s">
        <v>4698</v>
      </c>
      <c r="V750" t="s">
        <v>174</v>
      </c>
      <c r="W750" t="s">
        <v>4699</v>
      </c>
      <c r="X750" t="s">
        <v>47</v>
      </c>
      <c r="AA750" t="s">
        <v>261</v>
      </c>
      <c r="AB750" t="s">
        <v>135</v>
      </c>
      <c r="AC750" t="s">
        <v>263</v>
      </c>
      <c r="AD750" t="b">
        <v>0</v>
      </c>
      <c r="AF750">
        <v>9</v>
      </c>
      <c r="AG750" t="s">
        <v>251</v>
      </c>
    </row>
    <row r="751" spans="1:33" x14ac:dyDescent="0.2">
      <c r="A751">
        <v>1111</v>
      </c>
      <c r="B751" t="s">
        <v>4700</v>
      </c>
      <c r="C751" t="s">
        <v>34</v>
      </c>
      <c r="D751" t="s">
        <v>35</v>
      </c>
      <c r="G751" t="s">
        <v>242</v>
      </c>
      <c r="H751" t="s">
        <v>243</v>
      </c>
      <c r="I751" t="s">
        <v>3688</v>
      </c>
      <c r="J751" t="s">
        <v>663</v>
      </c>
      <c r="K751">
        <v>1999</v>
      </c>
      <c r="L751">
        <v>1999</v>
      </c>
      <c r="M751">
        <v>1.6E-2</v>
      </c>
      <c r="N751">
        <v>1.4999999999999999E-2</v>
      </c>
      <c r="R751" t="s">
        <v>72</v>
      </c>
      <c r="S751" t="s">
        <v>4701</v>
      </c>
      <c r="T751" t="b">
        <v>1</v>
      </c>
      <c r="U751" t="s">
        <v>571</v>
      </c>
      <c r="V751" t="s">
        <v>60</v>
      </c>
      <c r="W751" t="s">
        <v>4702</v>
      </c>
      <c r="X751" t="s">
        <v>47</v>
      </c>
      <c r="AA751" t="s">
        <v>114</v>
      </c>
      <c r="AC751" t="s">
        <v>63</v>
      </c>
      <c r="AD751" t="b">
        <v>0</v>
      </c>
      <c r="AF751">
        <v>9</v>
      </c>
      <c r="AG751" t="s">
        <v>251</v>
      </c>
    </row>
    <row r="752" spans="1:33" x14ac:dyDescent="0.2">
      <c r="A752">
        <v>206</v>
      </c>
      <c r="B752" t="s">
        <v>4703</v>
      </c>
      <c r="C752" t="s">
        <v>34</v>
      </c>
      <c r="D752" t="s">
        <v>35</v>
      </c>
      <c r="E752" t="s">
        <v>36</v>
      </c>
      <c r="F752" t="s">
        <v>37</v>
      </c>
      <c r="G752" t="s">
        <v>134</v>
      </c>
      <c r="H752" t="s">
        <v>135</v>
      </c>
      <c r="I752" t="s">
        <v>345</v>
      </c>
      <c r="J752" t="s">
        <v>256</v>
      </c>
      <c r="K752">
        <v>1987</v>
      </c>
      <c r="L752">
        <v>1987</v>
      </c>
      <c r="M752">
        <v>300</v>
      </c>
      <c r="N752">
        <v>765.64300000000003</v>
      </c>
      <c r="O752">
        <v>590</v>
      </c>
      <c r="P752">
        <v>57.99</v>
      </c>
      <c r="Q752">
        <v>1.4370000000000001</v>
      </c>
      <c r="R752" t="s">
        <v>42</v>
      </c>
      <c r="S752" t="s">
        <v>4704</v>
      </c>
      <c r="T752" t="b">
        <v>1</v>
      </c>
      <c r="U752" t="s">
        <v>4705</v>
      </c>
      <c r="V752" t="s">
        <v>4706</v>
      </c>
      <c r="W752" t="s">
        <v>4707</v>
      </c>
      <c r="X752" t="s">
        <v>47</v>
      </c>
      <c r="AA752" t="s">
        <v>4708</v>
      </c>
      <c r="AB752" t="s">
        <v>49</v>
      </c>
      <c r="AC752" t="s">
        <v>4709</v>
      </c>
      <c r="AD752" t="b">
        <v>0</v>
      </c>
      <c r="AF752">
        <v>10</v>
      </c>
      <c r="AG752" t="s">
        <v>143</v>
      </c>
    </row>
    <row r="753" spans="1:33" x14ac:dyDescent="0.2">
      <c r="A753">
        <v>207</v>
      </c>
      <c r="B753" t="s">
        <v>4710</v>
      </c>
      <c r="C753" t="s">
        <v>34</v>
      </c>
      <c r="D753" t="s">
        <v>35</v>
      </c>
      <c r="E753" t="s">
        <v>4711</v>
      </c>
      <c r="F753" t="s">
        <v>4712</v>
      </c>
      <c r="G753" t="s">
        <v>38</v>
      </c>
      <c r="H753" t="s">
        <v>39</v>
      </c>
      <c r="I753" t="s">
        <v>4713</v>
      </c>
      <c r="J753" t="s">
        <v>227</v>
      </c>
      <c r="K753">
        <v>2010</v>
      </c>
      <c r="L753">
        <v>2010</v>
      </c>
      <c r="M753">
        <v>3.2</v>
      </c>
      <c r="N753">
        <v>17.088000000000001</v>
      </c>
      <c r="O753">
        <v>112.5</v>
      </c>
      <c r="P753">
        <v>3.2</v>
      </c>
      <c r="Q753">
        <v>0.27800000000000002</v>
      </c>
      <c r="R753" t="s">
        <v>42</v>
      </c>
      <c r="S753" t="s">
        <v>4714</v>
      </c>
      <c r="T753" t="b">
        <v>1</v>
      </c>
      <c r="U753" t="s">
        <v>4715</v>
      </c>
      <c r="V753" t="s">
        <v>4716</v>
      </c>
      <c r="W753" t="s">
        <v>4717</v>
      </c>
      <c r="X753" t="s">
        <v>47</v>
      </c>
      <c r="AA753" t="s">
        <v>4718</v>
      </c>
      <c r="AB753" t="s">
        <v>49</v>
      </c>
      <c r="AC753" t="s">
        <v>4719</v>
      </c>
      <c r="AD753" t="b">
        <v>0</v>
      </c>
      <c r="AF753">
        <v>12</v>
      </c>
      <c r="AG753" t="s">
        <v>51</v>
      </c>
    </row>
    <row r="754" spans="1:33" x14ac:dyDescent="0.2">
      <c r="A754">
        <v>208</v>
      </c>
      <c r="B754" t="s">
        <v>4720</v>
      </c>
      <c r="C754" t="s">
        <v>34</v>
      </c>
      <c r="D754" t="s">
        <v>35</v>
      </c>
      <c r="E754" t="s">
        <v>682</v>
      </c>
      <c r="F754" t="s">
        <v>683</v>
      </c>
      <c r="G754" t="s">
        <v>68</v>
      </c>
      <c r="H754" t="s">
        <v>69</v>
      </c>
      <c r="I754" t="s">
        <v>1458</v>
      </c>
      <c r="J754" t="s">
        <v>1459</v>
      </c>
      <c r="K754">
        <v>1955</v>
      </c>
      <c r="L754">
        <v>1955</v>
      </c>
      <c r="M754">
        <v>2.7</v>
      </c>
      <c r="N754">
        <v>12.72</v>
      </c>
      <c r="O754">
        <v>46</v>
      </c>
      <c r="P754">
        <v>7</v>
      </c>
      <c r="Q754">
        <v>8.3000000000000004E-2</v>
      </c>
      <c r="R754" t="s">
        <v>72</v>
      </c>
      <c r="S754" t="s">
        <v>4721</v>
      </c>
      <c r="T754" t="b">
        <v>1</v>
      </c>
      <c r="U754" t="s">
        <v>4534</v>
      </c>
      <c r="V754" t="s">
        <v>686</v>
      </c>
      <c r="W754" t="s">
        <v>4722</v>
      </c>
      <c r="X754" t="s">
        <v>47</v>
      </c>
      <c r="AA754" t="s">
        <v>4723</v>
      </c>
      <c r="AB754" t="s">
        <v>49</v>
      </c>
      <c r="AC754" t="s">
        <v>4724</v>
      </c>
      <c r="AD754" t="b">
        <v>0</v>
      </c>
      <c r="AF754">
        <v>8</v>
      </c>
      <c r="AG754" t="s">
        <v>78</v>
      </c>
    </row>
    <row r="755" spans="1:33" x14ac:dyDescent="0.2">
      <c r="A755">
        <v>209</v>
      </c>
      <c r="B755" t="s">
        <v>4725</v>
      </c>
      <c r="C755" t="s">
        <v>34</v>
      </c>
      <c r="D755" t="s">
        <v>35</v>
      </c>
      <c r="E755" t="s">
        <v>132</v>
      </c>
      <c r="F755" t="s">
        <v>133</v>
      </c>
      <c r="G755" t="s">
        <v>134</v>
      </c>
      <c r="H755" t="s">
        <v>135</v>
      </c>
      <c r="I755" t="s">
        <v>2967</v>
      </c>
      <c r="J755" t="s">
        <v>83</v>
      </c>
      <c r="K755">
        <v>1979</v>
      </c>
      <c r="L755">
        <v>1979</v>
      </c>
      <c r="M755">
        <v>128</v>
      </c>
      <c r="N755">
        <v>641.08900000000006</v>
      </c>
      <c r="O755">
        <v>519</v>
      </c>
      <c r="P755">
        <v>30.6</v>
      </c>
      <c r="Q755">
        <v>1.1619999999999999</v>
      </c>
      <c r="R755" t="s">
        <v>42</v>
      </c>
      <c r="S755" t="s">
        <v>2968</v>
      </c>
      <c r="T755" t="b">
        <v>1</v>
      </c>
      <c r="U755" t="s">
        <v>4726</v>
      </c>
      <c r="V755" t="s">
        <v>4727</v>
      </c>
      <c r="W755" t="s">
        <v>4728</v>
      </c>
      <c r="X755" t="s">
        <v>47</v>
      </c>
      <c r="AA755" t="s">
        <v>2971</v>
      </c>
      <c r="AB755" t="s">
        <v>177</v>
      </c>
      <c r="AC755" t="s">
        <v>2972</v>
      </c>
      <c r="AD755" t="b">
        <v>0</v>
      </c>
      <c r="AF755">
        <v>10</v>
      </c>
      <c r="AG755" t="s">
        <v>143</v>
      </c>
    </row>
    <row r="756" spans="1:33" x14ac:dyDescent="0.2">
      <c r="A756">
        <v>210</v>
      </c>
      <c r="B756" t="s">
        <v>4729</v>
      </c>
      <c r="C756" t="s">
        <v>34</v>
      </c>
      <c r="D756" t="s">
        <v>35</v>
      </c>
      <c r="E756" t="s">
        <v>2636</v>
      </c>
      <c r="F756" t="s">
        <v>2637</v>
      </c>
      <c r="G756" t="s">
        <v>38</v>
      </c>
      <c r="H756" t="s">
        <v>39</v>
      </c>
      <c r="I756" t="s">
        <v>4730</v>
      </c>
      <c r="J756" t="s">
        <v>515</v>
      </c>
      <c r="K756">
        <v>1946</v>
      </c>
      <c r="L756">
        <v>2007</v>
      </c>
      <c r="M756">
        <v>4.4000000000000004</v>
      </c>
      <c r="N756">
        <v>18.369</v>
      </c>
      <c r="O756">
        <v>70.5</v>
      </c>
      <c r="P756">
        <v>7.28</v>
      </c>
      <c r="Q756">
        <v>0.16700000000000001</v>
      </c>
      <c r="R756" t="s">
        <v>42</v>
      </c>
      <c r="S756" t="s">
        <v>4731</v>
      </c>
      <c r="T756" t="b">
        <v>1</v>
      </c>
      <c r="U756" t="s">
        <v>59</v>
      </c>
      <c r="V756" t="s">
        <v>2641</v>
      </c>
      <c r="W756" t="s">
        <v>4732</v>
      </c>
      <c r="X756" t="s">
        <v>47</v>
      </c>
      <c r="AA756" t="s">
        <v>4733</v>
      </c>
      <c r="AB756" t="s">
        <v>177</v>
      </c>
      <c r="AC756" t="s">
        <v>4734</v>
      </c>
      <c r="AD756" t="b">
        <v>0</v>
      </c>
      <c r="AF756">
        <v>12</v>
      </c>
      <c r="AG756" t="s">
        <v>51</v>
      </c>
    </row>
    <row r="757" spans="1:33" x14ac:dyDescent="0.2">
      <c r="A757">
        <v>812</v>
      </c>
      <c r="B757" t="s">
        <v>4735</v>
      </c>
      <c r="C757" t="s">
        <v>34</v>
      </c>
      <c r="D757" t="s">
        <v>35</v>
      </c>
      <c r="E757" t="s">
        <v>1708</v>
      </c>
      <c r="F757" t="s">
        <v>1709</v>
      </c>
      <c r="G757" t="s">
        <v>224</v>
      </c>
      <c r="H757" t="s">
        <v>225</v>
      </c>
      <c r="I757" t="s">
        <v>1710</v>
      </c>
      <c r="J757" t="s">
        <v>1077</v>
      </c>
      <c r="K757">
        <v>1920</v>
      </c>
      <c r="L757">
        <v>2004</v>
      </c>
      <c r="M757">
        <v>2.9</v>
      </c>
      <c r="N757">
        <v>11.404999999999999</v>
      </c>
      <c r="O757">
        <v>14.65</v>
      </c>
      <c r="P757">
        <v>22.5</v>
      </c>
      <c r="Q757">
        <v>3.5999999999999997E-2</v>
      </c>
      <c r="R757" t="s">
        <v>97</v>
      </c>
      <c r="S757" t="s">
        <v>4736</v>
      </c>
      <c r="T757" t="b">
        <v>1</v>
      </c>
      <c r="U757" t="s">
        <v>4737</v>
      </c>
      <c r="V757" t="s">
        <v>1712</v>
      </c>
      <c r="W757" t="s">
        <v>4738</v>
      </c>
      <c r="X757" t="s">
        <v>47</v>
      </c>
      <c r="AA757" t="s">
        <v>102</v>
      </c>
      <c r="AC757" t="s">
        <v>103</v>
      </c>
      <c r="AD757" t="b">
        <v>0</v>
      </c>
      <c r="AF757">
        <v>1</v>
      </c>
      <c r="AG757" t="s">
        <v>104</v>
      </c>
    </row>
    <row r="758" spans="1:33" x14ac:dyDescent="0.2">
      <c r="A758">
        <v>211</v>
      </c>
      <c r="B758" t="s">
        <v>4739</v>
      </c>
      <c r="C758" t="s">
        <v>34</v>
      </c>
      <c r="D758" t="s">
        <v>35</v>
      </c>
      <c r="E758" t="s">
        <v>3469</v>
      </c>
      <c r="F758" t="s">
        <v>3470</v>
      </c>
      <c r="G758" t="s">
        <v>134</v>
      </c>
      <c r="H758" t="s">
        <v>135</v>
      </c>
      <c r="I758" t="s">
        <v>4740</v>
      </c>
      <c r="J758" t="s">
        <v>4741</v>
      </c>
      <c r="K758">
        <v>1920</v>
      </c>
      <c r="L758">
        <v>1920</v>
      </c>
      <c r="M758">
        <v>2.5</v>
      </c>
      <c r="N758">
        <v>9.7899999999999991</v>
      </c>
      <c r="O758">
        <v>196</v>
      </c>
      <c r="P758">
        <v>1.5</v>
      </c>
      <c r="Q758">
        <v>0.46200000000000002</v>
      </c>
      <c r="R758" t="s">
        <v>42</v>
      </c>
      <c r="S758" t="s">
        <v>4742</v>
      </c>
      <c r="T758" t="b">
        <v>1</v>
      </c>
      <c r="U758" t="s">
        <v>4091</v>
      </c>
      <c r="V758" t="s">
        <v>3473</v>
      </c>
      <c r="W758" t="s">
        <v>4743</v>
      </c>
      <c r="X758" t="s">
        <v>47</v>
      </c>
      <c r="AA758" t="s">
        <v>4744</v>
      </c>
      <c r="AB758" t="s">
        <v>280</v>
      </c>
      <c r="AC758" t="s">
        <v>4745</v>
      </c>
      <c r="AD758" t="b">
        <v>0</v>
      </c>
      <c r="AF758">
        <v>11</v>
      </c>
      <c r="AG758" t="s">
        <v>198</v>
      </c>
    </row>
    <row r="759" spans="1:33" x14ac:dyDescent="0.2">
      <c r="A759">
        <v>212</v>
      </c>
      <c r="B759" t="s">
        <v>386</v>
      </c>
      <c r="C759" t="s">
        <v>34</v>
      </c>
      <c r="D759" t="s">
        <v>35</v>
      </c>
      <c r="E759" t="s">
        <v>277</v>
      </c>
      <c r="F759" t="s">
        <v>278</v>
      </c>
      <c r="G759" t="s">
        <v>93</v>
      </c>
      <c r="H759" t="s">
        <v>94</v>
      </c>
      <c r="I759" t="s">
        <v>386</v>
      </c>
      <c r="J759" t="s">
        <v>49</v>
      </c>
      <c r="K759">
        <v>1975</v>
      </c>
      <c r="L759">
        <v>1975</v>
      </c>
      <c r="M759">
        <v>42.7</v>
      </c>
      <c r="N759">
        <v>181.65299999999999</v>
      </c>
      <c r="O759">
        <v>10.25</v>
      </c>
      <c r="P759">
        <v>510</v>
      </c>
      <c r="Q759">
        <v>2.3E-2</v>
      </c>
      <c r="R759" t="s">
        <v>97</v>
      </c>
      <c r="S759" t="s">
        <v>4746</v>
      </c>
      <c r="T759" t="b">
        <v>1</v>
      </c>
      <c r="U759" t="s">
        <v>4747</v>
      </c>
      <c r="V759" t="s">
        <v>389</v>
      </c>
      <c r="W759" t="s">
        <v>4748</v>
      </c>
      <c r="X759" t="s">
        <v>47</v>
      </c>
      <c r="AA759" t="s">
        <v>340</v>
      </c>
      <c r="AB759" t="s">
        <v>41</v>
      </c>
      <c r="AC759" t="s">
        <v>341</v>
      </c>
      <c r="AD759" t="b">
        <v>0</v>
      </c>
      <c r="AF759">
        <v>1</v>
      </c>
      <c r="AG759" t="s">
        <v>104</v>
      </c>
    </row>
    <row r="760" spans="1:33" x14ac:dyDescent="0.2">
      <c r="A760">
        <v>213</v>
      </c>
      <c r="B760" t="s">
        <v>4749</v>
      </c>
      <c r="C760" t="s">
        <v>34</v>
      </c>
      <c r="D760" t="s">
        <v>35</v>
      </c>
      <c r="E760" t="s">
        <v>682</v>
      </c>
      <c r="F760" t="s">
        <v>683</v>
      </c>
      <c r="G760" t="s">
        <v>68</v>
      </c>
      <c r="H760" t="s">
        <v>69</v>
      </c>
      <c r="I760" t="s">
        <v>1458</v>
      </c>
      <c r="J760" t="s">
        <v>1459</v>
      </c>
      <c r="K760">
        <v>1937</v>
      </c>
      <c r="L760">
        <v>1937</v>
      </c>
      <c r="M760">
        <v>2.6</v>
      </c>
      <c r="N760">
        <v>16.048999999999999</v>
      </c>
      <c r="O760">
        <v>83.3</v>
      </c>
      <c r="P760">
        <v>3.5</v>
      </c>
      <c r="Q760">
        <v>0.189</v>
      </c>
      <c r="R760" t="s">
        <v>72</v>
      </c>
      <c r="S760" t="s">
        <v>4750</v>
      </c>
      <c r="T760" t="b">
        <v>1</v>
      </c>
      <c r="U760" t="s">
        <v>4751</v>
      </c>
      <c r="V760" t="s">
        <v>686</v>
      </c>
      <c r="W760" t="s">
        <v>4722</v>
      </c>
      <c r="X760" t="s">
        <v>47</v>
      </c>
      <c r="AA760" t="s">
        <v>4723</v>
      </c>
      <c r="AB760" t="s">
        <v>177</v>
      </c>
      <c r="AC760" t="s">
        <v>4724</v>
      </c>
      <c r="AD760" t="b">
        <v>0</v>
      </c>
      <c r="AF760">
        <v>8</v>
      </c>
      <c r="AG760" t="s">
        <v>78</v>
      </c>
    </row>
    <row r="761" spans="1:33" x14ac:dyDescent="0.2">
      <c r="A761">
        <v>1144</v>
      </c>
      <c r="B761" t="s">
        <v>4752</v>
      </c>
      <c r="C761" t="s">
        <v>34</v>
      </c>
      <c r="D761" t="s">
        <v>35</v>
      </c>
      <c r="E761" t="s">
        <v>4753</v>
      </c>
      <c r="F761" t="s">
        <v>4754</v>
      </c>
      <c r="G761" t="s">
        <v>93</v>
      </c>
      <c r="H761" t="s">
        <v>94</v>
      </c>
      <c r="I761" t="s">
        <v>353</v>
      </c>
      <c r="J761" t="s">
        <v>354</v>
      </c>
      <c r="K761">
        <v>2003</v>
      </c>
      <c r="L761">
        <v>2003</v>
      </c>
      <c r="M761">
        <v>0.5</v>
      </c>
      <c r="N761">
        <v>3.4449999999999998</v>
      </c>
      <c r="O761">
        <v>5.0999999999999996</v>
      </c>
      <c r="P761">
        <v>12.7</v>
      </c>
      <c r="R761" t="s">
        <v>97</v>
      </c>
      <c r="S761" t="s">
        <v>4755</v>
      </c>
      <c r="T761" t="b">
        <v>1</v>
      </c>
      <c r="U761" t="s">
        <v>4756</v>
      </c>
      <c r="V761" t="s">
        <v>4757</v>
      </c>
      <c r="W761" t="s">
        <v>4758</v>
      </c>
      <c r="X761" t="s">
        <v>47</v>
      </c>
      <c r="AA761" t="s">
        <v>102</v>
      </c>
      <c r="AC761" t="s">
        <v>103</v>
      </c>
      <c r="AD761" t="b">
        <v>0</v>
      </c>
      <c r="AF761">
        <v>1</v>
      </c>
      <c r="AG761" t="s">
        <v>104</v>
      </c>
    </row>
    <row r="762" spans="1:33" x14ac:dyDescent="0.2">
      <c r="A762">
        <v>924</v>
      </c>
      <c r="B762" t="s">
        <v>4759</v>
      </c>
      <c r="C762" t="s">
        <v>34</v>
      </c>
      <c r="D762" t="s">
        <v>35</v>
      </c>
      <c r="G762" t="s">
        <v>68</v>
      </c>
      <c r="H762" t="s">
        <v>69</v>
      </c>
      <c r="I762" t="s">
        <v>445</v>
      </c>
      <c r="J762" t="s">
        <v>203</v>
      </c>
      <c r="K762">
        <v>1997</v>
      </c>
      <c r="L762">
        <v>1997</v>
      </c>
      <c r="M762">
        <v>1.4999999999999999E-2</v>
      </c>
      <c r="N762">
        <v>0.05</v>
      </c>
      <c r="R762" t="s">
        <v>72</v>
      </c>
      <c r="S762" t="s">
        <v>2546</v>
      </c>
      <c r="T762" t="b">
        <v>1</v>
      </c>
      <c r="U762" t="s">
        <v>111</v>
      </c>
      <c r="V762" t="s">
        <v>274</v>
      </c>
      <c r="W762" t="s">
        <v>113</v>
      </c>
      <c r="X762" t="s">
        <v>47</v>
      </c>
      <c r="AA762" t="s">
        <v>114</v>
      </c>
      <c r="AC762" t="s">
        <v>63</v>
      </c>
      <c r="AD762" t="b">
        <v>0</v>
      </c>
      <c r="AF762">
        <v>8</v>
      </c>
      <c r="AG762" t="s">
        <v>78</v>
      </c>
    </row>
    <row r="763" spans="1:33" x14ac:dyDescent="0.2">
      <c r="A763">
        <v>1580</v>
      </c>
      <c r="B763" t="s">
        <v>4760</v>
      </c>
      <c r="C763" t="s">
        <v>34</v>
      </c>
      <c r="D763" t="s">
        <v>35</v>
      </c>
      <c r="E763" t="s">
        <v>523</v>
      </c>
      <c r="F763" t="s">
        <v>524</v>
      </c>
      <c r="G763" t="s">
        <v>377</v>
      </c>
      <c r="H763" t="s">
        <v>378</v>
      </c>
      <c r="I763" t="s">
        <v>1559</v>
      </c>
      <c r="J763" t="s">
        <v>71</v>
      </c>
      <c r="K763">
        <v>2012</v>
      </c>
      <c r="L763">
        <v>2012</v>
      </c>
      <c r="M763">
        <v>4.7</v>
      </c>
      <c r="N763">
        <v>9.9540000000000006</v>
      </c>
      <c r="O763">
        <v>208.5</v>
      </c>
      <c r="P763">
        <v>3.08</v>
      </c>
      <c r="Q763">
        <v>0.42399999999999999</v>
      </c>
      <c r="R763" t="s">
        <v>42</v>
      </c>
      <c r="S763" t="s">
        <v>4761</v>
      </c>
      <c r="T763" t="b">
        <v>1</v>
      </c>
      <c r="U763" t="s">
        <v>4762</v>
      </c>
      <c r="V763" t="s">
        <v>527</v>
      </c>
      <c r="W763" t="s">
        <v>4763</v>
      </c>
      <c r="X763" t="s">
        <v>47</v>
      </c>
      <c r="AA763" t="s">
        <v>383</v>
      </c>
      <c r="AB763" t="s">
        <v>676</v>
      </c>
      <c r="AC763" t="s">
        <v>384</v>
      </c>
      <c r="AD763" t="b">
        <v>0</v>
      </c>
      <c r="AF763">
        <v>11</v>
      </c>
      <c r="AG763" t="s">
        <v>198</v>
      </c>
    </row>
    <row r="764" spans="1:33" x14ac:dyDescent="0.2">
      <c r="A764">
        <v>1416</v>
      </c>
      <c r="B764" t="s">
        <v>4764</v>
      </c>
      <c r="C764" t="s">
        <v>34</v>
      </c>
      <c r="D764" t="s">
        <v>35</v>
      </c>
      <c r="E764" t="s">
        <v>4765</v>
      </c>
      <c r="F764" t="s">
        <v>4766</v>
      </c>
      <c r="G764" t="s">
        <v>53</v>
      </c>
      <c r="H764" t="s">
        <v>54</v>
      </c>
      <c r="I764" t="s">
        <v>118</v>
      </c>
      <c r="J764" t="s">
        <v>119</v>
      </c>
      <c r="K764">
        <v>2008</v>
      </c>
      <c r="L764">
        <v>2008</v>
      </c>
      <c r="M764">
        <v>0.47</v>
      </c>
      <c r="N764">
        <v>1.4</v>
      </c>
      <c r="O764">
        <v>125</v>
      </c>
      <c r="P764">
        <v>0.5</v>
      </c>
      <c r="Q764">
        <v>0.27800000000000002</v>
      </c>
      <c r="R764" t="s">
        <v>84</v>
      </c>
      <c r="S764" t="s">
        <v>4767</v>
      </c>
      <c r="T764" t="b">
        <v>1</v>
      </c>
      <c r="U764" t="s">
        <v>4768</v>
      </c>
      <c r="V764" t="s">
        <v>4769</v>
      </c>
      <c r="W764" t="s">
        <v>4770</v>
      </c>
      <c r="X764" t="s">
        <v>47</v>
      </c>
      <c r="AA764" t="s">
        <v>4771</v>
      </c>
      <c r="AC764" t="s">
        <v>63</v>
      </c>
      <c r="AD764" t="b">
        <v>0</v>
      </c>
      <c r="AF764">
        <v>5</v>
      </c>
      <c r="AG764" t="s">
        <v>89</v>
      </c>
    </row>
    <row r="765" spans="1:33" x14ac:dyDescent="0.2">
      <c r="A765">
        <v>1474</v>
      </c>
      <c r="B765" t="s">
        <v>4772</v>
      </c>
      <c r="C765" t="s">
        <v>34</v>
      </c>
      <c r="D765" t="s">
        <v>35</v>
      </c>
      <c r="E765" t="s">
        <v>1200</v>
      </c>
      <c r="F765" t="s">
        <v>1201</v>
      </c>
      <c r="G765" t="s">
        <v>53</v>
      </c>
      <c r="H765" t="s">
        <v>54</v>
      </c>
      <c r="I765" t="s">
        <v>604</v>
      </c>
      <c r="J765" t="s">
        <v>426</v>
      </c>
      <c r="K765">
        <v>2009</v>
      </c>
      <c r="L765">
        <v>2009</v>
      </c>
      <c r="M765">
        <v>3.3</v>
      </c>
      <c r="N765">
        <v>12.53</v>
      </c>
      <c r="O765">
        <v>78</v>
      </c>
      <c r="P765">
        <v>5</v>
      </c>
      <c r="Q765">
        <v>0.183</v>
      </c>
      <c r="R765" t="s">
        <v>57</v>
      </c>
      <c r="S765" t="s">
        <v>4773</v>
      </c>
      <c r="T765" t="b">
        <v>1</v>
      </c>
      <c r="U765" t="s">
        <v>4453</v>
      </c>
      <c r="V765" t="s">
        <v>1204</v>
      </c>
      <c r="W765" t="s">
        <v>4774</v>
      </c>
      <c r="X765" t="s">
        <v>47</v>
      </c>
      <c r="AA765" t="s">
        <v>3878</v>
      </c>
      <c r="AB765" t="s">
        <v>308</v>
      </c>
      <c r="AC765" t="s">
        <v>3879</v>
      </c>
      <c r="AD765" t="b">
        <v>0</v>
      </c>
      <c r="AF765">
        <v>6</v>
      </c>
      <c r="AG765" t="s">
        <v>64</v>
      </c>
    </row>
    <row r="766" spans="1:33" x14ac:dyDescent="0.2">
      <c r="A766">
        <v>216</v>
      </c>
      <c r="B766" t="s">
        <v>4775</v>
      </c>
      <c r="C766" t="s">
        <v>34</v>
      </c>
      <c r="D766" t="s">
        <v>35</v>
      </c>
      <c r="E766" t="s">
        <v>3469</v>
      </c>
      <c r="F766" t="s">
        <v>3470</v>
      </c>
      <c r="G766" t="s">
        <v>134</v>
      </c>
      <c r="H766" t="s">
        <v>135</v>
      </c>
      <c r="I766" t="s">
        <v>4776</v>
      </c>
      <c r="J766" t="s">
        <v>3789</v>
      </c>
      <c r="K766">
        <v>1951</v>
      </c>
      <c r="L766">
        <v>1951</v>
      </c>
      <c r="M766">
        <v>2</v>
      </c>
      <c r="N766">
        <v>13.000999999999999</v>
      </c>
      <c r="O766">
        <v>344</v>
      </c>
      <c r="P766">
        <v>0.8</v>
      </c>
      <c r="Q766">
        <v>0.69399999999999995</v>
      </c>
      <c r="R766" t="s">
        <v>42</v>
      </c>
      <c r="S766" t="s">
        <v>4777</v>
      </c>
      <c r="T766" t="b">
        <v>1</v>
      </c>
      <c r="U766" t="s">
        <v>4381</v>
      </c>
      <c r="V766" t="s">
        <v>3473</v>
      </c>
      <c r="W766" t="s">
        <v>4778</v>
      </c>
      <c r="X766" t="s">
        <v>47</v>
      </c>
      <c r="AA766" t="s">
        <v>4779</v>
      </c>
      <c r="AB766" t="s">
        <v>83</v>
      </c>
      <c r="AC766" t="s">
        <v>4780</v>
      </c>
      <c r="AD766" t="b">
        <v>0</v>
      </c>
      <c r="AF766">
        <v>11</v>
      </c>
      <c r="AG766" t="s">
        <v>198</v>
      </c>
    </row>
    <row r="767" spans="1:33" x14ac:dyDescent="0.2">
      <c r="A767">
        <v>2046</v>
      </c>
      <c r="B767" t="s">
        <v>4781</v>
      </c>
      <c r="C767" t="s">
        <v>34</v>
      </c>
      <c r="D767" t="s">
        <v>35</v>
      </c>
      <c r="E767" t="s">
        <v>4782</v>
      </c>
      <c r="F767" t="s">
        <v>4783</v>
      </c>
      <c r="G767" t="s">
        <v>53</v>
      </c>
      <c r="H767" t="s">
        <v>54</v>
      </c>
      <c r="I767" t="s">
        <v>325</v>
      </c>
      <c r="J767" t="s">
        <v>135</v>
      </c>
      <c r="K767">
        <v>2023</v>
      </c>
      <c r="L767">
        <v>2023</v>
      </c>
      <c r="M767">
        <v>5.8</v>
      </c>
      <c r="N767">
        <v>18</v>
      </c>
      <c r="O767">
        <v>150.19999999999999</v>
      </c>
      <c r="P767">
        <v>4.5</v>
      </c>
      <c r="Q767">
        <v>0.35799999999999998</v>
      </c>
      <c r="R767" t="s">
        <v>57</v>
      </c>
      <c r="S767" t="s">
        <v>4784</v>
      </c>
      <c r="T767" t="b">
        <v>1</v>
      </c>
      <c r="U767" t="s">
        <v>4785</v>
      </c>
      <c r="V767" t="s">
        <v>4786</v>
      </c>
      <c r="W767" t="s">
        <v>4787</v>
      </c>
      <c r="X767" t="s">
        <v>47</v>
      </c>
      <c r="AA767" t="s">
        <v>991</v>
      </c>
      <c r="AB767" t="s">
        <v>227</v>
      </c>
      <c r="AC767" t="s">
        <v>992</v>
      </c>
      <c r="AD767" t="b">
        <v>0</v>
      </c>
      <c r="AF767">
        <v>6</v>
      </c>
      <c r="AG767" t="s">
        <v>64</v>
      </c>
    </row>
    <row r="768" spans="1:33" x14ac:dyDescent="0.2">
      <c r="A768">
        <v>1183</v>
      </c>
      <c r="B768" t="s">
        <v>4788</v>
      </c>
      <c r="C768" t="s">
        <v>34</v>
      </c>
      <c r="D768" t="s">
        <v>35</v>
      </c>
      <c r="G768" t="s">
        <v>213</v>
      </c>
      <c r="H768" t="s">
        <v>83</v>
      </c>
      <c r="I768" t="s">
        <v>1672</v>
      </c>
      <c r="J768" t="s">
        <v>231</v>
      </c>
      <c r="K768">
        <v>1999</v>
      </c>
      <c r="L768">
        <v>1999</v>
      </c>
      <c r="M768">
        <v>4.4999999999999998E-2</v>
      </c>
      <c r="N768">
        <v>3.3000000000000002E-2</v>
      </c>
      <c r="R768" t="s">
        <v>84</v>
      </c>
      <c r="S768" t="s">
        <v>3051</v>
      </c>
      <c r="T768" t="b">
        <v>1</v>
      </c>
      <c r="U768" t="s">
        <v>571</v>
      </c>
      <c r="V768" t="s">
        <v>274</v>
      </c>
      <c r="W768" t="s">
        <v>3053</v>
      </c>
      <c r="X768" t="s">
        <v>47</v>
      </c>
      <c r="AA768" t="s">
        <v>3054</v>
      </c>
      <c r="AC768" t="s">
        <v>63</v>
      </c>
      <c r="AD768" t="b">
        <v>0</v>
      </c>
      <c r="AF768">
        <v>4</v>
      </c>
      <c r="AG768" t="s">
        <v>321</v>
      </c>
    </row>
    <row r="769" spans="1:33" x14ac:dyDescent="0.2">
      <c r="A769">
        <v>1269</v>
      </c>
      <c r="B769" t="s">
        <v>4789</v>
      </c>
      <c r="C769" t="s">
        <v>34</v>
      </c>
      <c r="D769" t="s">
        <v>35</v>
      </c>
      <c r="G769" t="s">
        <v>134</v>
      </c>
      <c r="H769" t="s">
        <v>135</v>
      </c>
      <c r="I769" t="s">
        <v>4790</v>
      </c>
      <c r="J769" t="s">
        <v>262</v>
      </c>
      <c r="K769">
        <v>2002</v>
      </c>
      <c r="L769">
        <v>2002</v>
      </c>
      <c r="M769">
        <v>0.01</v>
      </c>
      <c r="N769">
        <v>0.08</v>
      </c>
      <c r="R769" t="s">
        <v>42</v>
      </c>
      <c r="S769" t="s">
        <v>4791</v>
      </c>
      <c r="T769" t="b">
        <v>1</v>
      </c>
      <c r="U769" t="s">
        <v>247</v>
      </c>
      <c r="V769" t="s">
        <v>274</v>
      </c>
      <c r="W769" t="s">
        <v>4792</v>
      </c>
      <c r="X769" t="s">
        <v>47</v>
      </c>
      <c r="AA769" t="s">
        <v>645</v>
      </c>
      <c r="AC769" t="s">
        <v>63</v>
      </c>
      <c r="AD769" t="b">
        <v>0</v>
      </c>
      <c r="AF769">
        <v>10</v>
      </c>
      <c r="AG769" t="s">
        <v>143</v>
      </c>
    </row>
    <row r="770" spans="1:33" x14ac:dyDescent="0.2">
      <c r="A770">
        <v>1361</v>
      </c>
      <c r="B770" t="s">
        <v>4793</v>
      </c>
      <c r="C770" t="s">
        <v>34</v>
      </c>
      <c r="D770" t="s">
        <v>35</v>
      </c>
      <c r="E770" t="s">
        <v>1320</v>
      </c>
      <c r="F770" t="s">
        <v>1321</v>
      </c>
      <c r="G770" t="s">
        <v>53</v>
      </c>
      <c r="H770" t="s">
        <v>54</v>
      </c>
      <c r="I770" t="s">
        <v>147</v>
      </c>
      <c r="J770" t="s">
        <v>148</v>
      </c>
      <c r="K770">
        <v>2007</v>
      </c>
      <c r="L770">
        <v>2007</v>
      </c>
      <c r="M770">
        <v>2.16</v>
      </c>
      <c r="N770">
        <v>6.4370000000000003</v>
      </c>
      <c r="O770">
        <v>294</v>
      </c>
      <c r="P770">
        <v>0.83</v>
      </c>
      <c r="Q770">
        <v>0.70199999999999996</v>
      </c>
      <c r="R770" t="s">
        <v>72</v>
      </c>
      <c r="S770" t="s">
        <v>4794</v>
      </c>
      <c r="T770" t="b">
        <v>1</v>
      </c>
      <c r="U770" t="s">
        <v>4795</v>
      </c>
      <c r="V770" t="s">
        <v>1324</v>
      </c>
      <c r="W770" t="s">
        <v>4796</v>
      </c>
      <c r="X770" t="s">
        <v>47</v>
      </c>
      <c r="AA770" t="s">
        <v>4797</v>
      </c>
      <c r="AC770" t="s">
        <v>63</v>
      </c>
      <c r="AD770" t="b">
        <v>0</v>
      </c>
      <c r="AF770">
        <v>13</v>
      </c>
      <c r="AG770" t="s">
        <v>155</v>
      </c>
    </row>
    <row r="771" spans="1:33" x14ac:dyDescent="0.2">
      <c r="A771">
        <v>217</v>
      </c>
      <c r="B771" t="s">
        <v>4798</v>
      </c>
      <c r="C771" t="s">
        <v>34</v>
      </c>
      <c r="D771" t="s">
        <v>35</v>
      </c>
      <c r="E771" t="s">
        <v>404</v>
      </c>
      <c r="F771" t="s">
        <v>405</v>
      </c>
      <c r="G771" t="s">
        <v>312</v>
      </c>
      <c r="H771" t="s">
        <v>313</v>
      </c>
      <c r="I771" t="s">
        <v>1049</v>
      </c>
      <c r="J771" t="s">
        <v>171</v>
      </c>
      <c r="K771">
        <v>1966</v>
      </c>
      <c r="L771">
        <v>1966</v>
      </c>
      <c r="M771">
        <v>6</v>
      </c>
      <c r="N771">
        <v>28.774999999999999</v>
      </c>
      <c r="O771">
        <v>163.5</v>
      </c>
      <c r="P771">
        <v>4.8</v>
      </c>
      <c r="Q771">
        <v>0.34699999999999998</v>
      </c>
      <c r="R771" t="s">
        <v>84</v>
      </c>
      <c r="S771" t="s">
        <v>4799</v>
      </c>
      <c r="T771" t="b">
        <v>1</v>
      </c>
      <c r="U771" t="s">
        <v>2896</v>
      </c>
      <c r="V771" t="s">
        <v>408</v>
      </c>
      <c r="W771" t="s">
        <v>4800</v>
      </c>
      <c r="X771" t="s">
        <v>47</v>
      </c>
      <c r="AA771" t="s">
        <v>615</v>
      </c>
      <c r="AB771" t="s">
        <v>256</v>
      </c>
      <c r="AC771" t="s">
        <v>616</v>
      </c>
      <c r="AD771" t="b">
        <v>0</v>
      </c>
      <c r="AF771">
        <v>4</v>
      </c>
      <c r="AG771" t="s">
        <v>321</v>
      </c>
    </row>
    <row r="772" spans="1:33" x14ac:dyDescent="0.2">
      <c r="A772">
        <v>1772</v>
      </c>
      <c r="B772" t="s">
        <v>4801</v>
      </c>
      <c r="C772" t="s">
        <v>34</v>
      </c>
      <c r="D772" t="s">
        <v>35</v>
      </c>
      <c r="E772" t="s">
        <v>4802</v>
      </c>
      <c r="F772" t="s">
        <v>4803</v>
      </c>
      <c r="G772" t="s">
        <v>224</v>
      </c>
      <c r="H772" t="s">
        <v>225</v>
      </c>
      <c r="I772" t="s">
        <v>4804</v>
      </c>
      <c r="J772" t="s">
        <v>171</v>
      </c>
      <c r="K772">
        <v>2014</v>
      </c>
      <c r="L772">
        <v>2014</v>
      </c>
      <c r="M772">
        <v>2.88</v>
      </c>
      <c r="N772">
        <v>7.09</v>
      </c>
      <c r="O772">
        <v>233.5</v>
      </c>
      <c r="P772">
        <v>1.45</v>
      </c>
      <c r="Q772">
        <v>0.55200000000000005</v>
      </c>
      <c r="R772" t="s">
        <v>57</v>
      </c>
      <c r="S772" t="s">
        <v>4805</v>
      </c>
      <c r="T772" t="b">
        <v>1</v>
      </c>
      <c r="U772" t="s">
        <v>4806</v>
      </c>
      <c r="V772" t="s">
        <v>4807</v>
      </c>
      <c r="W772" t="s">
        <v>4808</v>
      </c>
      <c r="X772" t="s">
        <v>47</v>
      </c>
      <c r="AA772" t="s">
        <v>102</v>
      </c>
      <c r="AB772" t="s">
        <v>1459</v>
      </c>
      <c r="AC772" t="s">
        <v>103</v>
      </c>
      <c r="AD772" t="b">
        <v>0</v>
      </c>
      <c r="AF772">
        <v>2</v>
      </c>
      <c r="AG772" t="s">
        <v>287</v>
      </c>
    </row>
    <row r="773" spans="1:33" x14ac:dyDescent="0.2">
      <c r="A773">
        <v>1902</v>
      </c>
      <c r="B773" t="s">
        <v>4809</v>
      </c>
      <c r="C773" t="s">
        <v>34</v>
      </c>
      <c r="D773" t="s">
        <v>35</v>
      </c>
      <c r="E773" t="s">
        <v>4810</v>
      </c>
      <c r="F773" t="s">
        <v>4811</v>
      </c>
      <c r="G773" t="s">
        <v>53</v>
      </c>
      <c r="H773" t="s">
        <v>54</v>
      </c>
      <c r="I773" t="s">
        <v>1251</v>
      </c>
      <c r="J773" t="s">
        <v>177</v>
      </c>
      <c r="K773">
        <v>2017</v>
      </c>
      <c r="L773">
        <v>2017</v>
      </c>
      <c r="M773">
        <v>3.2</v>
      </c>
      <c r="N773">
        <v>7.6929999999999996</v>
      </c>
      <c r="O773">
        <v>323.89999999999998</v>
      </c>
      <c r="P773">
        <v>1.1499999999999999</v>
      </c>
      <c r="Q773">
        <v>0.77300000000000002</v>
      </c>
      <c r="R773" t="s">
        <v>72</v>
      </c>
      <c r="S773" t="s">
        <v>4812</v>
      </c>
      <c r="T773" t="b">
        <v>1</v>
      </c>
      <c r="U773" t="s">
        <v>4813</v>
      </c>
      <c r="V773" t="s">
        <v>4814</v>
      </c>
      <c r="W773" t="s">
        <v>4815</v>
      </c>
      <c r="X773" t="s">
        <v>47</v>
      </c>
      <c r="AA773" t="s">
        <v>114</v>
      </c>
      <c r="AB773" t="s">
        <v>49</v>
      </c>
      <c r="AC773" t="s">
        <v>4816</v>
      </c>
      <c r="AD773" t="b">
        <v>0</v>
      </c>
      <c r="AF773">
        <v>13</v>
      </c>
      <c r="AG773" t="s">
        <v>155</v>
      </c>
    </row>
    <row r="774" spans="1:33" x14ac:dyDescent="0.2">
      <c r="A774">
        <v>2041</v>
      </c>
      <c r="B774" t="s">
        <v>4817</v>
      </c>
      <c r="C774" t="s">
        <v>34</v>
      </c>
      <c r="D774" t="s">
        <v>35</v>
      </c>
      <c r="E774" t="s">
        <v>4818</v>
      </c>
      <c r="F774" t="s">
        <v>4819</v>
      </c>
      <c r="G774" t="s">
        <v>53</v>
      </c>
      <c r="H774" t="s">
        <v>54</v>
      </c>
      <c r="I774" t="s">
        <v>147</v>
      </c>
      <c r="J774" t="s">
        <v>148</v>
      </c>
      <c r="K774">
        <v>2022</v>
      </c>
      <c r="L774">
        <v>2022</v>
      </c>
      <c r="M774">
        <v>7.6</v>
      </c>
      <c r="N774">
        <v>24.187999999999999</v>
      </c>
      <c r="O774">
        <v>435</v>
      </c>
      <c r="P774">
        <v>2.1</v>
      </c>
      <c r="Q774">
        <v>1.0049999999999999</v>
      </c>
      <c r="R774" t="s">
        <v>72</v>
      </c>
      <c r="S774" t="s">
        <v>4820</v>
      </c>
      <c r="T774" t="b">
        <v>1</v>
      </c>
      <c r="U774" t="s">
        <v>4821</v>
      </c>
      <c r="V774" t="s">
        <v>4822</v>
      </c>
      <c r="W774" t="s">
        <v>4823</v>
      </c>
      <c r="X774" t="s">
        <v>47</v>
      </c>
      <c r="AA774" t="s">
        <v>153</v>
      </c>
      <c r="AC774" t="s">
        <v>154</v>
      </c>
      <c r="AD774" t="b">
        <v>0</v>
      </c>
      <c r="AF774">
        <v>13</v>
      </c>
      <c r="AG774" t="s">
        <v>155</v>
      </c>
    </row>
    <row r="775" spans="1:33" x14ac:dyDescent="0.2">
      <c r="A775">
        <v>218</v>
      </c>
      <c r="B775" t="s">
        <v>4824</v>
      </c>
      <c r="C775" t="s">
        <v>34</v>
      </c>
      <c r="D775" t="s">
        <v>35</v>
      </c>
      <c r="E775" t="s">
        <v>4825</v>
      </c>
      <c r="F775" t="s">
        <v>4826</v>
      </c>
      <c r="G775" t="s">
        <v>242</v>
      </c>
      <c r="H775" t="s">
        <v>243</v>
      </c>
      <c r="I775" t="s">
        <v>4827</v>
      </c>
      <c r="J775" t="s">
        <v>1975</v>
      </c>
      <c r="K775">
        <v>1952</v>
      </c>
      <c r="L775">
        <v>1952</v>
      </c>
      <c r="M775">
        <v>10.6</v>
      </c>
      <c r="N775">
        <v>63.215000000000003</v>
      </c>
      <c r="O775">
        <v>48</v>
      </c>
      <c r="P775">
        <v>27.5</v>
      </c>
      <c r="Q775">
        <v>0.107</v>
      </c>
      <c r="R775" t="s">
        <v>97</v>
      </c>
      <c r="S775" t="s">
        <v>4828</v>
      </c>
      <c r="T775" t="b">
        <v>1</v>
      </c>
      <c r="U775" t="s">
        <v>4829</v>
      </c>
      <c r="V775" t="s">
        <v>4830</v>
      </c>
      <c r="W775" t="s">
        <v>4831</v>
      </c>
      <c r="X775" t="s">
        <v>47</v>
      </c>
      <c r="AA775" t="s">
        <v>340</v>
      </c>
      <c r="AB775" t="s">
        <v>1131</v>
      </c>
      <c r="AC775" t="s">
        <v>341</v>
      </c>
      <c r="AD775" t="b">
        <v>0</v>
      </c>
      <c r="AF775">
        <v>1</v>
      </c>
      <c r="AG775" t="s">
        <v>104</v>
      </c>
    </row>
    <row r="776" spans="1:33" x14ac:dyDescent="0.2">
      <c r="A776">
        <v>1510</v>
      </c>
      <c r="B776" t="s">
        <v>4832</v>
      </c>
      <c r="C776" t="s">
        <v>34</v>
      </c>
      <c r="D776" t="s">
        <v>35</v>
      </c>
      <c r="E776" t="s">
        <v>4833</v>
      </c>
      <c r="F776" t="s">
        <v>4834</v>
      </c>
      <c r="G776" t="s">
        <v>68</v>
      </c>
      <c r="H776" t="s">
        <v>69</v>
      </c>
      <c r="I776" t="s">
        <v>159</v>
      </c>
      <c r="J776" t="s">
        <v>160</v>
      </c>
      <c r="K776">
        <v>2010</v>
      </c>
      <c r="L776">
        <v>2010</v>
      </c>
      <c r="M776">
        <v>0.5</v>
      </c>
      <c r="N776">
        <v>1.2350000000000001</v>
      </c>
      <c r="O776">
        <v>150</v>
      </c>
      <c r="P776">
        <v>0.45</v>
      </c>
      <c r="R776" t="s">
        <v>72</v>
      </c>
      <c r="S776" t="s">
        <v>4835</v>
      </c>
      <c r="T776" t="b">
        <v>1</v>
      </c>
      <c r="U776" t="s">
        <v>4836</v>
      </c>
      <c r="V776" t="s">
        <v>4837</v>
      </c>
      <c r="W776" t="s">
        <v>4838</v>
      </c>
      <c r="X776" t="s">
        <v>47</v>
      </c>
      <c r="AA776" t="s">
        <v>4839</v>
      </c>
      <c r="AC776" t="s">
        <v>63</v>
      </c>
      <c r="AD776" t="b">
        <v>0</v>
      </c>
      <c r="AF776">
        <v>8</v>
      </c>
      <c r="AG776" t="s">
        <v>78</v>
      </c>
    </row>
    <row r="777" spans="1:33" x14ac:dyDescent="0.2">
      <c r="A777">
        <v>1877</v>
      </c>
      <c r="B777" t="s">
        <v>4840</v>
      </c>
      <c r="C777" t="s">
        <v>34</v>
      </c>
      <c r="D777" t="s">
        <v>35</v>
      </c>
      <c r="E777" t="s">
        <v>892</v>
      </c>
      <c r="F777" t="s">
        <v>893</v>
      </c>
      <c r="G777" t="s">
        <v>53</v>
      </c>
      <c r="H777" t="s">
        <v>54</v>
      </c>
      <c r="I777" t="s">
        <v>147</v>
      </c>
      <c r="J777" t="s">
        <v>148</v>
      </c>
      <c r="K777">
        <v>2016</v>
      </c>
      <c r="L777">
        <v>2016</v>
      </c>
      <c r="M777">
        <v>2.67</v>
      </c>
      <c r="N777">
        <v>8.39</v>
      </c>
      <c r="O777">
        <v>247</v>
      </c>
      <c r="P777">
        <v>1.3</v>
      </c>
      <c r="Q777">
        <v>0.57099999999999995</v>
      </c>
      <c r="R777" t="s">
        <v>72</v>
      </c>
      <c r="S777" t="s">
        <v>4841</v>
      </c>
      <c r="T777" t="b">
        <v>1</v>
      </c>
      <c r="U777" t="s">
        <v>4842</v>
      </c>
      <c r="V777" t="s">
        <v>896</v>
      </c>
      <c r="W777" t="s">
        <v>4843</v>
      </c>
      <c r="X777" t="s">
        <v>47</v>
      </c>
      <c r="AA777" t="s">
        <v>4844</v>
      </c>
      <c r="AC777" t="s">
        <v>63</v>
      </c>
      <c r="AD777" t="b">
        <v>0</v>
      </c>
      <c r="AF777">
        <v>13</v>
      </c>
      <c r="AG777" t="s">
        <v>155</v>
      </c>
    </row>
    <row r="778" spans="1:33" x14ac:dyDescent="0.2">
      <c r="A778">
        <v>1589</v>
      </c>
      <c r="B778" t="s">
        <v>4845</v>
      </c>
      <c r="C778" t="s">
        <v>34</v>
      </c>
      <c r="D778" t="s">
        <v>35</v>
      </c>
      <c r="E778" t="s">
        <v>4846</v>
      </c>
      <c r="F778" t="s">
        <v>4847</v>
      </c>
      <c r="G778" t="s">
        <v>53</v>
      </c>
      <c r="H778" t="s">
        <v>54</v>
      </c>
      <c r="I778" t="s">
        <v>1251</v>
      </c>
      <c r="J778" t="s">
        <v>177</v>
      </c>
      <c r="K778">
        <v>2012</v>
      </c>
      <c r="L778">
        <v>2012</v>
      </c>
      <c r="M778">
        <v>0.48</v>
      </c>
      <c r="N778">
        <v>2.8140000000000001</v>
      </c>
      <c r="O778">
        <v>238</v>
      </c>
      <c r="P778">
        <v>0.25</v>
      </c>
      <c r="Q778">
        <v>0.53300000000000003</v>
      </c>
      <c r="R778" t="s">
        <v>72</v>
      </c>
      <c r="S778" t="s">
        <v>4848</v>
      </c>
      <c r="T778" t="b">
        <v>1</v>
      </c>
      <c r="U778" t="s">
        <v>1609</v>
      </c>
      <c r="V778" t="s">
        <v>4849</v>
      </c>
      <c r="W778" t="s">
        <v>4850</v>
      </c>
      <c r="X778" t="s">
        <v>47</v>
      </c>
      <c r="AA778" t="s">
        <v>1256</v>
      </c>
      <c r="AC778" t="s">
        <v>1257</v>
      </c>
      <c r="AD778" t="b">
        <v>0</v>
      </c>
      <c r="AF778">
        <v>13</v>
      </c>
      <c r="AG778" t="s">
        <v>155</v>
      </c>
    </row>
    <row r="779" spans="1:33" x14ac:dyDescent="0.2">
      <c r="A779">
        <v>219</v>
      </c>
      <c r="B779" t="s">
        <v>4851</v>
      </c>
      <c r="C779" t="s">
        <v>34</v>
      </c>
      <c r="D779" t="s">
        <v>35</v>
      </c>
      <c r="E779" t="s">
        <v>1027</v>
      </c>
      <c r="F779" t="s">
        <v>1028</v>
      </c>
      <c r="G779" t="s">
        <v>213</v>
      </c>
      <c r="H779" t="s">
        <v>83</v>
      </c>
      <c r="I779" t="s">
        <v>635</v>
      </c>
      <c r="J779" t="s">
        <v>94</v>
      </c>
      <c r="K779">
        <v>1967</v>
      </c>
      <c r="L779">
        <v>1967</v>
      </c>
      <c r="M779">
        <v>40</v>
      </c>
      <c r="N779">
        <v>188.90899999999999</v>
      </c>
      <c r="O779">
        <v>314</v>
      </c>
      <c r="P779">
        <v>14.98</v>
      </c>
      <c r="Q779">
        <v>0.74</v>
      </c>
      <c r="R779" t="s">
        <v>84</v>
      </c>
      <c r="S779" t="s">
        <v>4852</v>
      </c>
      <c r="T779" t="b">
        <v>1</v>
      </c>
      <c r="U779" t="s">
        <v>4853</v>
      </c>
      <c r="V779" t="s">
        <v>4854</v>
      </c>
      <c r="W779" t="s">
        <v>4855</v>
      </c>
      <c r="X779" t="s">
        <v>47</v>
      </c>
      <c r="AA779" t="s">
        <v>958</v>
      </c>
      <c r="AB779" t="s">
        <v>676</v>
      </c>
      <c r="AC779" t="s">
        <v>959</v>
      </c>
      <c r="AD779" t="b">
        <v>0</v>
      </c>
      <c r="AF779">
        <v>3</v>
      </c>
      <c r="AG779" t="s">
        <v>332</v>
      </c>
    </row>
    <row r="780" spans="1:33" x14ac:dyDescent="0.2">
      <c r="A780">
        <v>1492</v>
      </c>
      <c r="B780" t="s">
        <v>4856</v>
      </c>
      <c r="C780" t="s">
        <v>34</v>
      </c>
      <c r="D780" t="s">
        <v>35</v>
      </c>
      <c r="E780" t="s">
        <v>4857</v>
      </c>
      <c r="F780" t="s">
        <v>4858</v>
      </c>
      <c r="G780" t="s">
        <v>134</v>
      </c>
      <c r="H780" t="s">
        <v>135</v>
      </c>
      <c r="I780" t="s">
        <v>2074</v>
      </c>
      <c r="J780" t="s">
        <v>225</v>
      </c>
      <c r="K780">
        <v>2008</v>
      </c>
      <c r="L780">
        <v>2008</v>
      </c>
      <c r="M780">
        <v>5.0999999999999996</v>
      </c>
      <c r="N780">
        <v>21.43</v>
      </c>
      <c r="O780">
        <v>301</v>
      </c>
      <c r="P780">
        <v>2.23</v>
      </c>
      <c r="Q780">
        <v>0.63500000000000001</v>
      </c>
      <c r="R780" t="s">
        <v>42</v>
      </c>
      <c r="S780" t="s">
        <v>4859</v>
      </c>
      <c r="T780" t="b">
        <v>1</v>
      </c>
      <c r="U780" t="s">
        <v>4860</v>
      </c>
      <c r="V780" t="s">
        <v>4861</v>
      </c>
      <c r="W780" t="s">
        <v>4862</v>
      </c>
      <c r="X780" t="s">
        <v>47</v>
      </c>
      <c r="AA780" t="s">
        <v>2652</v>
      </c>
      <c r="AC780" t="s">
        <v>2653</v>
      </c>
      <c r="AD780" t="b">
        <v>0</v>
      </c>
      <c r="AF780">
        <v>10</v>
      </c>
      <c r="AG780" t="s">
        <v>143</v>
      </c>
    </row>
    <row r="781" spans="1:33" x14ac:dyDescent="0.2">
      <c r="A781">
        <v>220</v>
      </c>
      <c r="B781" t="s">
        <v>4863</v>
      </c>
      <c r="C781" t="s">
        <v>34</v>
      </c>
      <c r="D781" t="s">
        <v>35</v>
      </c>
      <c r="E781" t="s">
        <v>4864</v>
      </c>
      <c r="F781" t="s">
        <v>4865</v>
      </c>
      <c r="G781" t="s">
        <v>134</v>
      </c>
      <c r="H781" t="s">
        <v>135</v>
      </c>
      <c r="I781" t="s">
        <v>345</v>
      </c>
      <c r="J781" t="s">
        <v>256</v>
      </c>
      <c r="K781">
        <v>1987</v>
      </c>
      <c r="L781">
        <v>1987</v>
      </c>
      <c r="M781">
        <v>2.2000000000000002</v>
      </c>
      <c r="N781">
        <v>7.2859999999999996</v>
      </c>
      <c r="O781">
        <v>238.8</v>
      </c>
      <c r="P781">
        <v>1.2</v>
      </c>
      <c r="Q781">
        <v>0.50900000000000001</v>
      </c>
      <c r="R781" t="s">
        <v>42</v>
      </c>
      <c r="S781" t="s">
        <v>4866</v>
      </c>
      <c r="T781" t="b">
        <v>1</v>
      </c>
      <c r="U781" t="s">
        <v>1111</v>
      </c>
      <c r="V781" t="s">
        <v>4867</v>
      </c>
      <c r="W781" t="s">
        <v>4868</v>
      </c>
      <c r="X781" t="s">
        <v>47</v>
      </c>
      <c r="AA781" t="s">
        <v>4869</v>
      </c>
      <c r="AB781" t="s">
        <v>49</v>
      </c>
      <c r="AC781" t="s">
        <v>4870</v>
      </c>
      <c r="AD781" t="b">
        <v>0</v>
      </c>
      <c r="AF781">
        <v>10</v>
      </c>
      <c r="AG781" t="s">
        <v>143</v>
      </c>
    </row>
    <row r="782" spans="1:33" x14ac:dyDescent="0.2">
      <c r="A782">
        <v>1507</v>
      </c>
      <c r="B782" t="s">
        <v>4513</v>
      </c>
      <c r="C782" t="s">
        <v>34</v>
      </c>
      <c r="D782" t="s">
        <v>35</v>
      </c>
      <c r="E782" t="s">
        <v>168</v>
      </c>
      <c r="F782" t="s">
        <v>169</v>
      </c>
      <c r="G782" t="s">
        <v>134</v>
      </c>
      <c r="H782" t="s">
        <v>135</v>
      </c>
      <c r="I782" t="s">
        <v>136</v>
      </c>
      <c r="J782" t="s">
        <v>41</v>
      </c>
      <c r="K782">
        <v>2011</v>
      </c>
      <c r="L782">
        <v>2011</v>
      </c>
      <c r="M782">
        <v>4.33</v>
      </c>
      <c r="N782">
        <v>12.288</v>
      </c>
      <c r="O782">
        <v>156.6</v>
      </c>
      <c r="P782">
        <v>3.28</v>
      </c>
      <c r="Q782">
        <v>0.36699999999999999</v>
      </c>
      <c r="R782" t="s">
        <v>42</v>
      </c>
      <c r="S782" t="s">
        <v>4871</v>
      </c>
      <c r="T782" t="b">
        <v>1</v>
      </c>
      <c r="U782" t="s">
        <v>4872</v>
      </c>
      <c r="V782" t="s">
        <v>174</v>
      </c>
      <c r="W782" t="s">
        <v>4873</v>
      </c>
      <c r="X782" t="s">
        <v>47</v>
      </c>
      <c r="AA782" t="s">
        <v>4513</v>
      </c>
      <c r="AB782" t="s">
        <v>49</v>
      </c>
      <c r="AC782" t="s">
        <v>4514</v>
      </c>
      <c r="AD782" t="b">
        <v>0</v>
      </c>
      <c r="AF782">
        <v>10</v>
      </c>
      <c r="AG782" t="s">
        <v>143</v>
      </c>
    </row>
    <row r="783" spans="1:33" x14ac:dyDescent="0.2">
      <c r="A783">
        <v>1581</v>
      </c>
      <c r="B783" t="s">
        <v>4874</v>
      </c>
      <c r="C783" t="s">
        <v>34</v>
      </c>
      <c r="D783" t="s">
        <v>35</v>
      </c>
      <c r="E783" t="s">
        <v>168</v>
      </c>
      <c r="F783" t="s">
        <v>169</v>
      </c>
      <c r="G783" t="s">
        <v>312</v>
      </c>
      <c r="H783" t="s">
        <v>313</v>
      </c>
      <c r="I783" t="s">
        <v>704</v>
      </c>
      <c r="J783" t="s">
        <v>56</v>
      </c>
      <c r="K783">
        <v>2011</v>
      </c>
      <c r="L783">
        <v>2011</v>
      </c>
      <c r="M783">
        <v>5.4</v>
      </c>
      <c r="N783">
        <v>9.7249999999999996</v>
      </c>
      <c r="O783">
        <v>369</v>
      </c>
      <c r="P783">
        <v>1.7</v>
      </c>
      <c r="Q783">
        <v>0.88200000000000001</v>
      </c>
      <c r="R783" t="s">
        <v>84</v>
      </c>
      <c r="S783" t="s">
        <v>4875</v>
      </c>
      <c r="T783" t="b">
        <v>1</v>
      </c>
      <c r="U783" t="s">
        <v>4876</v>
      </c>
      <c r="V783" t="s">
        <v>174</v>
      </c>
      <c r="W783" t="s">
        <v>4877</v>
      </c>
      <c r="X783" t="s">
        <v>47</v>
      </c>
      <c r="AA783" t="s">
        <v>319</v>
      </c>
      <c r="AB783" t="s">
        <v>1975</v>
      </c>
      <c r="AC783" t="s">
        <v>320</v>
      </c>
      <c r="AD783" t="b">
        <v>0</v>
      </c>
      <c r="AF783">
        <v>4</v>
      </c>
      <c r="AG783" t="s">
        <v>321</v>
      </c>
    </row>
    <row r="784" spans="1:33" x14ac:dyDescent="0.2">
      <c r="A784">
        <v>1776</v>
      </c>
      <c r="B784" t="s">
        <v>4878</v>
      </c>
      <c r="C784" t="s">
        <v>34</v>
      </c>
      <c r="D784" t="s">
        <v>35</v>
      </c>
      <c r="E784" t="s">
        <v>4879</v>
      </c>
      <c r="F784" t="s">
        <v>4880</v>
      </c>
      <c r="G784" t="s">
        <v>53</v>
      </c>
      <c r="H784" t="s">
        <v>54</v>
      </c>
      <c r="I784" t="s">
        <v>901</v>
      </c>
      <c r="J784" t="s">
        <v>313</v>
      </c>
      <c r="K784">
        <v>2015</v>
      </c>
      <c r="L784">
        <v>2015</v>
      </c>
      <c r="M784">
        <v>5</v>
      </c>
      <c r="N784">
        <v>12.257999999999999</v>
      </c>
      <c r="O784">
        <v>540</v>
      </c>
      <c r="P784">
        <v>1.1000000000000001</v>
      </c>
      <c r="Q784">
        <v>1.2629999999999999</v>
      </c>
      <c r="R784" t="s">
        <v>57</v>
      </c>
      <c r="S784" t="s">
        <v>4881</v>
      </c>
      <c r="T784" t="b">
        <v>1</v>
      </c>
      <c r="U784" t="s">
        <v>4882</v>
      </c>
      <c r="V784" t="s">
        <v>4883</v>
      </c>
      <c r="W784" t="s">
        <v>4884</v>
      </c>
      <c r="X784" t="s">
        <v>47</v>
      </c>
      <c r="AA784" t="s">
        <v>906</v>
      </c>
      <c r="AB784" t="s">
        <v>539</v>
      </c>
      <c r="AC784" t="s">
        <v>907</v>
      </c>
      <c r="AD784" t="b">
        <v>0</v>
      </c>
      <c r="AF784">
        <v>2</v>
      </c>
      <c r="AG784" t="s">
        <v>287</v>
      </c>
    </row>
    <row r="785" spans="1:33" x14ac:dyDescent="0.2">
      <c r="A785">
        <v>1071</v>
      </c>
      <c r="B785" t="s">
        <v>4885</v>
      </c>
      <c r="C785" t="s">
        <v>34</v>
      </c>
      <c r="D785" t="s">
        <v>35</v>
      </c>
      <c r="G785" t="s">
        <v>53</v>
      </c>
      <c r="H785" t="s">
        <v>54</v>
      </c>
      <c r="I785" t="s">
        <v>901</v>
      </c>
      <c r="J785" t="s">
        <v>313</v>
      </c>
      <c r="K785">
        <v>2004</v>
      </c>
      <c r="L785">
        <v>2004</v>
      </c>
      <c r="M785">
        <v>0.23200000000000001</v>
      </c>
      <c r="N785">
        <v>0.77100000000000002</v>
      </c>
      <c r="R785" t="s">
        <v>57</v>
      </c>
      <c r="S785" t="s">
        <v>4886</v>
      </c>
      <c r="T785" t="b">
        <v>1</v>
      </c>
      <c r="U785" t="s">
        <v>637</v>
      </c>
      <c r="V785" t="s">
        <v>274</v>
      </c>
      <c r="W785" t="s">
        <v>4887</v>
      </c>
      <c r="X785" t="s">
        <v>47</v>
      </c>
      <c r="AA785" t="s">
        <v>906</v>
      </c>
      <c r="AC785" t="s">
        <v>907</v>
      </c>
      <c r="AD785" t="b">
        <v>0</v>
      </c>
      <c r="AF785">
        <v>2</v>
      </c>
      <c r="AG785" t="s">
        <v>287</v>
      </c>
    </row>
    <row r="786" spans="1:33" x14ac:dyDescent="0.2">
      <c r="A786">
        <v>1314</v>
      </c>
      <c r="B786" t="s">
        <v>4888</v>
      </c>
      <c r="C786" t="s">
        <v>34</v>
      </c>
      <c r="D786" t="s">
        <v>35</v>
      </c>
      <c r="G786" t="s">
        <v>242</v>
      </c>
      <c r="H786" t="s">
        <v>243</v>
      </c>
      <c r="I786" t="s">
        <v>244</v>
      </c>
      <c r="J786" t="s">
        <v>245</v>
      </c>
      <c r="K786">
        <v>2004</v>
      </c>
      <c r="L786">
        <v>2004</v>
      </c>
      <c r="M786">
        <v>4.0000000000000001E-3</v>
      </c>
      <c r="N786">
        <v>0.02</v>
      </c>
      <c r="R786" t="s">
        <v>72</v>
      </c>
      <c r="S786" t="s">
        <v>4889</v>
      </c>
      <c r="T786" t="b">
        <v>1</v>
      </c>
      <c r="U786" t="s">
        <v>637</v>
      </c>
      <c r="V786" t="s">
        <v>274</v>
      </c>
      <c r="W786" t="s">
        <v>4890</v>
      </c>
      <c r="X786" t="s">
        <v>47</v>
      </c>
      <c r="AA786" t="s">
        <v>250</v>
      </c>
      <c r="AC786" t="s">
        <v>63</v>
      </c>
      <c r="AD786" t="b">
        <v>0</v>
      </c>
      <c r="AF786">
        <v>9</v>
      </c>
      <c r="AG786" t="s">
        <v>251</v>
      </c>
    </row>
    <row r="787" spans="1:33" x14ac:dyDescent="0.2">
      <c r="A787">
        <v>1031</v>
      </c>
      <c r="B787" t="s">
        <v>4891</v>
      </c>
      <c r="C787" t="s">
        <v>34</v>
      </c>
      <c r="D787" t="s">
        <v>35</v>
      </c>
      <c r="E787" t="s">
        <v>4892</v>
      </c>
      <c r="F787" t="s">
        <v>4893</v>
      </c>
      <c r="G787" t="s">
        <v>503</v>
      </c>
      <c r="H787" t="s">
        <v>462</v>
      </c>
      <c r="I787" t="s">
        <v>2930</v>
      </c>
      <c r="J787" t="s">
        <v>676</v>
      </c>
      <c r="K787">
        <v>1999</v>
      </c>
      <c r="L787">
        <v>1999</v>
      </c>
      <c r="M787">
        <v>0.995</v>
      </c>
      <c r="N787">
        <v>3.0289999999999999</v>
      </c>
      <c r="O787">
        <v>213</v>
      </c>
      <c r="P787">
        <v>0.57499999999999996</v>
      </c>
      <c r="R787" t="s">
        <v>84</v>
      </c>
      <c r="S787" t="s">
        <v>2931</v>
      </c>
      <c r="T787" t="b">
        <v>1</v>
      </c>
      <c r="U787" t="s">
        <v>4894</v>
      </c>
      <c r="V787" t="s">
        <v>4895</v>
      </c>
      <c r="W787" t="s">
        <v>4896</v>
      </c>
      <c r="X787" t="s">
        <v>47</v>
      </c>
      <c r="AA787" t="s">
        <v>583</v>
      </c>
      <c r="AC787" t="s">
        <v>585</v>
      </c>
      <c r="AD787" t="b">
        <v>0</v>
      </c>
      <c r="AF787">
        <v>3</v>
      </c>
      <c r="AG787" t="s">
        <v>332</v>
      </c>
    </row>
    <row r="788" spans="1:33" x14ac:dyDescent="0.2">
      <c r="A788">
        <v>1042</v>
      </c>
      <c r="B788" t="s">
        <v>4897</v>
      </c>
      <c r="C788" t="s">
        <v>34</v>
      </c>
      <c r="D788" t="s">
        <v>35</v>
      </c>
      <c r="G788" t="s">
        <v>224</v>
      </c>
      <c r="H788" t="s">
        <v>225</v>
      </c>
      <c r="I788" t="s">
        <v>1569</v>
      </c>
      <c r="J788" t="s">
        <v>485</v>
      </c>
      <c r="K788">
        <v>2003</v>
      </c>
      <c r="L788">
        <v>2003</v>
      </c>
      <c r="M788">
        <v>1.4E-2</v>
      </c>
      <c r="N788">
        <v>6.3E-2</v>
      </c>
      <c r="R788" t="s">
        <v>97</v>
      </c>
      <c r="S788" t="s">
        <v>4898</v>
      </c>
      <c r="T788" t="b">
        <v>1</v>
      </c>
      <c r="U788" t="s">
        <v>2246</v>
      </c>
      <c r="V788" t="s">
        <v>274</v>
      </c>
      <c r="W788" t="s">
        <v>4899</v>
      </c>
      <c r="X788" t="s">
        <v>47</v>
      </c>
      <c r="AA788" t="s">
        <v>1548</v>
      </c>
      <c r="AC788" t="s">
        <v>63</v>
      </c>
      <c r="AD788" t="b">
        <v>0</v>
      </c>
      <c r="AF788">
        <v>1</v>
      </c>
      <c r="AG788" t="s">
        <v>104</v>
      </c>
    </row>
    <row r="789" spans="1:33" x14ac:dyDescent="0.2">
      <c r="A789">
        <v>2151</v>
      </c>
      <c r="B789" t="s">
        <v>4900</v>
      </c>
      <c r="C789" t="s">
        <v>34</v>
      </c>
      <c r="D789" t="s">
        <v>35</v>
      </c>
      <c r="E789" t="s">
        <v>1290</v>
      </c>
      <c r="F789" t="s">
        <v>1291</v>
      </c>
      <c r="G789" t="s">
        <v>503</v>
      </c>
      <c r="H789" t="s">
        <v>462</v>
      </c>
      <c r="I789" t="s">
        <v>2238</v>
      </c>
      <c r="J789" t="s">
        <v>171</v>
      </c>
      <c r="K789">
        <v>2025</v>
      </c>
      <c r="L789">
        <v>2025</v>
      </c>
      <c r="M789">
        <v>1.73</v>
      </c>
      <c r="N789">
        <v>4.0199999999999996</v>
      </c>
      <c r="R789" t="s">
        <v>84</v>
      </c>
      <c r="S789" t="s">
        <v>4901</v>
      </c>
      <c r="T789" t="b">
        <v>1</v>
      </c>
      <c r="U789" t="s">
        <v>4902</v>
      </c>
      <c r="V789" t="s">
        <v>1295</v>
      </c>
      <c r="W789" t="s">
        <v>4903</v>
      </c>
      <c r="X789" t="s">
        <v>47</v>
      </c>
      <c r="AA789" t="s">
        <v>583</v>
      </c>
      <c r="AC789" t="s">
        <v>585</v>
      </c>
      <c r="AD789" t="b">
        <v>0</v>
      </c>
      <c r="AF789">
        <v>3</v>
      </c>
      <c r="AG789" t="s">
        <v>332</v>
      </c>
    </row>
    <row r="790" spans="1:33" x14ac:dyDescent="0.2">
      <c r="A790">
        <v>1069</v>
      </c>
      <c r="B790" t="s">
        <v>4904</v>
      </c>
      <c r="C790" t="s">
        <v>34</v>
      </c>
      <c r="D790" t="s">
        <v>35</v>
      </c>
      <c r="E790" t="s">
        <v>4905</v>
      </c>
      <c r="F790" t="s">
        <v>4906</v>
      </c>
      <c r="G790" t="s">
        <v>224</v>
      </c>
      <c r="H790" t="s">
        <v>225</v>
      </c>
      <c r="I790" t="s">
        <v>2631</v>
      </c>
      <c r="J790" t="s">
        <v>308</v>
      </c>
      <c r="K790">
        <v>1917</v>
      </c>
      <c r="L790">
        <v>2008</v>
      </c>
      <c r="M790">
        <v>0.53</v>
      </c>
      <c r="N790">
        <v>2.0790000000000002</v>
      </c>
      <c r="O790">
        <v>54.1</v>
      </c>
      <c r="P790">
        <v>1.2</v>
      </c>
      <c r="Q790">
        <v>0.11600000000000001</v>
      </c>
      <c r="R790" t="s">
        <v>97</v>
      </c>
      <c r="S790" t="s">
        <v>4907</v>
      </c>
      <c r="T790" t="b">
        <v>1</v>
      </c>
      <c r="U790" t="s">
        <v>4908</v>
      </c>
      <c r="V790" t="s">
        <v>4909</v>
      </c>
      <c r="W790" t="s">
        <v>4910</v>
      </c>
      <c r="X790" t="s">
        <v>47</v>
      </c>
      <c r="AA790" t="s">
        <v>1548</v>
      </c>
      <c r="AC790" t="s">
        <v>1549</v>
      </c>
      <c r="AD790" t="b">
        <v>0</v>
      </c>
      <c r="AF790">
        <v>1</v>
      </c>
      <c r="AG790" t="s">
        <v>104</v>
      </c>
    </row>
    <row r="791" spans="1:33" x14ac:dyDescent="0.2">
      <c r="A791">
        <v>221</v>
      </c>
      <c r="B791" t="s">
        <v>4911</v>
      </c>
      <c r="C791" t="s">
        <v>34</v>
      </c>
      <c r="D791" t="s">
        <v>35</v>
      </c>
      <c r="E791" t="s">
        <v>277</v>
      </c>
      <c r="F791" t="s">
        <v>278</v>
      </c>
      <c r="G791" t="s">
        <v>93</v>
      </c>
      <c r="H791" t="s">
        <v>94</v>
      </c>
      <c r="I791" t="s">
        <v>2804</v>
      </c>
      <c r="J791" t="s">
        <v>676</v>
      </c>
      <c r="K791">
        <v>1936</v>
      </c>
      <c r="L791">
        <v>1936</v>
      </c>
      <c r="M791">
        <v>1.1000000000000001</v>
      </c>
      <c r="N791">
        <v>3.823</v>
      </c>
      <c r="O791">
        <v>18</v>
      </c>
      <c r="P791">
        <v>7.44</v>
      </c>
      <c r="Q791">
        <v>4.1000000000000002E-2</v>
      </c>
      <c r="R791" t="s">
        <v>97</v>
      </c>
      <c r="S791" t="s">
        <v>4912</v>
      </c>
      <c r="T791" t="b">
        <v>1</v>
      </c>
      <c r="U791" t="s">
        <v>4913</v>
      </c>
      <c r="V791" t="s">
        <v>389</v>
      </c>
      <c r="W791" t="s">
        <v>4914</v>
      </c>
      <c r="X791" t="s">
        <v>47</v>
      </c>
      <c r="AA791" t="s">
        <v>340</v>
      </c>
      <c r="AB791" t="s">
        <v>243</v>
      </c>
      <c r="AC791" t="s">
        <v>341</v>
      </c>
      <c r="AD791" t="b">
        <v>0</v>
      </c>
      <c r="AF791">
        <v>1</v>
      </c>
      <c r="AG791" t="s">
        <v>104</v>
      </c>
    </row>
    <row r="792" spans="1:33" x14ac:dyDescent="0.2">
      <c r="A792">
        <v>1975</v>
      </c>
      <c r="B792" t="s">
        <v>4915</v>
      </c>
      <c r="C792" t="s">
        <v>34</v>
      </c>
      <c r="D792" t="s">
        <v>35</v>
      </c>
      <c r="E792" t="s">
        <v>4916</v>
      </c>
      <c r="F792" t="s">
        <v>4917</v>
      </c>
      <c r="G792" t="s">
        <v>53</v>
      </c>
      <c r="H792" t="s">
        <v>54</v>
      </c>
      <c r="I792" t="s">
        <v>2033</v>
      </c>
      <c r="J792" t="s">
        <v>1303</v>
      </c>
      <c r="K792">
        <v>2021</v>
      </c>
      <c r="L792">
        <v>2021</v>
      </c>
      <c r="M792">
        <v>1.9</v>
      </c>
      <c r="N792">
        <v>9.0670000000000002</v>
      </c>
      <c r="O792">
        <v>26</v>
      </c>
      <c r="P792">
        <v>9</v>
      </c>
      <c r="Q792">
        <v>5.8999999999999997E-2</v>
      </c>
      <c r="R792" t="s">
        <v>72</v>
      </c>
      <c r="S792" t="s">
        <v>4918</v>
      </c>
      <c r="T792" t="b">
        <v>1</v>
      </c>
      <c r="U792" t="s">
        <v>4919</v>
      </c>
      <c r="V792" t="s">
        <v>4920</v>
      </c>
      <c r="W792" t="s">
        <v>4921</v>
      </c>
      <c r="X792" t="s">
        <v>47</v>
      </c>
      <c r="AA792" t="s">
        <v>2038</v>
      </c>
      <c r="AB792" t="s">
        <v>83</v>
      </c>
      <c r="AC792" t="s">
        <v>2039</v>
      </c>
      <c r="AD792" t="b">
        <v>0</v>
      </c>
      <c r="AF792">
        <v>13</v>
      </c>
      <c r="AG792" t="s">
        <v>155</v>
      </c>
    </row>
    <row r="793" spans="1:33" x14ac:dyDescent="0.2">
      <c r="A793">
        <v>1297</v>
      </c>
      <c r="B793" t="s">
        <v>4922</v>
      </c>
      <c r="C793" t="s">
        <v>34</v>
      </c>
      <c r="D793" t="s">
        <v>35</v>
      </c>
      <c r="G793" t="s">
        <v>242</v>
      </c>
      <c r="H793" t="s">
        <v>243</v>
      </c>
      <c r="I793" t="s">
        <v>1003</v>
      </c>
      <c r="J793" t="s">
        <v>192</v>
      </c>
      <c r="K793">
        <v>2007</v>
      </c>
      <c r="L793">
        <v>2007</v>
      </c>
      <c r="M793">
        <v>7.0000000000000007E-2</v>
      </c>
      <c r="N793">
        <v>6.4000000000000001E-2</v>
      </c>
      <c r="O793">
        <v>245</v>
      </c>
      <c r="P793">
        <v>0.04</v>
      </c>
      <c r="R793" t="s">
        <v>72</v>
      </c>
      <c r="S793" t="s">
        <v>4923</v>
      </c>
      <c r="T793" t="b">
        <v>1</v>
      </c>
      <c r="U793" t="s">
        <v>4924</v>
      </c>
      <c r="V793" t="s">
        <v>3040</v>
      </c>
      <c r="W793" t="s">
        <v>4925</v>
      </c>
      <c r="X793" t="s">
        <v>47</v>
      </c>
      <c r="AA793" t="s">
        <v>4926</v>
      </c>
      <c r="AC793" t="s">
        <v>63</v>
      </c>
      <c r="AD793" t="b">
        <v>0</v>
      </c>
      <c r="AF793">
        <v>9</v>
      </c>
      <c r="AG793" t="s">
        <v>251</v>
      </c>
    </row>
    <row r="794" spans="1:33" x14ac:dyDescent="0.2">
      <c r="A794">
        <v>1903</v>
      </c>
      <c r="B794" t="s">
        <v>4927</v>
      </c>
      <c r="C794" t="s">
        <v>34</v>
      </c>
      <c r="D794" t="s">
        <v>35</v>
      </c>
      <c r="E794" t="s">
        <v>4928</v>
      </c>
      <c r="F794" t="s">
        <v>4929</v>
      </c>
      <c r="G794" t="s">
        <v>312</v>
      </c>
      <c r="H794" t="s">
        <v>313</v>
      </c>
      <c r="I794" t="s">
        <v>1190</v>
      </c>
      <c r="J794" t="s">
        <v>135</v>
      </c>
      <c r="K794">
        <v>2005</v>
      </c>
      <c r="L794">
        <v>2005</v>
      </c>
      <c r="M794">
        <v>9.9000000000000005E-2</v>
      </c>
      <c r="N794">
        <v>0.52400000000000002</v>
      </c>
      <c r="R794" t="s">
        <v>84</v>
      </c>
      <c r="S794" t="s">
        <v>4930</v>
      </c>
      <c r="T794" t="b">
        <v>1</v>
      </c>
      <c r="U794" t="s">
        <v>237</v>
      </c>
      <c r="V794" t="s">
        <v>4931</v>
      </c>
      <c r="W794" t="s">
        <v>4932</v>
      </c>
      <c r="X794" t="s">
        <v>47</v>
      </c>
      <c r="AA794" t="s">
        <v>319</v>
      </c>
      <c r="AC794" t="s">
        <v>320</v>
      </c>
      <c r="AD794" t="b">
        <v>0</v>
      </c>
      <c r="AF794">
        <v>4</v>
      </c>
      <c r="AG794" t="s">
        <v>321</v>
      </c>
    </row>
    <row r="795" spans="1:33" x14ac:dyDescent="0.2">
      <c r="A795">
        <v>909</v>
      </c>
      <c r="B795" t="s">
        <v>4933</v>
      </c>
      <c r="C795" t="s">
        <v>34</v>
      </c>
      <c r="D795" t="s">
        <v>35</v>
      </c>
      <c r="E795" t="s">
        <v>728</v>
      </c>
      <c r="F795" t="s">
        <v>729</v>
      </c>
      <c r="G795" t="s">
        <v>53</v>
      </c>
      <c r="H795" t="s">
        <v>54</v>
      </c>
      <c r="I795" t="s">
        <v>362</v>
      </c>
      <c r="J795" t="s">
        <v>256</v>
      </c>
      <c r="K795">
        <v>2000</v>
      </c>
      <c r="L795">
        <v>2000</v>
      </c>
      <c r="M795">
        <v>0.32</v>
      </c>
      <c r="N795">
        <v>1.1259999999999999</v>
      </c>
      <c r="R795" t="s">
        <v>72</v>
      </c>
      <c r="S795" t="s">
        <v>4934</v>
      </c>
      <c r="T795" t="b">
        <v>1</v>
      </c>
      <c r="U795" t="s">
        <v>754</v>
      </c>
      <c r="V795" t="s">
        <v>2923</v>
      </c>
      <c r="W795" t="s">
        <v>4935</v>
      </c>
      <c r="X795" t="s">
        <v>47</v>
      </c>
      <c r="AA795" t="s">
        <v>2925</v>
      </c>
      <c r="AC795" t="s">
        <v>2926</v>
      </c>
      <c r="AD795" t="b">
        <v>0</v>
      </c>
      <c r="AF795">
        <v>13</v>
      </c>
      <c r="AG795" t="s">
        <v>155</v>
      </c>
    </row>
    <row r="796" spans="1:33" x14ac:dyDescent="0.2">
      <c r="A796">
        <v>2038</v>
      </c>
      <c r="B796" t="s">
        <v>4933</v>
      </c>
      <c r="C796" t="s">
        <v>34</v>
      </c>
      <c r="D796" t="s">
        <v>35</v>
      </c>
      <c r="E796" t="s">
        <v>1320</v>
      </c>
      <c r="F796" t="s">
        <v>1321</v>
      </c>
      <c r="G796" t="s">
        <v>53</v>
      </c>
      <c r="H796" t="s">
        <v>54</v>
      </c>
      <c r="I796" t="s">
        <v>1678</v>
      </c>
      <c r="J796" t="s">
        <v>245</v>
      </c>
      <c r="K796">
        <v>2021</v>
      </c>
      <c r="L796">
        <v>2021</v>
      </c>
      <c r="M796">
        <v>3.83</v>
      </c>
      <c r="N796">
        <v>10.666</v>
      </c>
      <c r="O796">
        <v>370.76</v>
      </c>
      <c r="P796">
        <v>1.2</v>
      </c>
      <c r="Q796">
        <v>0.88700000000000001</v>
      </c>
      <c r="R796" t="s">
        <v>57</v>
      </c>
      <c r="S796" t="s">
        <v>4936</v>
      </c>
      <c r="T796" t="b">
        <v>1</v>
      </c>
      <c r="U796" t="s">
        <v>4653</v>
      </c>
      <c r="V796" t="s">
        <v>1324</v>
      </c>
      <c r="W796" t="s">
        <v>4937</v>
      </c>
      <c r="X796" t="s">
        <v>47</v>
      </c>
      <c r="AA796" t="s">
        <v>1682</v>
      </c>
      <c r="AC796" t="s">
        <v>63</v>
      </c>
      <c r="AD796" t="b">
        <v>0</v>
      </c>
      <c r="AF796">
        <v>6</v>
      </c>
      <c r="AG796" t="s">
        <v>64</v>
      </c>
    </row>
    <row r="797" spans="1:33" x14ac:dyDescent="0.2">
      <c r="A797">
        <v>875</v>
      </c>
      <c r="B797" t="s">
        <v>4938</v>
      </c>
      <c r="C797" t="s">
        <v>34</v>
      </c>
      <c r="D797" t="s">
        <v>35</v>
      </c>
      <c r="G797" t="s">
        <v>503</v>
      </c>
      <c r="H797" t="s">
        <v>462</v>
      </c>
      <c r="I797" t="s">
        <v>1520</v>
      </c>
      <c r="J797" t="s">
        <v>337</v>
      </c>
      <c r="K797">
        <v>1993</v>
      </c>
      <c r="L797">
        <v>1993</v>
      </c>
      <c r="M797">
        <v>1.0999999999999999E-2</v>
      </c>
      <c r="N797">
        <v>2.7E-2</v>
      </c>
      <c r="O797">
        <v>24</v>
      </c>
      <c r="R797" t="s">
        <v>84</v>
      </c>
      <c r="S797" t="s">
        <v>4939</v>
      </c>
      <c r="T797" t="b">
        <v>1</v>
      </c>
      <c r="U797" t="s">
        <v>1379</v>
      </c>
      <c r="V797" t="s">
        <v>274</v>
      </c>
      <c r="W797" t="s">
        <v>113</v>
      </c>
      <c r="X797" t="s">
        <v>47</v>
      </c>
      <c r="AA797" t="s">
        <v>4940</v>
      </c>
      <c r="AC797" t="s">
        <v>63</v>
      </c>
      <c r="AD797" t="b">
        <v>0</v>
      </c>
      <c r="AF797">
        <v>3</v>
      </c>
      <c r="AG797" t="s">
        <v>332</v>
      </c>
    </row>
    <row r="798" spans="1:33" x14ac:dyDescent="0.2">
      <c r="A798">
        <v>943</v>
      </c>
      <c r="B798" t="s">
        <v>4938</v>
      </c>
      <c r="C798" t="s">
        <v>34</v>
      </c>
      <c r="D798" t="s">
        <v>35</v>
      </c>
      <c r="E798" t="s">
        <v>4941</v>
      </c>
      <c r="F798" t="s">
        <v>4942</v>
      </c>
      <c r="G798" t="s">
        <v>53</v>
      </c>
      <c r="H798" t="s">
        <v>54</v>
      </c>
      <c r="I798" t="s">
        <v>147</v>
      </c>
      <c r="J798" t="s">
        <v>148</v>
      </c>
      <c r="K798">
        <v>1997</v>
      </c>
      <c r="L798">
        <v>1997</v>
      </c>
      <c r="M798">
        <v>0.1424</v>
      </c>
      <c r="N798">
        <v>1.1379999999999999</v>
      </c>
      <c r="R798" t="s">
        <v>72</v>
      </c>
      <c r="S798" t="s">
        <v>850</v>
      </c>
      <c r="T798" t="b">
        <v>1</v>
      </c>
      <c r="U798" t="s">
        <v>111</v>
      </c>
      <c r="V798" t="s">
        <v>4943</v>
      </c>
      <c r="W798" t="s">
        <v>4944</v>
      </c>
      <c r="X798" t="s">
        <v>47</v>
      </c>
      <c r="AA798" t="s">
        <v>374</v>
      </c>
      <c r="AC798" t="s">
        <v>375</v>
      </c>
      <c r="AD798" t="b">
        <v>0</v>
      </c>
      <c r="AF798">
        <v>13</v>
      </c>
      <c r="AG798" t="s">
        <v>155</v>
      </c>
    </row>
    <row r="799" spans="1:33" x14ac:dyDescent="0.2">
      <c r="A799">
        <v>2075</v>
      </c>
      <c r="B799" t="s">
        <v>4938</v>
      </c>
      <c r="C799" t="s">
        <v>34</v>
      </c>
      <c r="D799" t="s">
        <v>35</v>
      </c>
      <c r="E799" t="s">
        <v>4945</v>
      </c>
      <c r="F799" t="s">
        <v>4946</v>
      </c>
      <c r="G799" t="s">
        <v>134</v>
      </c>
      <c r="H799" t="s">
        <v>135</v>
      </c>
      <c r="I799" t="s">
        <v>2967</v>
      </c>
      <c r="J799" t="s">
        <v>83</v>
      </c>
      <c r="K799">
        <v>2021</v>
      </c>
      <c r="L799">
        <v>2021</v>
      </c>
      <c r="M799">
        <v>2.1</v>
      </c>
      <c r="N799">
        <v>6.4119999999999999</v>
      </c>
      <c r="O799">
        <v>27</v>
      </c>
      <c r="P799">
        <v>9</v>
      </c>
      <c r="Q799">
        <v>6.5000000000000002E-2</v>
      </c>
      <c r="R799" t="s">
        <v>42</v>
      </c>
      <c r="S799" t="s">
        <v>4947</v>
      </c>
      <c r="T799" t="b">
        <v>1</v>
      </c>
      <c r="U799" t="s">
        <v>4948</v>
      </c>
      <c r="V799" t="s">
        <v>4949</v>
      </c>
      <c r="W799" t="s">
        <v>4950</v>
      </c>
      <c r="X799" t="s">
        <v>47</v>
      </c>
      <c r="AA799" t="s">
        <v>3584</v>
      </c>
      <c r="AB799" t="s">
        <v>49</v>
      </c>
      <c r="AC799" t="s">
        <v>3585</v>
      </c>
      <c r="AD799" t="b">
        <v>0</v>
      </c>
      <c r="AF799">
        <v>10</v>
      </c>
      <c r="AG799" t="s">
        <v>143</v>
      </c>
    </row>
    <row r="800" spans="1:33" x14ac:dyDescent="0.2">
      <c r="A800">
        <v>1745</v>
      </c>
      <c r="B800" t="s">
        <v>4951</v>
      </c>
      <c r="C800" t="s">
        <v>34</v>
      </c>
      <c r="D800" t="s">
        <v>35</v>
      </c>
      <c r="E800" t="s">
        <v>4952</v>
      </c>
      <c r="F800" t="s">
        <v>4953</v>
      </c>
      <c r="G800" t="s">
        <v>93</v>
      </c>
      <c r="H800" t="s">
        <v>94</v>
      </c>
      <c r="I800" t="s">
        <v>3288</v>
      </c>
      <c r="J800" t="s">
        <v>41</v>
      </c>
      <c r="K800">
        <v>2013</v>
      </c>
      <c r="L800">
        <v>2013</v>
      </c>
      <c r="M800">
        <v>2.8319999999999999</v>
      </c>
      <c r="N800">
        <v>7.4589999999999996</v>
      </c>
      <c r="O800">
        <v>310</v>
      </c>
      <c r="P800">
        <v>1.1000000000000001</v>
      </c>
      <c r="Q800">
        <v>0.71499999999999997</v>
      </c>
      <c r="R800" t="s">
        <v>97</v>
      </c>
      <c r="S800" t="s">
        <v>4954</v>
      </c>
      <c r="T800" t="b">
        <v>1</v>
      </c>
      <c r="U800" t="s">
        <v>4955</v>
      </c>
      <c r="V800" t="s">
        <v>4956</v>
      </c>
      <c r="W800" t="s">
        <v>4957</v>
      </c>
      <c r="X800" t="s">
        <v>47</v>
      </c>
      <c r="AA800" t="s">
        <v>340</v>
      </c>
      <c r="AB800" t="s">
        <v>4741</v>
      </c>
      <c r="AC800" t="s">
        <v>341</v>
      </c>
      <c r="AD800" t="b">
        <v>0</v>
      </c>
      <c r="AF800">
        <v>1</v>
      </c>
      <c r="AG800" t="s">
        <v>104</v>
      </c>
    </row>
    <row r="801" spans="1:33" x14ac:dyDescent="0.2">
      <c r="A801">
        <v>1435</v>
      </c>
      <c r="B801" t="s">
        <v>4958</v>
      </c>
      <c r="C801" t="s">
        <v>34</v>
      </c>
      <c r="D801" t="s">
        <v>35</v>
      </c>
      <c r="E801" t="s">
        <v>4959</v>
      </c>
      <c r="F801" t="s">
        <v>4960</v>
      </c>
      <c r="G801" t="s">
        <v>242</v>
      </c>
      <c r="H801" t="s">
        <v>243</v>
      </c>
      <c r="I801" t="s">
        <v>2625</v>
      </c>
      <c r="J801" t="s">
        <v>2626</v>
      </c>
      <c r="K801">
        <v>2008</v>
      </c>
      <c r="L801">
        <v>2008</v>
      </c>
      <c r="M801">
        <v>2.75</v>
      </c>
      <c r="N801">
        <v>9.1189999999999998</v>
      </c>
      <c r="O801">
        <v>280.5</v>
      </c>
      <c r="P801">
        <v>1.1499999999999999</v>
      </c>
      <c r="Q801">
        <v>0.66400000000000003</v>
      </c>
      <c r="R801" t="s">
        <v>72</v>
      </c>
      <c r="S801" t="s">
        <v>4961</v>
      </c>
      <c r="T801" t="b">
        <v>1</v>
      </c>
      <c r="U801" t="s">
        <v>4962</v>
      </c>
      <c r="V801" t="s">
        <v>4963</v>
      </c>
      <c r="W801" t="s">
        <v>4964</v>
      </c>
      <c r="X801" t="s">
        <v>47</v>
      </c>
      <c r="AA801" t="s">
        <v>4965</v>
      </c>
      <c r="AB801" t="s">
        <v>49</v>
      </c>
      <c r="AC801" t="s">
        <v>4966</v>
      </c>
      <c r="AD801" t="b">
        <v>0</v>
      </c>
      <c r="AF801">
        <v>8</v>
      </c>
      <c r="AG801" t="s">
        <v>78</v>
      </c>
    </row>
    <row r="802" spans="1:33" x14ac:dyDescent="0.2">
      <c r="A802">
        <v>974</v>
      </c>
      <c r="B802" t="s">
        <v>4967</v>
      </c>
      <c r="C802" t="s">
        <v>34</v>
      </c>
      <c r="D802" t="s">
        <v>35</v>
      </c>
      <c r="E802" t="s">
        <v>3926</v>
      </c>
      <c r="F802" t="s">
        <v>3927</v>
      </c>
      <c r="G802" t="s">
        <v>483</v>
      </c>
      <c r="H802" t="s">
        <v>109</v>
      </c>
      <c r="I802" t="s">
        <v>3928</v>
      </c>
      <c r="J802" t="s">
        <v>515</v>
      </c>
      <c r="K802">
        <v>1997</v>
      </c>
      <c r="L802">
        <v>1997</v>
      </c>
      <c r="M802">
        <v>0.5</v>
      </c>
      <c r="N802">
        <v>1.4059999999999999</v>
      </c>
      <c r="R802" t="s">
        <v>97</v>
      </c>
      <c r="S802" t="s">
        <v>4968</v>
      </c>
      <c r="T802" t="b">
        <v>1</v>
      </c>
      <c r="U802" t="s">
        <v>111</v>
      </c>
      <c r="V802" t="s">
        <v>3930</v>
      </c>
      <c r="W802" t="s">
        <v>113</v>
      </c>
      <c r="X802" t="s">
        <v>47</v>
      </c>
      <c r="AA802" t="s">
        <v>340</v>
      </c>
      <c r="AC802" t="s">
        <v>341</v>
      </c>
      <c r="AD802" t="b">
        <v>0</v>
      </c>
      <c r="AF802">
        <v>1</v>
      </c>
      <c r="AG802" t="s">
        <v>104</v>
      </c>
    </row>
    <row r="803" spans="1:33" x14ac:dyDescent="0.2">
      <c r="A803">
        <v>1890</v>
      </c>
      <c r="B803" t="s">
        <v>4969</v>
      </c>
      <c r="C803" t="s">
        <v>34</v>
      </c>
      <c r="D803" t="s">
        <v>35</v>
      </c>
      <c r="E803" t="s">
        <v>168</v>
      </c>
      <c r="F803" t="s">
        <v>169</v>
      </c>
      <c r="G803" t="s">
        <v>93</v>
      </c>
      <c r="H803" t="s">
        <v>94</v>
      </c>
      <c r="I803" t="s">
        <v>4970</v>
      </c>
      <c r="J803" t="s">
        <v>109</v>
      </c>
      <c r="K803">
        <v>2017</v>
      </c>
      <c r="L803">
        <v>2017</v>
      </c>
      <c r="M803">
        <v>2.83</v>
      </c>
      <c r="N803">
        <v>6.0620000000000003</v>
      </c>
      <c r="O803">
        <v>366.3</v>
      </c>
      <c r="P803">
        <v>0.9</v>
      </c>
      <c r="Q803">
        <v>0.873</v>
      </c>
      <c r="R803" t="s">
        <v>72</v>
      </c>
      <c r="S803" t="s">
        <v>4971</v>
      </c>
      <c r="T803" t="b">
        <v>1</v>
      </c>
      <c r="U803" t="s">
        <v>4972</v>
      </c>
      <c r="V803" t="s">
        <v>174</v>
      </c>
      <c r="W803" t="s">
        <v>4973</v>
      </c>
      <c r="X803" t="s">
        <v>47</v>
      </c>
      <c r="AA803" t="s">
        <v>340</v>
      </c>
      <c r="AC803" t="s">
        <v>341</v>
      </c>
      <c r="AD803" t="b">
        <v>0</v>
      </c>
      <c r="AF803">
        <v>8</v>
      </c>
      <c r="AG803" t="s">
        <v>78</v>
      </c>
    </row>
    <row r="804" spans="1:33" x14ac:dyDescent="0.2">
      <c r="A804">
        <v>222</v>
      </c>
      <c r="B804" t="s">
        <v>4974</v>
      </c>
      <c r="C804" t="s">
        <v>34</v>
      </c>
      <c r="D804" t="s">
        <v>35</v>
      </c>
      <c r="E804" t="s">
        <v>36</v>
      </c>
      <c r="F804" t="s">
        <v>37</v>
      </c>
      <c r="G804" t="s">
        <v>213</v>
      </c>
      <c r="H804" t="s">
        <v>83</v>
      </c>
      <c r="I804" t="s">
        <v>635</v>
      </c>
      <c r="J804" t="s">
        <v>94</v>
      </c>
      <c r="K804">
        <v>1981</v>
      </c>
      <c r="L804">
        <v>1981</v>
      </c>
      <c r="M804">
        <v>1240</v>
      </c>
      <c r="N804">
        <v>3230.895</v>
      </c>
      <c r="O804">
        <v>536.5</v>
      </c>
      <c r="P804">
        <v>263.33</v>
      </c>
      <c r="Q804">
        <v>1.3069999999999999</v>
      </c>
      <c r="R804" t="s">
        <v>84</v>
      </c>
      <c r="S804" t="s">
        <v>4975</v>
      </c>
      <c r="T804" t="b">
        <v>1</v>
      </c>
      <c r="U804" t="s">
        <v>4976</v>
      </c>
      <c r="V804" t="s">
        <v>3731</v>
      </c>
      <c r="W804" t="s">
        <v>3732</v>
      </c>
      <c r="X804" t="s">
        <v>47</v>
      </c>
      <c r="AA804" t="s">
        <v>958</v>
      </c>
      <c r="AB804" t="s">
        <v>612</v>
      </c>
      <c r="AC804" t="s">
        <v>959</v>
      </c>
      <c r="AD804" t="b">
        <v>0</v>
      </c>
      <c r="AF804">
        <v>3</v>
      </c>
      <c r="AG804" t="s">
        <v>332</v>
      </c>
    </row>
    <row r="805" spans="1:33" x14ac:dyDescent="0.2">
      <c r="A805">
        <v>1654</v>
      </c>
      <c r="B805" t="s">
        <v>498</v>
      </c>
      <c r="C805" t="s">
        <v>34</v>
      </c>
      <c r="D805" t="s">
        <v>35</v>
      </c>
      <c r="E805" t="s">
        <v>4977</v>
      </c>
      <c r="F805" t="s">
        <v>4978</v>
      </c>
      <c r="G805" t="s">
        <v>134</v>
      </c>
      <c r="H805" t="s">
        <v>135</v>
      </c>
      <c r="I805" t="s">
        <v>4979</v>
      </c>
      <c r="J805" t="s">
        <v>94</v>
      </c>
      <c r="K805">
        <v>2006</v>
      </c>
      <c r="L805">
        <v>2006</v>
      </c>
      <c r="M805">
        <v>0.32</v>
      </c>
      <c r="N805">
        <v>0.64800000000000002</v>
      </c>
      <c r="O805">
        <v>195.6</v>
      </c>
      <c r="P805">
        <v>0.21</v>
      </c>
      <c r="Q805">
        <v>0.42299999999999999</v>
      </c>
      <c r="R805" t="s">
        <v>42</v>
      </c>
      <c r="S805" t="s">
        <v>4980</v>
      </c>
      <c r="T805" t="b">
        <v>1</v>
      </c>
      <c r="U805" t="s">
        <v>4981</v>
      </c>
      <c r="V805" t="s">
        <v>4982</v>
      </c>
      <c r="W805" t="s">
        <v>4983</v>
      </c>
      <c r="X805" t="s">
        <v>47</v>
      </c>
      <c r="AA805" t="s">
        <v>114</v>
      </c>
      <c r="AC805" t="s">
        <v>63</v>
      </c>
      <c r="AD805" t="b">
        <v>0</v>
      </c>
      <c r="AF805">
        <v>10</v>
      </c>
      <c r="AG805" t="s">
        <v>143</v>
      </c>
    </row>
    <row r="806" spans="1:33" x14ac:dyDescent="0.2">
      <c r="A806">
        <v>223</v>
      </c>
      <c r="B806" t="s">
        <v>4984</v>
      </c>
      <c r="C806" t="s">
        <v>34</v>
      </c>
      <c r="D806" t="s">
        <v>35</v>
      </c>
      <c r="E806" t="s">
        <v>1670</v>
      </c>
      <c r="F806" t="s">
        <v>1671</v>
      </c>
      <c r="G806" t="s">
        <v>312</v>
      </c>
      <c r="H806" t="s">
        <v>313</v>
      </c>
      <c r="I806" t="s">
        <v>1049</v>
      </c>
      <c r="J806" t="s">
        <v>171</v>
      </c>
      <c r="K806">
        <v>1981</v>
      </c>
      <c r="L806">
        <v>1981</v>
      </c>
      <c r="M806">
        <v>80</v>
      </c>
      <c r="N806">
        <v>235.83600000000001</v>
      </c>
      <c r="O806">
        <v>120</v>
      </c>
      <c r="P806">
        <v>76.88</v>
      </c>
      <c r="Q806">
        <v>0.28899999999999998</v>
      </c>
      <c r="R806" t="s">
        <v>84</v>
      </c>
      <c r="S806" t="s">
        <v>4985</v>
      </c>
      <c r="T806" t="b">
        <v>1</v>
      </c>
      <c r="U806" t="s">
        <v>4986</v>
      </c>
      <c r="V806" t="s">
        <v>1675</v>
      </c>
      <c r="W806" t="s">
        <v>4987</v>
      </c>
      <c r="X806" t="s">
        <v>47</v>
      </c>
      <c r="AA806" t="s">
        <v>615</v>
      </c>
      <c r="AB806" t="s">
        <v>41</v>
      </c>
      <c r="AC806" t="s">
        <v>616</v>
      </c>
      <c r="AD806" t="b">
        <v>0</v>
      </c>
      <c r="AF806">
        <v>4</v>
      </c>
      <c r="AG806" t="s">
        <v>321</v>
      </c>
    </row>
    <row r="807" spans="1:33" x14ac:dyDescent="0.2">
      <c r="A807">
        <v>1182</v>
      </c>
      <c r="B807" t="s">
        <v>493</v>
      </c>
      <c r="C807" t="s">
        <v>34</v>
      </c>
      <c r="D807" t="s">
        <v>35</v>
      </c>
      <c r="E807" t="s">
        <v>404</v>
      </c>
      <c r="F807" t="s">
        <v>405</v>
      </c>
      <c r="G807" t="s">
        <v>312</v>
      </c>
      <c r="H807" t="s">
        <v>313</v>
      </c>
      <c r="I807" t="s">
        <v>493</v>
      </c>
      <c r="J807" t="s">
        <v>409</v>
      </c>
      <c r="K807">
        <v>1918</v>
      </c>
      <c r="L807">
        <v>2006</v>
      </c>
      <c r="M807">
        <v>1.3</v>
      </c>
      <c r="N807">
        <v>6.3280000000000003</v>
      </c>
      <c r="O807">
        <v>278</v>
      </c>
      <c r="P807">
        <v>0.6</v>
      </c>
      <c r="Q807">
        <v>0.60199999999999998</v>
      </c>
      <c r="R807" t="s">
        <v>84</v>
      </c>
      <c r="S807" t="s">
        <v>4988</v>
      </c>
      <c r="T807" t="b">
        <v>1</v>
      </c>
      <c r="U807" t="s">
        <v>4989</v>
      </c>
      <c r="V807" t="s">
        <v>408</v>
      </c>
      <c r="W807" t="s">
        <v>4990</v>
      </c>
      <c r="X807" t="s">
        <v>47</v>
      </c>
      <c r="AA807" t="s">
        <v>498</v>
      </c>
      <c r="AB807" t="s">
        <v>56</v>
      </c>
      <c r="AC807" t="s">
        <v>499</v>
      </c>
      <c r="AD807" t="b">
        <v>0</v>
      </c>
      <c r="AF807">
        <v>4</v>
      </c>
      <c r="AG807" t="s">
        <v>321</v>
      </c>
    </row>
    <row r="808" spans="1:33" x14ac:dyDescent="0.2">
      <c r="A808">
        <v>1228</v>
      </c>
      <c r="B808" t="s">
        <v>4991</v>
      </c>
      <c r="C808" t="s">
        <v>34</v>
      </c>
      <c r="D808" t="s">
        <v>35</v>
      </c>
      <c r="E808" t="s">
        <v>4992</v>
      </c>
      <c r="F808" t="s">
        <v>4993</v>
      </c>
      <c r="G808" t="s">
        <v>53</v>
      </c>
      <c r="H808" t="s">
        <v>54</v>
      </c>
      <c r="I808" t="s">
        <v>1039</v>
      </c>
      <c r="J808" t="s">
        <v>243</v>
      </c>
      <c r="K808">
        <v>2005</v>
      </c>
      <c r="L808">
        <v>2005</v>
      </c>
      <c r="M808">
        <v>1.3</v>
      </c>
      <c r="N808">
        <v>5.7439999999999998</v>
      </c>
      <c r="O808">
        <v>203</v>
      </c>
      <c r="P808">
        <v>0.8</v>
      </c>
      <c r="Q808">
        <v>0.45100000000000001</v>
      </c>
      <c r="R808" t="s">
        <v>72</v>
      </c>
      <c r="S808" t="s">
        <v>4994</v>
      </c>
      <c r="T808" t="b">
        <v>1</v>
      </c>
      <c r="U808" t="s">
        <v>4995</v>
      </c>
      <c r="V808" t="s">
        <v>4996</v>
      </c>
      <c r="W808" t="s">
        <v>4997</v>
      </c>
      <c r="X808" t="s">
        <v>47</v>
      </c>
      <c r="AA808" t="s">
        <v>4991</v>
      </c>
      <c r="AB808" t="s">
        <v>49</v>
      </c>
      <c r="AC808" t="s">
        <v>4998</v>
      </c>
      <c r="AD808" t="b">
        <v>0</v>
      </c>
      <c r="AF808">
        <v>13</v>
      </c>
      <c r="AG808" t="s">
        <v>155</v>
      </c>
    </row>
    <row r="809" spans="1:33" x14ac:dyDescent="0.2">
      <c r="A809">
        <v>1591</v>
      </c>
      <c r="B809" t="s">
        <v>4999</v>
      </c>
      <c r="C809" t="s">
        <v>34</v>
      </c>
      <c r="D809" t="s">
        <v>35</v>
      </c>
      <c r="E809" t="s">
        <v>5000</v>
      </c>
      <c r="F809" t="s">
        <v>5001</v>
      </c>
      <c r="G809" t="s">
        <v>53</v>
      </c>
      <c r="H809" t="s">
        <v>54</v>
      </c>
      <c r="I809" t="s">
        <v>675</v>
      </c>
      <c r="J809" t="s">
        <v>676</v>
      </c>
      <c r="K809">
        <v>2011</v>
      </c>
      <c r="L809">
        <v>2011</v>
      </c>
      <c r="M809">
        <v>0.45</v>
      </c>
      <c r="N809">
        <v>1.427</v>
      </c>
      <c r="O809">
        <v>212</v>
      </c>
      <c r="P809">
        <v>0.25</v>
      </c>
      <c r="Q809">
        <v>0.5</v>
      </c>
      <c r="R809" t="s">
        <v>84</v>
      </c>
      <c r="S809" t="s">
        <v>5002</v>
      </c>
      <c r="T809" t="b">
        <v>1</v>
      </c>
      <c r="U809" t="s">
        <v>3338</v>
      </c>
      <c r="V809" t="s">
        <v>5003</v>
      </c>
      <c r="W809" t="s">
        <v>5004</v>
      </c>
      <c r="X809" t="s">
        <v>47</v>
      </c>
      <c r="AA809" t="s">
        <v>114</v>
      </c>
      <c r="AC809" t="s">
        <v>63</v>
      </c>
      <c r="AD809" t="b">
        <v>0</v>
      </c>
      <c r="AF809">
        <v>5</v>
      </c>
      <c r="AG809" t="s">
        <v>89</v>
      </c>
    </row>
    <row r="810" spans="1:33" x14ac:dyDescent="0.2">
      <c r="A810">
        <v>224</v>
      </c>
      <c r="B810" t="s">
        <v>5005</v>
      </c>
      <c r="C810" t="s">
        <v>34</v>
      </c>
      <c r="D810" t="s">
        <v>35</v>
      </c>
      <c r="E810" t="s">
        <v>3469</v>
      </c>
      <c r="F810" t="s">
        <v>3470</v>
      </c>
      <c r="G810" t="s">
        <v>134</v>
      </c>
      <c r="H810" t="s">
        <v>135</v>
      </c>
      <c r="I810" t="s">
        <v>4740</v>
      </c>
      <c r="J810" t="s">
        <v>4741</v>
      </c>
      <c r="K810">
        <v>1956</v>
      </c>
      <c r="L810">
        <v>1956</v>
      </c>
      <c r="M810">
        <v>1.8</v>
      </c>
      <c r="N810">
        <v>5.2409999999999997</v>
      </c>
      <c r="O810">
        <v>240</v>
      </c>
      <c r="P810">
        <v>1</v>
      </c>
      <c r="Q810">
        <v>0.5</v>
      </c>
      <c r="R810" t="s">
        <v>42</v>
      </c>
      <c r="S810" t="s">
        <v>5006</v>
      </c>
      <c r="T810" t="b">
        <v>1</v>
      </c>
      <c r="U810" t="s">
        <v>1854</v>
      </c>
      <c r="V810" t="s">
        <v>3473</v>
      </c>
      <c r="W810" t="s">
        <v>5007</v>
      </c>
      <c r="X810" t="s">
        <v>47</v>
      </c>
      <c r="AA810" t="s">
        <v>5008</v>
      </c>
      <c r="AB810" t="s">
        <v>567</v>
      </c>
      <c r="AC810" t="s">
        <v>4745</v>
      </c>
      <c r="AD810" t="b">
        <v>0</v>
      </c>
      <c r="AF810">
        <v>11</v>
      </c>
      <c r="AG810" t="s">
        <v>198</v>
      </c>
    </row>
    <row r="811" spans="1:33" x14ac:dyDescent="0.2">
      <c r="A811">
        <v>860</v>
      </c>
      <c r="B811" t="s">
        <v>5009</v>
      </c>
      <c r="C811" t="s">
        <v>34</v>
      </c>
      <c r="D811" t="s">
        <v>35</v>
      </c>
      <c r="E811" t="s">
        <v>5010</v>
      </c>
      <c r="F811" t="s">
        <v>5011</v>
      </c>
      <c r="G811" t="s">
        <v>503</v>
      </c>
      <c r="H811" t="s">
        <v>462</v>
      </c>
      <c r="I811" t="s">
        <v>5012</v>
      </c>
      <c r="J811" t="s">
        <v>71</v>
      </c>
      <c r="K811">
        <v>1926</v>
      </c>
      <c r="L811">
        <v>1926</v>
      </c>
      <c r="M811">
        <v>0.3</v>
      </c>
      <c r="N811">
        <v>1.5149999999999999</v>
      </c>
      <c r="R811" t="s">
        <v>84</v>
      </c>
      <c r="S811" t="s">
        <v>5013</v>
      </c>
      <c r="T811" t="b">
        <v>1</v>
      </c>
      <c r="U811" t="s">
        <v>3998</v>
      </c>
      <c r="V811" t="s">
        <v>5014</v>
      </c>
      <c r="W811" t="s">
        <v>113</v>
      </c>
      <c r="X811" t="s">
        <v>47</v>
      </c>
      <c r="AA811" t="s">
        <v>583</v>
      </c>
      <c r="AC811" t="s">
        <v>585</v>
      </c>
      <c r="AD811" t="b">
        <v>0</v>
      </c>
      <c r="AF811">
        <v>3</v>
      </c>
      <c r="AG811" t="s">
        <v>332</v>
      </c>
    </row>
    <row r="812" spans="1:33" x14ac:dyDescent="0.2">
      <c r="A812">
        <v>1786</v>
      </c>
      <c r="B812" t="s">
        <v>5015</v>
      </c>
      <c r="C812" t="s">
        <v>34</v>
      </c>
      <c r="D812" t="s">
        <v>35</v>
      </c>
      <c r="E812" t="s">
        <v>5016</v>
      </c>
      <c r="F812" t="s">
        <v>5017</v>
      </c>
      <c r="G812" t="s">
        <v>53</v>
      </c>
      <c r="H812" t="s">
        <v>54</v>
      </c>
      <c r="I812" t="s">
        <v>325</v>
      </c>
      <c r="J812" t="s">
        <v>135</v>
      </c>
      <c r="K812">
        <v>2015</v>
      </c>
      <c r="L812">
        <v>2015</v>
      </c>
      <c r="M812">
        <v>9</v>
      </c>
      <c r="N812">
        <v>31.361999999999998</v>
      </c>
      <c r="O812">
        <v>390.5</v>
      </c>
      <c r="P812">
        <v>2.7</v>
      </c>
      <c r="Q812">
        <v>0.92600000000000005</v>
      </c>
      <c r="R812" t="s">
        <v>84</v>
      </c>
      <c r="S812" t="s">
        <v>5018</v>
      </c>
      <c r="T812" t="b">
        <v>1</v>
      </c>
      <c r="U812" t="s">
        <v>5019</v>
      </c>
      <c r="V812" t="s">
        <v>5020</v>
      </c>
      <c r="W812" t="s">
        <v>5021</v>
      </c>
      <c r="X812" t="s">
        <v>47</v>
      </c>
      <c r="AA812" t="s">
        <v>5022</v>
      </c>
      <c r="AB812" t="s">
        <v>49</v>
      </c>
      <c r="AC812" t="s">
        <v>5023</v>
      </c>
      <c r="AD812" t="b">
        <v>0</v>
      </c>
      <c r="AF812">
        <v>3</v>
      </c>
      <c r="AG812" t="s">
        <v>332</v>
      </c>
    </row>
    <row r="813" spans="1:33" x14ac:dyDescent="0.2">
      <c r="A813">
        <v>225</v>
      </c>
      <c r="B813" t="s">
        <v>5024</v>
      </c>
      <c r="C813" t="s">
        <v>34</v>
      </c>
      <c r="D813" t="s">
        <v>35</v>
      </c>
      <c r="E813" t="s">
        <v>1200</v>
      </c>
      <c r="F813" t="s">
        <v>1201</v>
      </c>
      <c r="G813" t="s">
        <v>53</v>
      </c>
      <c r="H813" t="s">
        <v>54</v>
      </c>
      <c r="I813" t="s">
        <v>1723</v>
      </c>
      <c r="J813" t="s">
        <v>1697</v>
      </c>
      <c r="K813">
        <v>1984</v>
      </c>
      <c r="L813">
        <v>1984</v>
      </c>
      <c r="M813">
        <v>48</v>
      </c>
      <c r="N813">
        <v>155.31299999999999</v>
      </c>
      <c r="O813">
        <v>251</v>
      </c>
      <c r="P813">
        <v>20.67</v>
      </c>
      <c r="Q813">
        <v>0.626</v>
      </c>
      <c r="R813" t="s">
        <v>57</v>
      </c>
      <c r="S813" t="s">
        <v>5025</v>
      </c>
      <c r="T813" t="b">
        <v>1</v>
      </c>
      <c r="U813" t="s">
        <v>5026</v>
      </c>
      <c r="V813" t="s">
        <v>1204</v>
      </c>
      <c r="W813" t="s">
        <v>5027</v>
      </c>
      <c r="X813" t="s">
        <v>47</v>
      </c>
      <c r="AA813" t="s">
        <v>1727</v>
      </c>
      <c r="AB813" t="s">
        <v>765</v>
      </c>
      <c r="AC813" t="s">
        <v>1728</v>
      </c>
      <c r="AD813" t="b">
        <v>0</v>
      </c>
      <c r="AF813">
        <v>6</v>
      </c>
      <c r="AG813" t="s">
        <v>64</v>
      </c>
    </row>
    <row r="814" spans="1:33" x14ac:dyDescent="0.2">
      <c r="A814">
        <v>1782</v>
      </c>
      <c r="B814" t="s">
        <v>5028</v>
      </c>
      <c r="C814" t="s">
        <v>34</v>
      </c>
      <c r="D814" t="s">
        <v>35</v>
      </c>
      <c r="E814" t="s">
        <v>5029</v>
      </c>
      <c r="F814" t="s">
        <v>5030</v>
      </c>
      <c r="G814" t="s">
        <v>93</v>
      </c>
      <c r="H814" t="s">
        <v>94</v>
      </c>
      <c r="I814" t="s">
        <v>2084</v>
      </c>
      <c r="J814" t="s">
        <v>1166</v>
      </c>
      <c r="K814">
        <v>2014</v>
      </c>
      <c r="L814">
        <v>2014</v>
      </c>
      <c r="M814">
        <v>1.55</v>
      </c>
      <c r="N814">
        <v>4.46</v>
      </c>
      <c r="O814">
        <v>15.56</v>
      </c>
      <c r="P814">
        <v>11.55</v>
      </c>
      <c r="Q814">
        <v>3.6999999999999998E-2</v>
      </c>
      <c r="R814" t="s">
        <v>97</v>
      </c>
      <c r="S814" t="s">
        <v>5031</v>
      </c>
      <c r="T814" t="b">
        <v>1</v>
      </c>
      <c r="U814" t="s">
        <v>4151</v>
      </c>
      <c r="V814" t="s">
        <v>5032</v>
      </c>
      <c r="W814" t="s">
        <v>5033</v>
      </c>
      <c r="X814" t="s">
        <v>47</v>
      </c>
      <c r="AA814" t="s">
        <v>102</v>
      </c>
      <c r="AC814" t="s">
        <v>103</v>
      </c>
      <c r="AD814" t="b">
        <v>0</v>
      </c>
      <c r="AF814">
        <v>1</v>
      </c>
      <c r="AG814" t="s">
        <v>104</v>
      </c>
    </row>
    <row r="815" spans="1:33" x14ac:dyDescent="0.2">
      <c r="A815">
        <v>1960</v>
      </c>
      <c r="B815" t="s">
        <v>5034</v>
      </c>
      <c r="C815" t="s">
        <v>34</v>
      </c>
      <c r="D815" t="s">
        <v>35</v>
      </c>
      <c r="E815" t="s">
        <v>168</v>
      </c>
      <c r="F815" t="s">
        <v>169</v>
      </c>
      <c r="G815" t="s">
        <v>503</v>
      </c>
      <c r="H815" t="s">
        <v>462</v>
      </c>
      <c r="I815" t="s">
        <v>2564</v>
      </c>
      <c r="J815" t="s">
        <v>262</v>
      </c>
      <c r="K815">
        <v>2019</v>
      </c>
      <c r="L815">
        <v>2019</v>
      </c>
      <c r="M815">
        <v>2.58</v>
      </c>
      <c r="N815">
        <v>6.2439999999999998</v>
      </c>
      <c r="O815">
        <v>267.5</v>
      </c>
      <c r="P815">
        <v>1.23</v>
      </c>
      <c r="Q815">
        <v>0.58299999999999996</v>
      </c>
      <c r="R815" t="s">
        <v>84</v>
      </c>
      <c r="S815" t="s">
        <v>5035</v>
      </c>
      <c r="T815" t="b">
        <v>1</v>
      </c>
      <c r="U815" t="s">
        <v>5036</v>
      </c>
      <c r="V815" t="s">
        <v>174</v>
      </c>
      <c r="W815" t="s">
        <v>5037</v>
      </c>
      <c r="X815" t="s">
        <v>47</v>
      </c>
      <c r="AA815" t="s">
        <v>583</v>
      </c>
      <c r="AC815" t="s">
        <v>585</v>
      </c>
      <c r="AD815" t="b">
        <v>0</v>
      </c>
      <c r="AF815">
        <v>3</v>
      </c>
      <c r="AG815" t="s">
        <v>332</v>
      </c>
    </row>
    <row r="816" spans="1:33" x14ac:dyDescent="0.2">
      <c r="A816">
        <v>1239</v>
      </c>
      <c r="B816" t="s">
        <v>5038</v>
      </c>
      <c r="C816" t="s">
        <v>34</v>
      </c>
      <c r="D816" t="s">
        <v>35</v>
      </c>
      <c r="E816" t="s">
        <v>5039</v>
      </c>
      <c r="F816" t="s">
        <v>5040</v>
      </c>
      <c r="G816" t="s">
        <v>68</v>
      </c>
      <c r="H816" t="s">
        <v>69</v>
      </c>
      <c r="I816" t="s">
        <v>1458</v>
      </c>
      <c r="J816" t="s">
        <v>1459</v>
      </c>
      <c r="K816">
        <v>2006</v>
      </c>
      <c r="L816">
        <v>2006</v>
      </c>
      <c r="M816">
        <v>1.55</v>
      </c>
      <c r="N816">
        <v>5.4950000000000001</v>
      </c>
      <c r="O816">
        <v>223</v>
      </c>
      <c r="P816">
        <v>0.9</v>
      </c>
      <c r="Q816">
        <v>0.47799999999999998</v>
      </c>
      <c r="R816" t="s">
        <v>72</v>
      </c>
      <c r="S816" t="s">
        <v>4750</v>
      </c>
      <c r="T816" t="b">
        <v>1</v>
      </c>
      <c r="U816" t="s">
        <v>5041</v>
      </c>
      <c r="V816" t="s">
        <v>5042</v>
      </c>
      <c r="W816" t="s">
        <v>5043</v>
      </c>
      <c r="X816" t="s">
        <v>47</v>
      </c>
      <c r="AA816" t="s">
        <v>4723</v>
      </c>
      <c r="AB816" t="s">
        <v>83</v>
      </c>
      <c r="AC816" t="s">
        <v>4724</v>
      </c>
      <c r="AD816" t="b">
        <v>0</v>
      </c>
      <c r="AF816">
        <v>8</v>
      </c>
      <c r="AG816" t="s">
        <v>78</v>
      </c>
    </row>
    <row r="817" spans="1:33" x14ac:dyDescent="0.2">
      <c r="A817">
        <v>226</v>
      </c>
      <c r="B817" t="s">
        <v>5044</v>
      </c>
      <c r="C817" t="s">
        <v>34</v>
      </c>
      <c r="D817" t="s">
        <v>35</v>
      </c>
      <c r="E817" t="s">
        <v>542</v>
      </c>
      <c r="F817" t="s">
        <v>543</v>
      </c>
      <c r="G817" t="s">
        <v>377</v>
      </c>
      <c r="H817" t="s">
        <v>378</v>
      </c>
      <c r="I817" t="s">
        <v>1409</v>
      </c>
      <c r="J817" t="s">
        <v>54</v>
      </c>
      <c r="K817">
        <v>1965</v>
      </c>
      <c r="L817">
        <v>1965</v>
      </c>
      <c r="M817">
        <v>55</v>
      </c>
      <c r="N817">
        <v>197.691</v>
      </c>
      <c r="O817">
        <v>308</v>
      </c>
      <c r="P817">
        <v>20</v>
      </c>
      <c r="Q817">
        <v>0.76400000000000001</v>
      </c>
      <c r="R817" t="s">
        <v>42</v>
      </c>
      <c r="S817" t="s">
        <v>5045</v>
      </c>
      <c r="T817" t="b">
        <v>1</v>
      </c>
      <c r="U817" t="s">
        <v>5046</v>
      </c>
      <c r="V817" t="s">
        <v>547</v>
      </c>
      <c r="W817" t="s">
        <v>5047</v>
      </c>
      <c r="X817" t="s">
        <v>47</v>
      </c>
      <c r="AA817" t="s">
        <v>1413</v>
      </c>
      <c r="AB817" t="s">
        <v>49</v>
      </c>
      <c r="AC817" t="s">
        <v>1414</v>
      </c>
      <c r="AD817" t="b">
        <v>0</v>
      </c>
      <c r="AF817">
        <v>12</v>
      </c>
      <c r="AG817" t="s">
        <v>51</v>
      </c>
    </row>
    <row r="818" spans="1:33" x14ac:dyDescent="0.2">
      <c r="A818">
        <v>2090</v>
      </c>
      <c r="B818" t="s">
        <v>5048</v>
      </c>
      <c r="C818" t="s">
        <v>34</v>
      </c>
      <c r="D818" t="s">
        <v>35</v>
      </c>
      <c r="E818" t="s">
        <v>5049</v>
      </c>
      <c r="F818" t="s">
        <v>5050</v>
      </c>
      <c r="G818" t="s">
        <v>312</v>
      </c>
      <c r="H818" t="s">
        <v>313</v>
      </c>
      <c r="I818" t="s">
        <v>1049</v>
      </c>
      <c r="J818" t="s">
        <v>171</v>
      </c>
      <c r="K818">
        <v>2022</v>
      </c>
      <c r="L818">
        <v>2022</v>
      </c>
      <c r="M818">
        <v>1.8</v>
      </c>
      <c r="N818">
        <v>5.4</v>
      </c>
      <c r="O818">
        <v>200.7</v>
      </c>
      <c r="P818">
        <v>1.1000000000000001</v>
      </c>
      <c r="Q818">
        <v>0.45500000000000002</v>
      </c>
      <c r="R818" t="s">
        <v>84</v>
      </c>
      <c r="S818" t="s">
        <v>5051</v>
      </c>
      <c r="T818" t="b">
        <v>1</v>
      </c>
      <c r="U818" t="s">
        <v>5052</v>
      </c>
      <c r="V818" t="s">
        <v>5053</v>
      </c>
      <c r="W818" t="s">
        <v>5054</v>
      </c>
      <c r="X818" t="s">
        <v>47</v>
      </c>
      <c r="AA818" t="s">
        <v>615</v>
      </c>
      <c r="AC818" t="s">
        <v>616</v>
      </c>
      <c r="AD818" t="b">
        <v>0</v>
      </c>
      <c r="AF818">
        <v>4</v>
      </c>
      <c r="AG818" t="s">
        <v>321</v>
      </c>
    </row>
    <row r="819" spans="1:33" x14ac:dyDescent="0.2">
      <c r="A819">
        <v>1465</v>
      </c>
      <c r="B819" t="s">
        <v>5055</v>
      </c>
      <c r="C819" t="s">
        <v>34</v>
      </c>
      <c r="D819" t="s">
        <v>35</v>
      </c>
      <c r="E819" t="s">
        <v>3805</v>
      </c>
      <c r="F819" t="s">
        <v>3806</v>
      </c>
      <c r="G819" t="s">
        <v>53</v>
      </c>
      <c r="H819" t="s">
        <v>54</v>
      </c>
      <c r="I819" t="s">
        <v>532</v>
      </c>
      <c r="J819" t="s">
        <v>533</v>
      </c>
      <c r="K819">
        <v>2009</v>
      </c>
      <c r="L819">
        <v>2009</v>
      </c>
      <c r="M819">
        <v>4.5999999999999996</v>
      </c>
      <c r="N819">
        <v>18.337</v>
      </c>
      <c r="O819">
        <v>112</v>
      </c>
      <c r="P819">
        <v>5</v>
      </c>
      <c r="Q819">
        <v>0.25600000000000001</v>
      </c>
      <c r="R819" t="s">
        <v>57</v>
      </c>
      <c r="S819" t="s">
        <v>5056</v>
      </c>
      <c r="T819" t="b">
        <v>1</v>
      </c>
      <c r="U819" t="s">
        <v>5057</v>
      </c>
      <c r="V819" t="s">
        <v>3809</v>
      </c>
      <c r="W819" t="s">
        <v>5058</v>
      </c>
      <c r="X819" t="s">
        <v>47</v>
      </c>
      <c r="AA819" t="s">
        <v>5059</v>
      </c>
      <c r="AB819" t="s">
        <v>49</v>
      </c>
      <c r="AC819" t="s">
        <v>5060</v>
      </c>
      <c r="AD819" t="b">
        <v>0</v>
      </c>
      <c r="AF819">
        <v>7</v>
      </c>
      <c r="AG819" t="s">
        <v>469</v>
      </c>
    </row>
    <row r="820" spans="1:33" x14ac:dyDescent="0.2">
      <c r="A820">
        <v>862</v>
      </c>
      <c r="B820" t="s">
        <v>5061</v>
      </c>
      <c r="C820" t="s">
        <v>34</v>
      </c>
      <c r="D820" t="s">
        <v>35</v>
      </c>
      <c r="G820" t="s">
        <v>503</v>
      </c>
      <c r="H820" t="s">
        <v>462</v>
      </c>
      <c r="I820" t="s">
        <v>3390</v>
      </c>
      <c r="J820" t="s">
        <v>485</v>
      </c>
      <c r="K820">
        <v>2003</v>
      </c>
      <c r="L820">
        <v>2003</v>
      </c>
      <c r="M820">
        <v>1.7000000000000001E-2</v>
      </c>
      <c r="N820">
        <v>5.1999999999999998E-2</v>
      </c>
      <c r="R820" t="s">
        <v>84</v>
      </c>
      <c r="S820" t="s">
        <v>5062</v>
      </c>
      <c r="T820" t="b">
        <v>1</v>
      </c>
      <c r="U820" t="s">
        <v>2246</v>
      </c>
      <c r="V820" t="s">
        <v>274</v>
      </c>
      <c r="W820" t="s">
        <v>5063</v>
      </c>
      <c r="X820" t="s">
        <v>47</v>
      </c>
      <c r="AA820" t="s">
        <v>583</v>
      </c>
      <c r="AC820" t="s">
        <v>585</v>
      </c>
      <c r="AD820" t="b">
        <v>0</v>
      </c>
      <c r="AF820">
        <v>3</v>
      </c>
      <c r="AG820" t="s">
        <v>332</v>
      </c>
    </row>
    <row r="821" spans="1:33" x14ac:dyDescent="0.2">
      <c r="A821">
        <v>1550</v>
      </c>
      <c r="B821" t="s">
        <v>5064</v>
      </c>
      <c r="C821" t="s">
        <v>34</v>
      </c>
      <c r="D821" t="s">
        <v>35</v>
      </c>
      <c r="E821" t="s">
        <v>5065</v>
      </c>
      <c r="F821" t="s">
        <v>5066</v>
      </c>
      <c r="G821" t="s">
        <v>312</v>
      </c>
      <c r="H821" t="s">
        <v>313</v>
      </c>
      <c r="I821" t="s">
        <v>4164</v>
      </c>
      <c r="J821" t="s">
        <v>41</v>
      </c>
      <c r="K821">
        <v>2010</v>
      </c>
      <c r="L821">
        <v>2010</v>
      </c>
      <c r="M821">
        <v>1.3</v>
      </c>
      <c r="N821">
        <v>3.524</v>
      </c>
      <c r="O821">
        <v>93.4</v>
      </c>
      <c r="P821">
        <v>1.7</v>
      </c>
      <c r="Q821">
        <v>0.21199999999999999</v>
      </c>
      <c r="R821" t="s">
        <v>84</v>
      </c>
      <c r="S821" t="s">
        <v>5067</v>
      </c>
      <c r="T821" t="b">
        <v>1</v>
      </c>
      <c r="U821" t="s">
        <v>5068</v>
      </c>
      <c r="V821" t="s">
        <v>5069</v>
      </c>
      <c r="W821" t="s">
        <v>5070</v>
      </c>
      <c r="X821" t="s">
        <v>47</v>
      </c>
      <c r="AA821" t="s">
        <v>622</v>
      </c>
      <c r="AB821" t="s">
        <v>71</v>
      </c>
      <c r="AC821" t="s">
        <v>623</v>
      </c>
      <c r="AD821" t="b">
        <v>0</v>
      </c>
      <c r="AF821">
        <v>4</v>
      </c>
      <c r="AG821" t="s">
        <v>321</v>
      </c>
    </row>
    <row r="822" spans="1:33" x14ac:dyDescent="0.2">
      <c r="A822">
        <v>1631</v>
      </c>
      <c r="B822" t="s">
        <v>5071</v>
      </c>
      <c r="C822" t="s">
        <v>34</v>
      </c>
      <c r="D822" t="s">
        <v>35</v>
      </c>
      <c r="E822" t="s">
        <v>5072</v>
      </c>
      <c r="F822" t="s">
        <v>5073</v>
      </c>
      <c r="G822" t="s">
        <v>68</v>
      </c>
      <c r="H822" t="s">
        <v>69</v>
      </c>
      <c r="I822" t="s">
        <v>70</v>
      </c>
      <c r="J822" t="s">
        <v>71</v>
      </c>
      <c r="K822">
        <v>2010</v>
      </c>
      <c r="L822">
        <v>2010</v>
      </c>
      <c r="M822">
        <v>0.3</v>
      </c>
      <c r="N822">
        <v>0.84099999999999997</v>
      </c>
      <c r="O822">
        <v>230</v>
      </c>
      <c r="P822">
        <v>0.24</v>
      </c>
      <c r="Q822">
        <v>0.34699999999999998</v>
      </c>
      <c r="R822" t="s">
        <v>72</v>
      </c>
      <c r="S822" t="s">
        <v>5074</v>
      </c>
      <c r="T822" t="b">
        <v>1</v>
      </c>
      <c r="U822" t="s">
        <v>5075</v>
      </c>
      <c r="V822" t="s">
        <v>5076</v>
      </c>
      <c r="W822" t="s">
        <v>5077</v>
      </c>
      <c r="X822" t="s">
        <v>47</v>
      </c>
      <c r="AA822" t="s">
        <v>688</v>
      </c>
      <c r="AC822" t="s">
        <v>689</v>
      </c>
      <c r="AD822" t="b">
        <v>0</v>
      </c>
      <c r="AF822">
        <v>8</v>
      </c>
      <c r="AG822" t="s">
        <v>78</v>
      </c>
    </row>
    <row r="823" spans="1:33" x14ac:dyDescent="0.2">
      <c r="A823">
        <v>1495</v>
      </c>
      <c r="B823" t="s">
        <v>5078</v>
      </c>
      <c r="C823" t="s">
        <v>34</v>
      </c>
      <c r="D823" t="s">
        <v>35</v>
      </c>
      <c r="E823" t="s">
        <v>961</v>
      </c>
      <c r="F823" t="s">
        <v>962</v>
      </c>
      <c r="G823" t="s">
        <v>242</v>
      </c>
      <c r="H823" t="s">
        <v>243</v>
      </c>
      <c r="I823" t="s">
        <v>963</v>
      </c>
      <c r="J823" t="s">
        <v>964</v>
      </c>
      <c r="K823">
        <v>2010</v>
      </c>
      <c r="L823">
        <v>2010</v>
      </c>
      <c r="M823">
        <v>1.25</v>
      </c>
      <c r="N823">
        <v>4.0220000000000002</v>
      </c>
      <c r="O823">
        <v>135</v>
      </c>
      <c r="P823">
        <v>1.5</v>
      </c>
      <c r="Q823">
        <v>0.23100000000000001</v>
      </c>
      <c r="R823" t="s">
        <v>72</v>
      </c>
      <c r="S823" t="s">
        <v>5079</v>
      </c>
      <c r="T823" t="b">
        <v>1</v>
      </c>
      <c r="U823" t="s">
        <v>5080</v>
      </c>
      <c r="V823" t="s">
        <v>967</v>
      </c>
      <c r="W823" t="s">
        <v>5081</v>
      </c>
      <c r="X823" t="s">
        <v>47</v>
      </c>
      <c r="AA823" t="s">
        <v>969</v>
      </c>
      <c r="AB823" t="s">
        <v>515</v>
      </c>
      <c r="AC823" t="s">
        <v>970</v>
      </c>
      <c r="AD823" t="b">
        <v>0</v>
      </c>
      <c r="AF823">
        <v>8</v>
      </c>
      <c r="AG823" t="s">
        <v>78</v>
      </c>
    </row>
    <row r="824" spans="1:33" x14ac:dyDescent="0.2">
      <c r="A824">
        <v>229</v>
      </c>
      <c r="B824" t="s">
        <v>5082</v>
      </c>
      <c r="C824" t="s">
        <v>34</v>
      </c>
      <c r="D824" t="s">
        <v>35</v>
      </c>
      <c r="E824" t="s">
        <v>3228</v>
      </c>
      <c r="F824" t="s">
        <v>3229</v>
      </c>
      <c r="G824" t="s">
        <v>38</v>
      </c>
      <c r="H824" t="s">
        <v>39</v>
      </c>
      <c r="I824" t="s">
        <v>125</v>
      </c>
      <c r="J824" t="s">
        <v>49</v>
      </c>
      <c r="K824">
        <v>1952</v>
      </c>
      <c r="L824">
        <v>1952</v>
      </c>
      <c r="M824">
        <v>4.5</v>
      </c>
      <c r="N824">
        <v>18.577000000000002</v>
      </c>
      <c r="O824">
        <v>115</v>
      </c>
      <c r="P824">
        <v>4.4800000000000004</v>
      </c>
      <c r="Q824">
        <v>0.23599999999999999</v>
      </c>
      <c r="R824" t="s">
        <v>42</v>
      </c>
      <c r="S824" t="s">
        <v>5083</v>
      </c>
      <c r="T824" t="b">
        <v>1</v>
      </c>
      <c r="U824" t="s">
        <v>776</v>
      </c>
      <c r="V824" t="s">
        <v>3231</v>
      </c>
      <c r="W824" t="s">
        <v>5084</v>
      </c>
      <c r="X824" t="s">
        <v>47</v>
      </c>
      <c r="AA824" t="s">
        <v>5085</v>
      </c>
      <c r="AB824" t="s">
        <v>49</v>
      </c>
      <c r="AC824" t="s">
        <v>5086</v>
      </c>
      <c r="AD824" t="b">
        <v>0</v>
      </c>
      <c r="AF824">
        <v>12</v>
      </c>
      <c r="AG824" t="s">
        <v>51</v>
      </c>
    </row>
    <row r="825" spans="1:33" x14ac:dyDescent="0.2">
      <c r="A825">
        <v>1608</v>
      </c>
      <c r="B825" t="s">
        <v>5087</v>
      </c>
      <c r="C825" t="s">
        <v>34</v>
      </c>
      <c r="D825" t="s">
        <v>35</v>
      </c>
      <c r="E825" t="s">
        <v>132</v>
      </c>
      <c r="F825" t="s">
        <v>133</v>
      </c>
      <c r="G825" t="s">
        <v>134</v>
      </c>
      <c r="H825" t="s">
        <v>135</v>
      </c>
      <c r="I825" t="s">
        <v>136</v>
      </c>
      <c r="J825" t="s">
        <v>41</v>
      </c>
      <c r="K825">
        <v>2012</v>
      </c>
      <c r="L825">
        <v>2012</v>
      </c>
      <c r="M825">
        <v>4.9489999999999998</v>
      </c>
      <c r="N825">
        <v>23.927</v>
      </c>
      <c r="O825">
        <v>78.7</v>
      </c>
      <c r="P825">
        <v>7</v>
      </c>
      <c r="Q825">
        <v>0.19600000000000001</v>
      </c>
      <c r="R825" t="s">
        <v>42</v>
      </c>
      <c r="S825" t="s">
        <v>5088</v>
      </c>
      <c r="T825" t="b">
        <v>1</v>
      </c>
      <c r="U825" t="s">
        <v>5089</v>
      </c>
      <c r="V825" t="s">
        <v>139</v>
      </c>
      <c r="W825" t="s">
        <v>5090</v>
      </c>
      <c r="X825" t="s">
        <v>47</v>
      </c>
      <c r="AA825" t="s">
        <v>2943</v>
      </c>
      <c r="AB825" t="s">
        <v>401</v>
      </c>
      <c r="AC825" t="s">
        <v>3010</v>
      </c>
      <c r="AD825" t="b">
        <v>0</v>
      </c>
      <c r="AF825">
        <v>10</v>
      </c>
      <c r="AG825" t="s">
        <v>143</v>
      </c>
    </row>
    <row r="826" spans="1:33" x14ac:dyDescent="0.2">
      <c r="A826">
        <v>768</v>
      </c>
      <c r="B826" t="s">
        <v>5091</v>
      </c>
      <c r="C826" t="s">
        <v>34</v>
      </c>
      <c r="D826" t="s">
        <v>35</v>
      </c>
      <c r="E826" t="s">
        <v>5092</v>
      </c>
      <c r="F826" t="s">
        <v>5093</v>
      </c>
      <c r="G826" t="s">
        <v>134</v>
      </c>
      <c r="H826" t="s">
        <v>135</v>
      </c>
      <c r="I826" t="s">
        <v>345</v>
      </c>
      <c r="J826" t="s">
        <v>256</v>
      </c>
      <c r="K826">
        <v>1999</v>
      </c>
      <c r="L826">
        <v>1999</v>
      </c>
      <c r="M826">
        <v>30</v>
      </c>
      <c r="N826">
        <v>115.58199999999999</v>
      </c>
      <c r="O826">
        <v>314</v>
      </c>
      <c r="P826">
        <v>10.8</v>
      </c>
      <c r="Q826">
        <v>0.77200000000000002</v>
      </c>
      <c r="R826" t="s">
        <v>42</v>
      </c>
      <c r="S826" t="s">
        <v>5094</v>
      </c>
      <c r="T826" t="b">
        <v>1</v>
      </c>
      <c r="U826" t="s">
        <v>5095</v>
      </c>
      <c r="V826" t="s">
        <v>5096</v>
      </c>
      <c r="W826" t="s">
        <v>5097</v>
      </c>
      <c r="X826" t="s">
        <v>47</v>
      </c>
      <c r="AA826" t="s">
        <v>5098</v>
      </c>
      <c r="AB826" t="s">
        <v>49</v>
      </c>
      <c r="AC826" t="s">
        <v>5099</v>
      </c>
      <c r="AD826" t="b">
        <v>0</v>
      </c>
      <c r="AF826">
        <v>10</v>
      </c>
      <c r="AG826" t="s">
        <v>143</v>
      </c>
    </row>
    <row r="827" spans="1:33" x14ac:dyDescent="0.2">
      <c r="A827">
        <v>1442</v>
      </c>
      <c r="B827" t="s">
        <v>5100</v>
      </c>
      <c r="C827" t="s">
        <v>34</v>
      </c>
      <c r="D827" t="s">
        <v>35</v>
      </c>
      <c r="E827" t="s">
        <v>5101</v>
      </c>
      <c r="F827" t="s">
        <v>5102</v>
      </c>
      <c r="G827" t="s">
        <v>53</v>
      </c>
      <c r="H827" t="s">
        <v>54</v>
      </c>
      <c r="I827" t="s">
        <v>118</v>
      </c>
      <c r="J827" t="s">
        <v>119</v>
      </c>
      <c r="K827">
        <v>2010</v>
      </c>
      <c r="L827">
        <v>2010</v>
      </c>
      <c r="M827">
        <v>2</v>
      </c>
      <c r="N827">
        <v>7.0830000000000002</v>
      </c>
      <c r="O827">
        <v>182</v>
      </c>
      <c r="P827">
        <v>1.38</v>
      </c>
      <c r="Q827">
        <v>0.40300000000000002</v>
      </c>
      <c r="R827" t="s">
        <v>84</v>
      </c>
      <c r="S827" t="s">
        <v>939</v>
      </c>
      <c r="T827" t="b">
        <v>1</v>
      </c>
      <c r="U827" t="s">
        <v>5103</v>
      </c>
      <c r="V827" t="s">
        <v>5104</v>
      </c>
      <c r="W827" t="s">
        <v>5105</v>
      </c>
      <c r="X827" t="s">
        <v>47</v>
      </c>
      <c r="AA827" t="s">
        <v>479</v>
      </c>
      <c r="AB827" t="s">
        <v>49</v>
      </c>
      <c r="AC827" t="s">
        <v>1518</v>
      </c>
      <c r="AD827" t="b">
        <v>0</v>
      </c>
      <c r="AF827">
        <v>5</v>
      </c>
      <c r="AG827" t="s">
        <v>89</v>
      </c>
    </row>
    <row r="828" spans="1:33" x14ac:dyDescent="0.2">
      <c r="A828">
        <v>1685</v>
      </c>
      <c r="B828" t="s">
        <v>5106</v>
      </c>
      <c r="C828" t="s">
        <v>34</v>
      </c>
      <c r="D828" t="s">
        <v>35</v>
      </c>
      <c r="E828" t="s">
        <v>168</v>
      </c>
      <c r="F828" t="s">
        <v>169</v>
      </c>
      <c r="G828" t="s">
        <v>377</v>
      </c>
      <c r="H828" t="s">
        <v>378</v>
      </c>
      <c r="I828" t="s">
        <v>1409</v>
      </c>
      <c r="J828" t="s">
        <v>54</v>
      </c>
      <c r="K828">
        <v>2013</v>
      </c>
      <c r="L828">
        <v>2013</v>
      </c>
      <c r="M828">
        <v>4.3</v>
      </c>
      <c r="N828">
        <v>7.3140000000000001</v>
      </c>
      <c r="O828">
        <v>235</v>
      </c>
      <c r="P828">
        <v>2.2999999999999998</v>
      </c>
      <c r="Q828">
        <v>0.51900000000000002</v>
      </c>
      <c r="R828" t="s">
        <v>42</v>
      </c>
      <c r="S828" t="s">
        <v>5107</v>
      </c>
      <c r="T828" t="b">
        <v>1</v>
      </c>
      <c r="U828" t="s">
        <v>2319</v>
      </c>
      <c r="V828" t="s">
        <v>174</v>
      </c>
      <c r="W828" t="s">
        <v>5108</v>
      </c>
      <c r="X828" t="s">
        <v>47</v>
      </c>
      <c r="AA828" t="s">
        <v>5106</v>
      </c>
      <c r="AB828" t="s">
        <v>49</v>
      </c>
      <c r="AC828" t="s">
        <v>5109</v>
      </c>
      <c r="AD828" t="b">
        <v>0</v>
      </c>
      <c r="AF828">
        <v>12</v>
      </c>
      <c r="AG828" t="s">
        <v>51</v>
      </c>
    </row>
    <row r="829" spans="1:33" x14ac:dyDescent="0.2">
      <c r="A829">
        <v>1931</v>
      </c>
      <c r="B829" t="s">
        <v>5110</v>
      </c>
      <c r="C829" t="s">
        <v>34</v>
      </c>
      <c r="D829" t="s">
        <v>35</v>
      </c>
      <c r="E829" t="s">
        <v>5111</v>
      </c>
      <c r="F829" t="s">
        <v>5112</v>
      </c>
      <c r="G829" t="s">
        <v>53</v>
      </c>
      <c r="H829" t="s">
        <v>54</v>
      </c>
      <c r="I829" t="s">
        <v>1251</v>
      </c>
      <c r="J829" t="s">
        <v>177</v>
      </c>
      <c r="K829">
        <v>2018</v>
      </c>
      <c r="L829">
        <v>2018</v>
      </c>
      <c r="M829">
        <v>3</v>
      </c>
      <c r="N829">
        <v>12.551</v>
      </c>
      <c r="O829">
        <v>138</v>
      </c>
      <c r="P829">
        <v>2.57</v>
      </c>
      <c r="Q829">
        <v>0.32400000000000001</v>
      </c>
      <c r="R829" t="s">
        <v>72</v>
      </c>
      <c r="S829" t="s">
        <v>5113</v>
      </c>
      <c r="T829" t="b">
        <v>1</v>
      </c>
      <c r="U829" t="s">
        <v>5114</v>
      </c>
      <c r="V829" t="s">
        <v>5115</v>
      </c>
      <c r="W829" t="s">
        <v>5116</v>
      </c>
      <c r="X829" t="s">
        <v>47</v>
      </c>
      <c r="AA829" t="s">
        <v>3480</v>
      </c>
      <c r="AC829" t="s">
        <v>63</v>
      </c>
      <c r="AD829" t="b">
        <v>0</v>
      </c>
      <c r="AF829">
        <v>13</v>
      </c>
      <c r="AG829" t="s">
        <v>155</v>
      </c>
    </row>
    <row r="830" spans="1:33" x14ac:dyDescent="0.2">
      <c r="A830">
        <v>1516</v>
      </c>
      <c r="B830" t="s">
        <v>5117</v>
      </c>
      <c r="C830" t="s">
        <v>34</v>
      </c>
      <c r="D830" t="s">
        <v>35</v>
      </c>
      <c r="E830" t="s">
        <v>5118</v>
      </c>
      <c r="F830" t="s">
        <v>5119</v>
      </c>
      <c r="G830" t="s">
        <v>68</v>
      </c>
      <c r="H830" t="s">
        <v>69</v>
      </c>
      <c r="I830" t="s">
        <v>1974</v>
      </c>
      <c r="J830" t="s">
        <v>1975</v>
      </c>
      <c r="K830">
        <v>2011</v>
      </c>
      <c r="L830">
        <v>2011</v>
      </c>
      <c r="M830">
        <v>5</v>
      </c>
      <c r="N830">
        <v>15.6</v>
      </c>
      <c r="O830">
        <v>80</v>
      </c>
      <c r="P830">
        <v>7.9</v>
      </c>
      <c r="Q830">
        <v>0.17599999999999999</v>
      </c>
      <c r="R830" t="s">
        <v>72</v>
      </c>
      <c r="S830" t="s">
        <v>5120</v>
      </c>
      <c r="T830" t="b">
        <v>1</v>
      </c>
      <c r="U830" t="s">
        <v>5121</v>
      </c>
      <c r="V830" t="s">
        <v>5122</v>
      </c>
      <c r="W830" t="s">
        <v>5123</v>
      </c>
      <c r="X830" t="s">
        <v>47</v>
      </c>
      <c r="AA830" t="s">
        <v>5124</v>
      </c>
      <c r="AB830" t="s">
        <v>308</v>
      </c>
      <c r="AC830" t="s">
        <v>5125</v>
      </c>
      <c r="AD830" t="b">
        <v>0</v>
      </c>
      <c r="AF830">
        <v>8</v>
      </c>
      <c r="AG830" t="s">
        <v>78</v>
      </c>
    </row>
    <row r="831" spans="1:33" x14ac:dyDescent="0.2">
      <c r="A831">
        <v>1939</v>
      </c>
      <c r="B831" t="s">
        <v>5124</v>
      </c>
      <c r="C831" t="s">
        <v>34</v>
      </c>
      <c r="D831" t="s">
        <v>35</v>
      </c>
      <c r="E831" t="s">
        <v>1037</v>
      </c>
      <c r="F831" t="s">
        <v>1038</v>
      </c>
      <c r="G831" t="s">
        <v>53</v>
      </c>
      <c r="H831" t="s">
        <v>54</v>
      </c>
      <c r="I831" t="s">
        <v>1039</v>
      </c>
      <c r="J831" t="s">
        <v>243</v>
      </c>
      <c r="K831">
        <v>2018</v>
      </c>
      <c r="L831">
        <v>2018</v>
      </c>
      <c r="M831">
        <v>0.99</v>
      </c>
      <c r="N831">
        <v>6.4550000000000001</v>
      </c>
      <c r="O831">
        <v>283.89999999999998</v>
      </c>
      <c r="P831">
        <v>0.47</v>
      </c>
      <c r="Q831">
        <v>0.58499999999999996</v>
      </c>
      <c r="R831" t="s">
        <v>72</v>
      </c>
      <c r="S831" t="s">
        <v>1040</v>
      </c>
      <c r="T831" t="b">
        <v>1</v>
      </c>
      <c r="U831" t="s">
        <v>5126</v>
      </c>
      <c r="V831" t="s">
        <v>1042</v>
      </c>
      <c r="W831" t="s">
        <v>5127</v>
      </c>
      <c r="X831" t="s">
        <v>47</v>
      </c>
      <c r="AA831" t="s">
        <v>1044</v>
      </c>
      <c r="AC831" t="s">
        <v>1045</v>
      </c>
      <c r="AD831" t="b">
        <v>0</v>
      </c>
      <c r="AF831">
        <v>13</v>
      </c>
      <c r="AG831" t="s">
        <v>155</v>
      </c>
    </row>
    <row r="832" spans="1:33" x14ac:dyDescent="0.2">
      <c r="A832">
        <v>939</v>
      </c>
      <c r="B832" t="s">
        <v>5128</v>
      </c>
      <c r="C832" t="s">
        <v>34</v>
      </c>
      <c r="D832" t="s">
        <v>35</v>
      </c>
      <c r="E832" t="s">
        <v>5129</v>
      </c>
      <c r="F832" t="s">
        <v>5130</v>
      </c>
      <c r="G832" t="s">
        <v>68</v>
      </c>
      <c r="H832" t="s">
        <v>69</v>
      </c>
      <c r="I832" t="s">
        <v>5131</v>
      </c>
      <c r="J832" t="s">
        <v>567</v>
      </c>
      <c r="K832">
        <v>1939</v>
      </c>
      <c r="L832">
        <v>1939</v>
      </c>
      <c r="M832">
        <v>0.125</v>
      </c>
      <c r="N832">
        <v>0.2</v>
      </c>
      <c r="R832" t="s">
        <v>72</v>
      </c>
      <c r="S832" t="s">
        <v>5132</v>
      </c>
      <c r="T832" t="b">
        <v>1</v>
      </c>
      <c r="U832" t="s">
        <v>2048</v>
      </c>
      <c r="V832" t="s">
        <v>5133</v>
      </c>
      <c r="W832" t="s">
        <v>113</v>
      </c>
      <c r="X832" t="s">
        <v>47</v>
      </c>
      <c r="AA832" t="s">
        <v>114</v>
      </c>
      <c r="AC832" t="s">
        <v>63</v>
      </c>
      <c r="AD832" t="b">
        <v>0</v>
      </c>
      <c r="AF832">
        <v>8</v>
      </c>
      <c r="AG832" t="s">
        <v>78</v>
      </c>
    </row>
    <row r="833" spans="1:33" x14ac:dyDescent="0.2">
      <c r="A833">
        <v>233</v>
      </c>
      <c r="B833" t="s">
        <v>5134</v>
      </c>
      <c r="C833" t="s">
        <v>34</v>
      </c>
      <c r="D833" t="s">
        <v>35</v>
      </c>
      <c r="E833" t="s">
        <v>132</v>
      </c>
      <c r="F833" t="s">
        <v>133</v>
      </c>
      <c r="G833" t="s">
        <v>134</v>
      </c>
      <c r="H833" t="s">
        <v>135</v>
      </c>
      <c r="I833" t="s">
        <v>764</v>
      </c>
      <c r="J833" t="s">
        <v>765</v>
      </c>
      <c r="K833">
        <v>1949</v>
      </c>
      <c r="L833">
        <v>2005</v>
      </c>
      <c r="M833">
        <v>9</v>
      </c>
      <c r="N833">
        <v>39.142000000000003</v>
      </c>
      <c r="O833">
        <v>255</v>
      </c>
      <c r="P833">
        <v>4</v>
      </c>
      <c r="Q833">
        <v>0.625</v>
      </c>
      <c r="R833" t="s">
        <v>42</v>
      </c>
      <c r="S833" t="s">
        <v>5135</v>
      </c>
      <c r="T833" t="b">
        <v>1</v>
      </c>
      <c r="U833" t="s">
        <v>5136</v>
      </c>
      <c r="V833" t="s">
        <v>139</v>
      </c>
      <c r="W833" t="s">
        <v>5137</v>
      </c>
      <c r="X833" t="s">
        <v>47</v>
      </c>
      <c r="AA833" t="s">
        <v>4097</v>
      </c>
      <c r="AB833" t="s">
        <v>49</v>
      </c>
      <c r="AC833" t="s">
        <v>5138</v>
      </c>
      <c r="AD833" t="b">
        <v>0</v>
      </c>
      <c r="AF833">
        <v>10</v>
      </c>
      <c r="AG833" t="s">
        <v>143</v>
      </c>
    </row>
    <row r="834" spans="1:33" x14ac:dyDescent="0.2">
      <c r="A834">
        <v>234</v>
      </c>
      <c r="B834" t="s">
        <v>5139</v>
      </c>
      <c r="C834" t="s">
        <v>34</v>
      </c>
      <c r="D834" t="s">
        <v>35</v>
      </c>
      <c r="E834" t="s">
        <v>91</v>
      </c>
      <c r="F834" t="s">
        <v>92</v>
      </c>
      <c r="G834" t="s">
        <v>503</v>
      </c>
      <c r="H834" t="s">
        <v>462</v>
      </c>
      <c r="I834" t="s">
        <v>1520</v>
      </c>
      <c r="J834" t="s">
        <v>337</v>
      </c>
      <c r="K834">
        <v>1955</v>
      </c>
      <c r="L834">
        <v>1955</v>
      </c>
      <c r="M834">
        <v>2.4</v>
      </c>
      <c r="N834">
        <v>11.717000000000001</v>
      </c>
      <c r="O834">
        <v>7.69</v>
      </c>
      <c r="P834">
        <v>39.22</v>
      </c>
      <c r="Q834">
        <v>1.7000000000000001E-2</v>
      </c>
      <c r="R834" t="s">
        <v>84</v>
      </c>
      <c r="S834" t="s">
        <v>4444</v>
      </c>
      <c r="T834" t="b">
        <v>1</v>
      </c>
      <c r="U834" t="s">
        <v>5140</v>
      </c>
      <c r="V834" t="s">
        <v>100</v>
      </c>
      <c r="W834" t="s">
        <v>5141</v>
      </c>
      <c r="X834" t="s">
        <v>47</v>
      </c>
      <c r="AA834" t="s">
        <v>1297</v>
      </c>
      <c r="AB834" t="s">
        <v>308</v>
      </c>
      <c r="AC834" t="s">
        <v>1298</v>
      </c>
      <c r="AD834" t="b">
        <v>0</v>
      </c>
      <c r="AF834">
        <v>3</v>
      </c>
      <c r="AG834" t="s">
        <v>332</v>
      </c>
    </row>
    <row r="835" spans="1:33" x14ac:dyDescent="0.2">
      <c r="A835">
        <v>897</v>
      </c>
      <c r="B835" t="s">
        <v>5142</v>
      </c>
      <c r="C835" t="s">
        <v>34</v>
      </c>
      <c r="D835" t="s">
        <v>35</v>
      </c>
      <c r="E835" t="s">
        <v>157</v>
      </c>
      <c r="F835" t="s">
        <v>158</v>
      </c>
      <c r="G835" t="s">
        <v>68</v>
      </c>
      <c r="H835" t="s">
        <v>69</v>
      </c>
      <c r="I835" t="s">
        <v>453</v>
      </c>
      <c r="J835" t="s">
        <v>192</v>
      </c>
      <c r="K835">
        <v>1944</v>
      </c>
      <c r="L835">
        <v>2014</v>
      </c>
      <c r="M835">
        <v>1.2</v>
      </c>
      <c r="N835">
        <v>3.8679999999999999</v>
      </c>
      <c r="O835">
        <v>42</v>
      </c>
      <c r="P835">
        <v>3.2</v>
      </c>
      <c r="Q835">
        <v>0.104</v>
      </c>
      <c r="R835" t="s">
        <v>72</v>
      </c>
      <c r="S835" t="s">
        <v>5143</v>
      </c>
      <c r="T835" t="b">
        <v>1</v>
      </c>
      <c r="U835" t="s">
        <v>4413</v>
      </c>
      <c r="V835" t="s">
        <v>163</v>
      </c>
      <c r="W835" t="s">
        <v>5144</v>
      </c>
      <c r="X835" t="s">
        <v>47</v>
      </c>
      <c r="AA835" t="s">
        <v>4226</v>
      </c>
      <c r="AB835" t="s">
        <v>308</v>
      </c>
      <c r="AC835" t="s">
        <v>3106</v>
      </c>
      <c r="AD835" t="b">
        <v>0</v>
      </c>
      <c r="AF835">
        <v>8</v>
      </c>
      <c r="AG835" t="s">
        <v>78</v>
      </c>
    </row>
    <row r="836" spans="1:33" x14ac:dyDescent="0.2">
      <c r="A836">
        <v>231</v>
      </c>
      <c r="B836" t="s">
        <v>5145</v>
      </c>
      <c r="C836" t="s">
        <v>34</v>
      </c>
      <c r="D836" t="s">
        <v>35</v>
      </c>
      <c r="E836" t="s">
        <v>36</v>
      </c>
      <c r="F836" t="s">
        <v>37</v>
      </c>
      <c r="G836" t="s">
        <v>53</v>
      </c>
      <c r="H836" t="s">
        <v>54</v>
      </c>
      <c r="I836" t="s">
        <v>1663</v>
      </c>
      <c r="J836" t="s">
        <v>973</v>
      </c>
      <c r="K836">
        <v>1980</v>
      </c>
      <c r="L836">
        <v>1980</v>
      </c>
      <c r="M836">
        <v>500</v>
      </c>
      <c r="N836">
        <v>1252.4690000000001</v>
      </c>
      <c r="O836">
        <v>1065</v>
      </c>
      <c r="P836">
        <v>51.7</v>
      </c>
      <c r="Q836">
        <v>2.6859999999999999</v>
      </c>
      <c r="R836" t="s">
        <v>57</v>
      </c>
      <c r="S836" t="s">
        <v>5146</v>
      </c>
      <c r="T836" t="b">
        <v>1</v>
      </c>
      <c r="U836" t="s">
        <v>5147</v>
      </c>
      <c r="V836" t="s">
        <v>2863</v>
      </c>
      <c r="W836" t="s">
        <v>5148</v>
      </c>
      <c r="X836" t="s">
        <v>47</v>
      </c>
      <c r="AA836" t="s">
        <v>2865</v>
      </c>
      <c r="AB836" t="s">
        <v>49</v>
      </c>
      <c r="AC836" t="s">
        <v>2866</v>
      </c>
      <c r="AD836" t="b">
        <v>0</v>
      </c>
      <c r="AF836">
        <v>2</v>
      </c>
      <c r="AG836" t="s">
        <v>287</v>
      </c>
    </row>
    <row r="837" spans="1:33" x14ac:dyDescent="0.2">
      <c r="A837">
        <v>1113</v>
      </c>
      <c r="B837" t="s">
        <v>5149</v>
      </c>
      <c r="C837" t="s">
        <v>34</v>
      </c>
      <c r="D837" t="s">
        <v>35</v>
      </c>
      <c r="G837" t="s">
        <v>242</v>
      </c>
      <c r="H837" t="s">
        <v>243</v>
      </c>
      <c r="I837" t="s">
        <v>244</v>
      </c>
      <c r="J837" t="s">
        <v>245</v>
      </c>
      <c r="K837">
        <v>1997</v>
      </c>
      <c r="L837">
        <v>1997</v>
      </c>
      <c r="M837">
        <v>0.09</v>
      </c>
      <c r="N837">
        <v>0.13800000000000001</v>
      </c>
      <c r="O837">
        <v>26</v>
      </c>
      <c r="R837" t="s">
        <v>72</v>
      </c>
      <c r="S837" t="s">
        <v>5150</v>
      </c>
      <c r="T837" t="b">
        <v>1</v>
      </c>
      <c r="U837" t="s">
        <v>111</v>
      </c>
      <c r="V837" t="s">
        <v>274</v>
      </c>
      <c r="W837" t="s">
        <v>5151</v>
      </c>
      <c r="X837" t="s">
        <v>47</v>
      </c>
      <c r="AA837" t="s">
        <v>5149</v>
      </c>
      <c r="AC837" t="s">
        <v>63</v>
      </c>
      <c r="AD837" t="b">
        <v>0</v>
      </c>
      <c r="AF837">
        <v>9</v>
      </c>
      <c r="AG837" t="s">
        <v>251</v>
      </c>
    </row>
    <row r="838" spans="1:33" x14ac:dyDescent="0.2">
      <c r="A838">
        <v>235</v>
      </c>
      <c r="B838" t="s">
        <v>5152</v>
      </c>
      <c r="C838" t="s">
        <v>34</v>
      </c>
      <c r="D838" t="s">
        <v>35</v>
      </c>
      <c r="E838" t="s">
        <v>1085</v>
      </c>
      <c r="F838" t="s">
        <v>1086</v>
      </c>
      <c r="G838" t="s">
        <v>134</v>
      </c>
      <c r="H838" t="s">
        <v>135</v>
      </c>
      <c r="I838" t="s">
        <v>1094</v>
      </c>
      <c r="J838" t="s">
        <v>426</v>
      </c>
      <c r="K838">
        <v>1978</v>
      </c>
      <c r="L838">
        <v>1978</v>
      </c>
      <c r="M838">
        <v>5.4</v>
      </c>
      <c r="N838">
        <v>18.940000000000001</v>
      </c>
      <c r="O838">
        <v>60.59</v>
      </c>
      <c r="P838">
        <v>10.78</v>
      </c>
      <c r="Q838">
        <v>0.13800000000000001</v>
      </c>
      <c r="R838" t="s">
        <v>42</v>
      </c>
      <c r="S838" t="s">
        <v>5153</v>
      </c>
      <c r="T838" t="b">
        <v>1</v>
      </c>
      <c r="U838" t="s">
        <v>1529</v>
      </c>
      <c r="V838" t="s">
        <v>1089</v>
      </c>
      <c r="W838" t="s">
        <v>5154</v>
      </c>
      <c r="X838" t="s">
        <v>47</v>
      </c>
      <c r="AA838" t="s">
        <v>5155</v>
      </c>
      <c r="AB838" t="s">
        <v>177</v>
      </c>
      <c r="AC838" t="s">
        <v>2332</v>
      </c>
      <c r="AD838" t="b">
        <v>0</v>
      </c>
      <c r="AF838">
        <v>10</v>
      </c>
      <c r="AG838" t="s">
        <v>143</v>
      </c>
    </row>
    <row r="839" spans="1:33" x14ac:dyDescent="0.2">
      <c r="A839">
        <v>236</v>
      </c>
      <c r="B839" t="s">
        <v>5152</v>
      </c>
      <c r="C839" t="s">
        <v>34</v>
      </c>
      <c r="D839" t="s">
        <v>35</v>
      </c>
      <c r="E839" t="s">
        <v>36</v>
      </c>
      <c r="F839" t="s">
        <v>37</v>
      </c>
      <c r="G839" t="s">
        <v>134</v>
      </c>
      <c r="H839" t="s">
        <v>135</v>
      </c>
      <c r="I839" t="s">
        <v>2074</v>
      </c>
      <c r="J839" t="s">
        <v>225</v>
      </c>
      <c r="K839">
        <v>1964</v>
      </c>
      <c r="L839">
        <v>1964</v>
      </c>
      <c r="M839">
        <v>90</v>
      </c>
      <c r="N839">
        <v>335.94499999999999</v>
      </c>
      <c r="O839">
        <v>43</v>
      </c>
      <c r="P839">
        <v>284</v>
      </c>
      <c r="Q839">
        <v>8.7999999999999995E-2</v>
      </c>
      <c r="R839" t="s">
        <v>42</v>
      </c>
      <c r="S839" t="s">
        <v>5156</v>
      </c>
      <c r="T839" t="b">
        <v>1</v>
      </c>
      <c r="U839" t="s">
        <v>5157</v>
      </c>
      <c r="V839" t="s">
        <v>45</v>
      </c>
      <c r="W839" t="s">
        <v>5158</v>
      </c>
      <c r="X839" t="s">
        <v>47</v>
      </c>
      <c r="AA839" t="s">
        <v>2652</v>
      </c>
      <c r="AB839" t="s">
        <v>83</v>
      </c>
      <c r="AC839" t="s">
        <v>2653</v>
      </c>
      <c r="AD839" t="b">
        <v>0</v>
      </c>
      <c r="AF839">
        <v>10</v>
      </c>
      <c r="AG839" t="s">
        <v>143</v>
      </c>
    </row>
    <row r="840" spans="1:33" x14ac:dyDescent="0.2">
      <c r="A840">
        <v>237</v>
      </c>
      <c r="B840" t="s">
        <v>5159</v>
      </c>
      <c r="C840" t="s">
        <v>34</v>
      </c>
      <c r="D840" t="s">
        <v>35</v>
      </c>
      <c r="E840" t="s">
        <v>501</v>
      </c>
      <c r="F840" t="s">
        <v>502</v>
      </c>
      <c r="G840" t="s">
        <v>242</v>
      </c>
      <c r="H840" t="s">
        <v>243</v>
      </c>
      <c r="I840" t="s">
        <v>1302</v>
      </c>
      <c r="J840" t="s">
        <v>1303</v>
      </c>
      <c r="K840">
        <v>1987</v>
      </c>
      <c r="L840">
        <v>1987</v>
      </c>
      <c r="M840">
        <v>1.1299999999999999</v>
      </c>
      <c r="N840">
        <v>3.2269999999999999</v>
      </c>
      <c r="O840">
        <v>80</v>
      </c>
      <c r="P840">
        <v>1.79</v>
      </c>
      <c r="Q840">
        <v>0.17</v>
      </c>
      <c r="R840" t="s">
        <v>72</v>
      </c>
      <c r="S840" t="s">
        <v>5160</v>
      </c>
      <c r="T840" t="b">
        <v>1</v>
      </c>
      <c r="U840" t="s">
        <v>5161</v>
      </c>
      <c r="V840" t="s">
        <v>507</v>
      </c>
      <c r="W840" t="s">
        <v>5162</v>
      </c>
      <c r="X840" t="s">
        <v>47</v>
      </c>
      <c r="AA840" t="s">
        <v>3296</v>
      </c>
      <c r="AB840" t="s">
        <v>49</v>
      </c>
      <c r="AC840" t="s">
        <v>3297</v>
      </c>
      <c r="AD840" t="b">
        <v>0</v>
      </c>
      <c r="AF840">
        <v>9</v>
      </c>
      <c r="AG840" t="s">
        <v>251</v>
      </c>
    </row>
    <row r="841" spans="1:33" x14ac:dyDescent="0.2">
      <c r="A841">
        <v>1461</v>
      </c>
      <c r="B841" t="s">
        <v>5163</v>
      </c>
      <c r="C841" t="s">
        <v>34</v>
      </c>
      <c r="D841" t="s">
        <v>35</v>
      </c>
      <c r="E841" t="s">
        <v>523</v>
      </c>
      <c r="F841" t="s">
        <v>524</v>
      </c>
      <c r="G841" t="s">
        <v>134</v>
      </c>
      <c r="H841" t="s">
        <v>135</v>
      </c>
      <c r="I841" t="s">
        <v>191</v>
      </c>
      <c r="J841" t="s">
        <v>192</v>
      </c>
      <c r="K841">
        <v>2010</v>
      </c>
      <c r="L841">
        <v>2010</v>
      </c>
      <c r="M841">
        <v>2.7</v>
      </c>
      <c r="N841">
        <v>4.7160000000000002</v>
      </c>
      <c r="O841">
        <v>310</v>
      </c>
      <c r="P841">
        <v>1</v>
      </c>
      <c r="Q841">
        <v>0.75</v>
      </c>
      <c r="R841" t="s">
        <v>42</v>
      </c>
      <c r="S841" t="s">
        <v>5164</v>
      </c>
      <c r="T841" t="b">
        <v>1</v>
      </c>
      <c r="U841" t="s">
        <v>5165</v>
      </c>
      <c r="V841" t="s">
        <v>527</v>
      </c>
      <c r="W841" t="s">
        <v>5166</v>
      </c>
      <c r="X841" t="s">
        <v>47</v>
      </c>
      <c r="AA841" t="s">
        <v>5163</v>
      </c>
      <c r="AB841" t="s">
        <v>56</v>
      </c>
      <c r="AC841" t="s">
        <v>1395</v>
      </c>
      <c r="AD841" t="b">
        <v>0</v>
      </c>
      <c r="AF841">
        <v>11</v>
      </c>
      <c r="AG841" t="s">
        <v>198</v>
      </c>
    </row>
    <row r="842" spans="1:33" x14ac:dyDescent="0.2">
      <c r="A842">
        <v>1943</v>
      </c>
      <c r="B842" t="s">
        <v>5167</v>
      </c>
      <c r="C842" t="s">
        <v>34</v>
      </c>
      <c r="D842" t="s">
        <v>35</v>
      </c>
      <c r="E842" t="s">
        <v>5168</v>
      </c>
      <c r="F842" t="s">
        <v>5169</v>
      </c>
      <c r="G842" t="s">
        <v>134</v>
      </c>
      <c r="H842" t="s">
        <v>135</v>
      </c>
      <c r="I842" t="s">
        <v>2074</v>
      </c>
      <c r="J842" t="s">
        <v>225</v>
      </c>
      <c r="K842">
        <v>2018</v>
      </c>
      <c r="L842">
        <v>2018</v>
      </c>
      <c r="M842">
        <v>0.99</v>
      </c>
      <c r="N842">
        <v>3.34</v>
      </c>
      <c r="O842">
        <v>181</v>
      </c>
      <c r="P842">
        <v>0.75</v>
      </c>
      <c r="Q842">
        <v>0.36699999999999999</v>
      </c>
      <c r="R842" t="s">
        <v>42</v>
      </c>
      <c r="S842" t="s">
        <v>5170</v>
      </c>
      <c r="T842" t="b">
        <v>1</v>
      </c>
      <c r="U842" t="s">
        <v>5171</v>
      </c>
      <c r="V842" t="s">
        <v>5172</v>
      </c>
      <c r="W842" t="s">
        <v>5173</v>
      </c>
      <c r="X842" t="s">
        <v>47</v>
      </c>
      <c r="AA842" t="s">
        <v>2652</v>
      </c>
      <c r="AC842" t="s">
        <v>2653</v>
      </c>
      <c r="AD842" t="b">
        <v>0</v>
      </c>
      <c r="AF842">
        <v>10</v>
      </c>
      <c r="AG842" t="s">
        <v>143</v>
      </c>
    </row>
    <row r="843" spans="1:33" x14ac:dyDescent="0.2">
      <c r="A843">
        <v>238</v>
      </c>
      <c r="B843" t="s">
        <v>5174</v>
      </c>
      <c r="C843" t="s">
        <v>34</v>
      </c>
      <c r="D843" t="s">
        <v>35</v>
      </c>
      <c r="E843" t="s">
        <v>542</v>
      </c>
      <c r="F843" t="s">
        <v>543</v>
      </c>
      <c r="G843" t="s">
        <v>377</v>
      </c>
      <c r="H843" t="s">
        <v>378</v>
      </c>
      <c r="I843" t="s">
        <v>1409</v>
      </c>
      <c r="J843" t="s">
        <v>54</v>
      </c>
      <c r="K843">
        <v>1977</v>
      </c>
      <c r="L843">
        <v>1977</v>
      </c>
      <c r="M843">
        <v>7.2</v>
      </c>
      <c r="N843">
        <v>33.158999999999999</v>
      </c>
      <c r="O843">
        <v>146</v>
      </c>
      <c r="P843">
        <v>6.19</v>
      </c>
      <c r="Q843">
        <v>0.32400000000000001</v>
      </c>
      <c r="R843" t="s">
        <v>42</v>
      </c>
      <c r="S843" t="s">
        <v>5175</v>
      </c>
      <c r="T843" t="b">
        <v>1</v>
      </c>
      <c r="U843" t="s">
        <v>980</v>
      </c>
      <c r="V843" t="s">
        <v>547</v>
      </c>
      <c r="W843" t="s">
        <v>5176</v>
      </c>
      <c r="X843" t="s">
        <v>47</v>
      </c>
      <c r="AA843" t="s">
        <v>1413</v>
      </c>
      <c r="AB843" t="s">
        <v>308</v>
      </c>
      <c r="AC843" t="s">
        <v>1414</v>
      </c>
      <c r="AD843" t="b">
        <v>0</v>
      </c>
      <c r="AF843">
        <v>12</v>
      </c>
      <c r="AG843" t="s">
        <v>51</v>
      </c>
    </row>
    <row r="844" spans="1:33" x14ac:dyDescent="0.2">
      <c r="A844">
        <v>239</v>
      </c>
      <c r="B844" t="s">
        <v>5177</v>
      </c>
      <c r="C844" t="s">
        <v>34</v>
      </c>
      <c r="D844" t="s">
        <v>35</v>
      </c>
      <c r="E844" t="s">
        <v>404</v>
      </c>
      <c r="F844" t="s">
        <v>405</v>
      </c>
      <c r="G844" t="s">
        <v>312</v>
      </c>
      <c r="H844" t="s">
        <v>313</v>
      </c>
      <c r="I844" t="s">
        <v>618</v>
      </c>
      <c r="J844" t="s">
        <v>227</v>
      </c>
      <c r="K844">
        <v>1981</v>
      </c>
      <c r="L844">
        <v>1981</v>
      </c>
      <c r="M844">
        <v>26</v>
      </c>
      <c r="N844">
        <v>123.45699999999999</v>
      </c>
      <c r="O844">
        <v>36.47</v>
      </c>
      <c r="P844">
        <v>109.73</v>
      </c>
      <c r="Q844">
        <v>6.6000000000000003E-2</v>
      </c>
      <c r="R844" t="s">
        <v>84</v>
      </c>
      <c r="S844" t="s">
        <v>5178</v>
      </c>
      <c r="T844" t="b">
        <v>1</v>
      </c>
      <c r="U844" t="s">
        <v>1069</v>
      </c>
      <c r="V844" t="s">
        <v>408</v>
      </c>
      <c r="W844" t="s">
        <v>5179</v>
      </c>
      <c r="X844" t="s">
        <v>47</v>
      </c>
      <c r="AA844" t="s">
        <v>622</v>
      </c>
      <c r="AB844" t="s">
        <v>401</v>
      </c>
      <c r="AC844" t="s">
        <v>623</v>
      </c>
      <c r="AD844" t="b">
        <v>0</v>
      </c>
      <c r="AF844">
        <v>4</v>
      </c>
      <c r="AG844" t="s">
        <v>321</v>
      </c>
    </row>
    <row r="845" spans="1:33" x14ac:dyDescent="0.2">
      <c r="A845">
        <v>1252</v>
      </c>
      <c r="B845" t="s">
        <v>5180</v>
      </c>
      <c r="C845" t="s">
        <v>34</v>
      </c>
      <c r="D845" t="s">
        <v>35</v>
      </c>
      <c r="E845" t="s">
        <v>5181</v>
      </c>
      <c r="F845" t="s">
        <v>5182</v>
      </c>
      <c r="G845" t="s">
        <v>213</v>
      </c>
      <c r="H845" t="s">
        <v>83</v>
      </c>
      <c r="I845" t="s">
        <v>1029</v>
      </c>
      <c r="J845" t="s">
        <v>225</v>
      </c>
      <c r="K845">
        <v>2006</v>
      </c>
      <c r="L845">
        <v>2006</v>
      </c>
      <c r="M845">
        <v>7.4999999999999997E-2</v>
      </c>
      <c r="N845">
        <v>0.45800000000000002</v>
      </c>
      <c r="O845">
        <v>60</v>
      </c>
      <c r="P845">
        <v>0.16</v>
      </c>
      <c r="Q845">
        <v>0.13</v>
      </c>
      <c r="R845" t="s">
        <v>84</v>
      </c>
      <c r="S845" t="s">
        <v>5183</v>
      </c>
      <c r="T845" t="b">
        <v>1</v>
      </c>
      <c r="U845" t="s">
        <v>5184</v>
      </c>
      <c r="V845" t="s">
        <v>5185</v>
      </c>
      <c r="W845" t="s">
        <v>5186</v>
      </c>
      <c r="X845" t="s">
        <v>47</v>
      </c>
      <c r="AA845" t="s">
        <v>2364</v>
      </c>
      <c r="AC845" t="s">
        <v>63</v>
      </c>
      <c r="AD845" t="b">
        <v>0</v>
      </c>
      <c r="AF845">
        <v>3</v>
      </c>
      <c r="AG845" t="s">
        <v>332</v>
      </c>
    </row>
    <row r="846" spans="1:33" x14ac:dyDescent="0.2">
      <c r="A846">
        <v>955</v>
      </c>
      <c r="B846" t="s">
        <v>5187</v>
      </c>
      <c r="C846" t="s">
        <v>34</v>
      </c>
      <c r="D846" t="s">
        <v>35</v>
      </c>
      <c r="E846" t="s">
        <v>5188</v>
      </c>
      <c r="F846" t="s">
        <v>5189</v>
      </c>
      <c r="G846" t="s">
        <v>53</v>
      </c>
      <c r="H846" t="s">
        <v>54</v>
      </c>
      <c r="I846" t="s">
        <v>1165</v>
      </c>
      <c r="J846" t="s">
        <v>1166</v>
      </c>
      <c r="K846">
        <v>1917</v>
      </c>
      <c r="L846">
        <v>2003</v>
      </c>
      <c r="M846">
        <v>0.1</v>
      </c>
      <c r="N846">
        <v>0.159</v>
      </c>
      <c r="R846" t="s">
        <v>72</v>
      </c>
      <c r="S846" t="s">
        <v>5190</v>
      </c>
      <c r="T846" t="b">
        <v>1</v>
      </c>
      <c r="U846" t="s">
        <v>2246</v>
      </c>
      <c r="V846" t="s">
        <v>5191</v>
      </c>
      <c r="W846" t="s">
        <v>5192</v>
      </c>
      <c r="X846" t="s">
        <v>47</v>
      </c>
      <c r="AA846" t="s">
        <v>1171</v>
      </c>
      <c r="AC846" t="s">
        <v>63</v>
      </c>
      <c r="AD846" t="b">
        <v>0</v>
      </c>
      <c r="AF846">
        <v>13</v>
      </c>
      <c r="AG846" t="s">
        <v>155</v>
      </c>
    </row>
    <row r="847" spans="1:33" x14ac:dyDescent="0.2">
      <c r="A847">
        <v>1730</v>
      </c>
      <c r="B847" t="s">
        <v>5193</v>
      </c>
      <c r="C847" t="s">
        <v>34</v>
      </c>
      <c r="D847" t="s">
        <v>35</v>
      </c>
      <c r="E847" t="s">
        <v>5194</v>
      </c>
      <c r="F847" t="s">
        <v>5195</v>
      </c>
      <c r="G847" t="s">
        <v>93</v>
      </c>
      <c r="H847" t="s">
        <v>94</v>
      </c>
      <c r="I847" t="s">
        <v>2974</v>
      </c>
      <c r="J847" t="s">
        <v>731</v>
      </c>
      <c r="K847">
        <v>2012</v>
      </c>
      <c r="L847">
        <v>2012</v>
      </c>
      <c r="M847">
        <v>1.25</v>
      </c>
      <c r="N847">
        <v>3.2240000000000002</v>
      </c>
      <c r="O847">
        <v>153.5</v>
      </c>
      <c r="P847">
        <v>0.9</v>
      </c>
      <c r="Q847">
        <v>0.38600000000000001</v>
      </c>
      <c r="R847" t="s">
        <v>97</v>
      </c>
      <c r="S847" t="s">
        <v>5196</v>
      </c>
      <c r="T847" t="b">
        <v>1</v>
      </c>
      <c r="U847" t="s">
        <v>5197</v>
      </c>
      <c r="V847" t="s">
        <v>5198</v>
      </c>
      <c r="W847" t="s">
        <v>5199</v>
      </c>
      <c r="X847" t="s">
        <v>47</v>
      </c>
      <c r="AA847" t="s">
        <v>102</v>
      </c>
      <c r="AC847" t="s">
        <v>103</v>
      </c>
      <c r="AD847" t="b">
        <v>0</v>
      </c>
      <c r="AF847">
        <v>1</v>
      </c>
      <c r="AG847" t="s">
        <v>104</v>
      </c>
    </row>
    <row r="848" spans="1:33" x14ac:dyDescent="0.2">
      <c r="A848">
        <v>1427</v>
      </c>
      <c r="B848" t="s">
        <v>5200</v>
      </c>
      <c r="C848" t="s">
        <v>34</v>
      </c>
      <c r="D848" t="s">
        <v>35</v>
      </c>
      <c r="E848" t="s">
        <v>168</v>
      </c>
      <c r="F848" t="s">
        <v>169</v>
      </c>
      <c r="G848" t="s">
        <v>242</v>
      </c>
      <c r="H848" t="s">
        <v>243</v>
      </c>
      <c r="I848" t="s">
        <v>1424</v>
      </c>
      <c r="J848" t="s">
        <v>354</v>
      </c>
      <c r="K848">
        <v>2008</v>
      </c>
      <c r="L848">
        <v>2008</v>
      </c>
      <c r="M848">
        <v>1.4</v>
      </c>
      <c r="N848">
        <v>4.2869999999999999</v>
      </c>
      <c r="O848">
        <v>16.5</v>
      </c>
      <c r="P848">
        <v>9.5</v>
      </c>
      <c r="Q848">
        <v>4.1000000000000002E-2</v>
      </c>
      <c r="R848" t="s">
        <v>72</v>
      </c>
      <c r="S848" t="s">
        <v>1425</v>
      </c>
      <c r="T848" t="b">
        <v>1</v>
      </c>
      <c r="U848" t="s">
        <v>5201</v>
      </c>
      <c r="V848" t="s">
        <v>174</v>
      </c>
      <c r="W848" t="s">
        <v>5202</v>
      </c>
      <c r="X848" t="s">
        <v>47</v>
      </c>
      <c r="AA848" t="s">
        <v>1428</v>
      </c>
      <c r="AB848" t="s">
        <v>49</v>
      </c>
      <c r="AC848" t="s">
        <v>1429</v>
      </c>
      <c r="AD848" t="b">
        <v>0</v>
      </c>
      <c r="AF848">
        <v>9</v>
      </c>
      <c r="AG848" t="s">
        <v>251</v>
      </c>
    </row>
    <row r="849" spans="1:33" x14ac:dyDescent="0.2">
      <c r="A849">
        <v>2063</v>
      </c>
      <c r="B849" t="s">
        <v>5203</v>
      </c>
      <c r="C849" t="s">
        <v>34</v>
      </c>
      <c r="D849" t="s">
        <v>35</v>
      </c>
      <c r="E849" t="s">
        <v>5204</v>
      </c>
      <c r="F849" t="s">
        <v>5205</v>
      </c>
      <c r="G849" t="s">
        <v>503</v>
      </c>
      <c r="H849" t="s">
        <v>462</v>
      </c>
      <c r="I849" t="s">
        <v>1292</v>
      </c>
      <c r="J849" t="s">
        <v>1077</v>
      </c>
      <c r="K849">
        <v>2022</v>
      </c>
      <c r="L849">
        <v>2022</v>
      </c>
      <c r="M849">
        <v>1.89</v>
      </c>
      <c r="N849">
        <v>6.5679999999999996</v>
      </c>
      <c r="O849">
        <v>102</v>
      </c>
      <c r="P849">
        <v>2.3279999999999998</v>
      </c>
      <c r="Q849">
        <v>0.22600000000000001</v>
      </c>
      <c r="R849" t="s">
        <v>84</v>
      </c>
      <c r="S849" t="s">
        <v>5206</v>
      </c>
      <c r="T849" t="b">
        <v>1</v>
      </c>
      <c r="U849" t="s">
        <v>5207</v>
      </c>
      <c r="V849" t="s">
        <v>5208</v>
      </c>
      <c r="W849" t="s">
        <v>5209</v>
      </c>
      <c r="X849" t="s">
        <v>47</v>
      </c>
      <c r="AA849" t="s">
        <v>1297</v>
      </c>
      <c r="AC849" t="s">
        <v>1298</v>
      </c>
      <c r="AD849" t="b">
        <v>0</v>
      </c>
      <c r="AF849">
        <v>3</v>
      </c>
      <c r="AG849" t="s">
        <v>332</v>
      </c>
    </row>
    <row r="850" spans="1:33" x14ac:dyDescent="0.2">
      <c r="A850">
        <v>240</v>
      </c>
      <c r="B850" t="s">
        <v>5210</v>
      </c>
      <c r="C850" t="s">
        <v>34</v>
      </c>
      <c r="D850" t="s">
        <v>35</v>
      </c>
      <c r="E850" t="s">
        <v>512</v>
      </c>
      <c r="F850" t="s">
        <v>513</v>
      </c>
      <c r="G850" t="s">
        <v>377</v>
      </c>
      <c r="H850" t="s">
        <v>378</v>
      </c>
      <c r="I850" t="s">
        <v>425</v>
      </c>
      <c r="J850" t="s">
        <v>426</v>
      </c>
      <c r="K850">
        <v>1982</v>
      </c>
      <c r="L850">
        <v>1982</v>
      </c>
      <c r="M850">
        <v>8.6999999999999993</v>
      </c>
      <c r="N850">
        <v>28.167999999999999</v>
      </c>
      <c r="O850">
        <v>133</v>
      </c>
      <c r="P850">
        <v>7.38</v>
      </c>
      <c r="Q850">
        <v>0.32600000000000001</v>
      </c>
      <c r="R850" t="s">
        <v>42</v>
      </c>
      <c r="S850" t="s">
        <v>5211</v>
      </c>
      <c r="T850" t="b">
        <v>1</v>
      </c>
      <c r="U850" t="s">
        <v>5212</v>
      </c>
      <c r="V850" t="s">
        <v>518</v>
      </c>
      <c r="W850" t="s">
        <v>5213</v>
      </c>
      <c r="X850" t="s">
        <v>47</v>
      </c>
      <c r="AA850" t="s">
        <v>5214</v>
      </c>
      <c r="AB850" t="s">
        <v>177</v>
      </c>
      <c r="AC850" t="s">
        <v>5215</v>
      </c>
      <c r="AD850" t="b">
        <v>0</v>
      </c>
      <c r="AF850">
        <v>11</v>
      </c>
      <c r="AG850" t="s">
        <v>198</v>
      </c>
    </row>
    <row r="851" spans="1:33" x14ac:dyDescent="0.2">
      <c r="A851">
        <v>1277</v>
      </c>
      <c r="B851" t="s">
        <v>5216</v>
      </c>
      <c r="C851" t="s">
        <v>34</v>
      </c>
      <c r="D851" t="s">
        <v>35</v>
      </c>
      <c r="E851" t="s">
        <v>1793</v>
      </c>
      <c r="F851" t="s">
        <v>1794</v>
      </c>
      <c r="G851" t="s">
        <v>312</v>
      </c>
      <c r="H851" t="s">
        <v>313</v>
      </c>
      <c r="I851" t="s">
        <v>493</v>
      </c>
      <c r="J851" t="s">
        <v>409</v>
      </c>
      <c r="K851">
        <v>2000</v>
      </c>
      <c r="L851">
        <v>2000</v>
      </c>
      <c r="M851">
        <v>0.3</v>
      </c>
      <c r="N851">
        <v>1.2829999999999999</v>
      </c>
      <c r="R851" t="s">
        <v>84</v>
      </c>
      <c r="S851" t="s">
        <v>5217</v>
      </c>
      <c r="T851" t="b">
        <v>1</v>
      </c>
      <c r="U851" t="s">
        <v>754</v>
      </c>
      <c r="V851" t="s">
        <v>1796</v>
      </c>
      <c r="W851" t="s">
        <v>5218</v>
      </c>
      <c r="X851" t="s">
        <v>47</v>
      </c>
      <c r="AA851" t="s">
        <v>498</v>
      </c>
      <c r="AC851" t="s">
        <v>63</v>
      </c>
      <c r="AD851" t="b">
        <v>0</v>
      </c>
      <c r="AF851">
        <v>4</v>
      </c>
      <c r="AG851" t="s">
        <v>321</v>
      </c>
    </row>
    <row r="852" spans="1:33" x14ac:dyDescent="0.2">
      <c r="A852">
        <v>1926</v>
      </c>
      <c r="B852" t="s">
        <v>5219</v>
      </c>
      <c r="C852" t="s">
        <v>34</v>
      </c>
      <c r="D852" t="s">
        <v>35</v>
      </c>
      <c r="E852" t="s">
        <v>5220</v>
      </c>
      <c r="F852" t="s">
        <v>5221</v>
      </c>
      <c r="G852" t="s">
        <v>53</v>
      </c>
      <c r="H852" t="s">
        <v>54</v>
      </c>
      <c r="I852" t="s">
        <v>461</v>
      </c>
      <c r="J852" t="s">
        <v>462</v>
      </c>
      <c r="K852">
        <v>2020</v>
      </c>
      <c r="L852">
        <v>2020</v>
      </c>
      <c r="M852">
        <v>77</v>
      </c>
      <c r="N852">
        <v>200.792</v>
      </c>
      <c r="O852">
        <v>595</v>
      </c>
      <c r="P852">
        <v>14.6</v>
      </c>
      <c r="Q852">
        <v>1.4650000000000001</v>
      </c>
      <c r="R852" t="s">
        <v>57</v>
      </c>
      <c r="S852" t="s">
        <v>5222</v>
      </c>
      <c r="T852" t="b">
        <v>1</v>
      </c>
      <c r="U852" t="s">
        <v>5223</v>
      </c>
      <c r="V852" t="s">
        <v>5224</v>
      </c>
      <c r="W852" t="s">
        <v>5225</v>
      </c>
      <c r="X852" t="s">
        <v>47</v>
      </c>
      <c r="AA852" t="s">
        <v>5226</v>
      </c>
      <c r="AB852" t="s">
        <v>49</v>
      </c>
      <c r="AC852" t="s">
        <v>5227</v>
      </c>
      <c r="AD852" t="b">
        <v>0</v>
      </c>
      <c r="AF852">
        <v>7</v>
      </c>
      <c r="AG852" t="s">
        <v>469</v>
      </c>
    </row>
    <row r="853" spans="1:33" x14ac:dyDescent="0.2">
      <c r="A853">
        <v>241</v>
      </c>
      <c r="B853" t="s">
        <v>5228</v>
      </c>
      <c r="C853" t="s">
        <v>34</v>
      </c>
      <c r="D853" t="s">
        <v>35</v>
      </c>
      <c r="E853" t="s">
        <v>5229</v>
      </c>
      <c r="F853" t="s">
        <v>5230</v>
      </c>
      <c r="G853" t="s">
        <v>53</v>
      </c>
      <c r="H853" t="s">
        <v>54</v>
      </c>
      <c r="I853" t="s">
        <v>279</v>
      </c>
      <c r="J853" t="s">
        <v>280</v>
      </c>
      <c r="K853">
        <v>1932</v>
      </c>
      <c r="L853">
        <v>1994</v>
      </c>
      <c r="M853">
        <v>4.8</v>
      </c>
      <c r="N853">
        <v>23.44</v>
      </c>
      <c r="O853">
        <v>54</v>
      </c>
      <c r="P853">
        <v>10.02</v>
      </c>
      <c r="Q853">
        <v>0.13300000000000001</v>
      </c>
      <c r="R853" t="s">
        <v>57</v>
      </c>
      <c r="S853" t="s">
        <v>5231</v>
      </c>
      <c r="T853" t="b">
        <v>1</v>
      </c>
      <c r="U853" t="s">
        <v>5232</v>
      </c>
      <c r="V853" t="s">
        <v>5233</v>
      </c>
      <c r="W853" t="s">
        <v>5234</v>
      </c>
      <c r="X853" t="s">
        <v>47</v>
      </c>
      <c r="AA853" t="s">
        <v>4600</v>
      </c>
      <c r="AB853" t="s">
        <v>49</v>
      </c>
      <c r="AC853" t="s">
        <v>4601</v>
      </c>
      <c r="AD853" t="b">
        <v>0</v>
      </c>
      <c r="AF853">
        <v>2</v>
      </c>
      <c r="AG853" t="s">
        <v>287</v>
      </c>
    </row>
    <row r="854" spans="1:33" x14ac:dyDescent="0.2">
      <c r="A854">
        <v>1027</v>
      </c>
      <c r="B854" t="s">
        <v>5235</v>
      </c>
      <c r="C854" t="s">
        <v>34</v>
      </c>
      <c r="D854" t="s">
        <v>35</v>
      </c>
      <c r="E854" t="s">
        <v>5236</v>
      </c>
      <c r="F854" t="s">
        <v>5237</v>
      </c>
      <c r="G854" t="s">
        <v>242</v>
      </c>
      <c r="H854" t="s">
        <v>243</v>
      </c>
      <c r="I854" t="s">
        <v>2625</v>
      </c>
      <c r="J854" t="s">
        <v>2626</v>
      </c>
      <c r="K854">
        <v>1915</v>
      </c>
      <c r="L854">
        <v>1915</v>
      </c>
      <c r="M854">
        <v>0.94499999999999995</v>
      </c>
      <c r="N854">
        <v>3.1139999999999999</v>
      </c>
      <c r="R854" t="s">
        <v>72</v>
      </c>
      <c r="S854" t="s">
        <v>5238</v>
      </c>
      <c r="T854" t="b">
        <v>1</v>
      </c>
      <c r="U854" t="s">
        <v>5239</v>
      </c>
      <c r="V854" t="s">
        <v>5240</v>
      </c>
      <c r="W854" t="s">
        <v>113</v>
      </c>
      <c r="X854" t="s">
        <v>47</v>
      </c>
      <c r="AA854" t="s">
        <v>1017</v>
      </c>
      <c r="AC854" t="s">
        <v>1018</v>
      </c>
      <c r="AD854" t="b">
        <v>0</v>
      </c>
      <c r="AF854">
        <v>8</v>
      </c>
      <c r="AG854" t="s">
        <v>78</v>
      </c>
    </row>
    <row r="855" spans="1:33" x14ac:dyDescent="0.2">
      <c r="A855">
        <v>242</v>
      </c>
      <c r="B855" t="s">
        <v>5241</v>
      </c>
      <c r="C855" t="s">
        <v>34</v>
      </c>
      <c r="D855" t="s">
        <v>35</v>
      </c>
      <c r="E855" t="s">
        <v>36</v>
      </c>
      <c r="F855" t="s">
        <v>37</v>
      </c>
      <c r="G855" t="s">
        <v>53</v>
      </c>
      <c r="H855" t="s">
        <v>54</v>
      </c>
      <c r="I855" t="s">
        <v>532</v>
      </c>
      <c r="J855" t="s">
        <v>533</v>
      </c>
      <c r="K855">
        <v>1978</v>
      </c>
      <c r="L855">
        <v>1978</v>
      </c>
      <c r="M855">
        <v>125</v>
      </c>
      <c r="N855">
        <v>498.40300000000002</v>
      </c>
      <c r="O855">
        <v>454</v>
      </c>
      <c r="P855">
        <v>31</v>
      </c>
      <c r="Q855">
        <v>1.0669999999999999</v>
      </c>
      <c r="R855" t="s">
        <v>57</v>
      </c>
      <c r="S855" t="s">
        <v>5242</v>
      </c>
      <c r="T855" t="b">
        <v>1</v>
      </c>
      <c r="U855" t="s">
        <v>5243</v>
      </c>
      <c r="V855" t="s">
        <v>45</v>
      </c>
      <c r="W855" t="s">
        <v>5244</v>
      </c>
      <c r="X855" t="s">
        <v>47</v>
      </c>
      <c r="AA855" t="s">
        <v>2689</v>
      </c>
      <c r="AB855" t="s">
        <v>192</v>
      </c>
      <c r="AC855" t="s">
        <v>2690</v>
      </c>
      <c r="AD855" t="b">
        <v>0</v>
      </c>
      <c r="AF855">
        <v>7</v>
      </c>
      <c r="AG855" t="s">
        <v>469</v>
      </c>
    </row>
    <row r="856" spans="1:33" x14ac:dyDescent="0.2">
      <c r="A856">
        <v>1724</v>
      </c>
      <c r="B856" t="s">
        <v>5245</v>
      </c>
      <c r="C856" t="s">
        <v>34</v>
      </c>
      <c r="D856" t="s">
        <v>35</v>
      </c>
      <c r="E856" t="s">
        <v>168</v>
      </c>
      <c r="F856" t="s">
        <v>169</v>
      </c>
      <c r="G856" t="s">
        <v>134</v>
      </c>
      <c r="H856" t="s">
        <v>135</v>
      </c>
      <c r="I856" t="s">
        <v>641</v>
      </c>
      <c r="J856" t="s">
        <v>109</v>
      </c>
      <c r="K856">
        <v>2013</v>
      </c>
      <c r="L856">
        <v>2013</v>
      </c>
      <c r="M856">
        <v>4.59</v>
      </c>
      <c r="N856">
        <v>11.534000000000001</v>
      </c>
      <c r="O856">
        <v>254</v>
      </c>
      <c r="P856">
        <v>2.1</v>
      </c>
      <c r="Q856">
        <v>0.60699999999999998</v>
      </c>
      <c r="R856" t="s">
        <v>42</v>
      </c>
      <c r="S856" t="s">
        <v>642</v>
      </c>
      <c r="T856" t="b">
        <v>1</v>
      </c>
      <c r="U856" t="s">
        <v>5246</v>
      </c>
      <c r="V856" t="s">
        <v>174</v>
      </c>
      <c r="W856" t="s">
        <v>5247</v>
      </c>
      <c r="X856" t="s">
        <v>47</v>
      </c>
      <c r="AA856" t="s">
        <v>645</v>
      </c>
      <c r="AB856" t="s">
        <v>56</v>
      </c>
      <c r="AC856" t="s">
        <v>3212</v>
      </c>
      <c r="AD856" t="b">
        <v>0</v>
      </c>
      <c r="AF856">
        <v>10</v>
      </c>
      <c r="AG856" t="s">
        <v>143</v>
      </c>
    </row>
    <row r="857" spans="1:33" x14ac:dyDescent="0.2">
      <c r="A857">
        <v>1408</v>
      </c>
      <c r="B857" t="s">
        <v>5248</v>
      </c>
      <c r="C857" t="s">
        <v>34</v>
      </c>
      <c r="D857" t="s">
        <v>35</v>
      </c>
      <c r="E857" t="s">
        <v>36</v>
      </c>
      <c r="F857" t="s">
        <v>37</v>
      </c>
      <c r="G857" t="s">
        <v>242</v>
      </c>
      <c r="H857" t="s">
        <v>243</v>
      </c>
      <c r="I857" t="s">
        <v>978</v>
      </c>
      <c r="J857" t="s">
        <v>49</v>
      </c>
      <c r="K857">
        <v>2008</v>
      </c>
      <c r="L857">
        <v>2008</v>
      </c>
      <c r="M857">
        <v>45</v>
      </c>
      <c r="N857">
        <v>184.018</v>
      </c>
      <c r="O857">
        <v>61</v>
      </c>
      <c r="P857">
        <v>85</v>
      </c>
      <c r="Q857">
        <v>0.151</v>
      </c>
      <c r="R857" t="s">
        <v>72</v>
      </c>
      <c r="S857" t="s">
        <v>5249</v>
      </c>
      <c r="T857" t="b">
        <v>1</v>
      </c>
      <c r="U857" t="s">
        <v>5250</v>
      </c>
      <c r="V857" t="s">
        <v>45</v>
      </c>
      <c r="W857" t="s">
        <v>5251</v>
      </c>
      <c r="X857" t="s">
        <v>47</v>
      </c>
      <c r="AA857" t="s">
        <v>982</v>
      </c>
      <c r="AB857" t="s">
        <v>836</v>
      </c>
      <c r="AC857" t="s">
        <v>983</v>
      </c>
      <c r="AD857" t="b">
        <v>0</v>
      </c>
      <c r="AF857">
        <v>9</v>
      </c>
      <c r="AG857" t="s">
        <v>251</v>
      </c>
    </row>
    <row r="858" spans="1:33" x14ac:dyDescent="0.2">
      <c r="A858">
        <v>1647</v>
      </c>
      <c r="B858" t="s">
        <v>5252</v>
      </c>
      <c r="C858" t="s">
        <v>34</v>
      </c>
      <c r="D858" t="s">
        <v>35</v>
      </c>
      <c r="E858" t="s">
        <v>36</v>
      </c>
      <c r="F858" t="s">
        <v>37</v>
      </c>
      <c r="G858" t="s">
        <v>53</v>
      </c>
      <c r="H858" t="s">
        <v>54</v>
      </c>
      <c r="I858" t="s">
        <v>1663</v>
      </c>
      <c r="J858" t="s">
        <v>973</v>
      </c>
      <c r="K858">
        <v>2011</v>
      </c>
      <c r="L858">
        <v>2011</v>
      </c>
      <c r="M858">
        <v>5</v>
      </c>
      <c r="N858">
        <v>8.1050000000000004</v>
      </c>
      <c r="O858">
        <v>80</v>
      </c>
      <c r="P858">
        <v>7</v>
      </c>
      <c r="Q858">
        <v>0.19800000000000001</v>
      </c>
      <c r="R858" t="s">
        <v>57</v>
      </c>
      <c r="S858" t="s">
        <v>5253</v>
      </c>
      <c r="T858" t="b">
        <v>1</v>
      </c>
      <c r="U858" t="s">
        <v>5254</v>
      </c>
      <c r="V858" t="s">
        <v>2863</v>
      </c>
      <c r="W858" t="s">
        <v>5255</v>
      </c>
      <c r="X858" t="s">
        <v>47</v>
      </c>
      <c r="AA858" t="s">
        <v>1667</v>
      </c>
      <c r="AB858" t="s">
        <v>308</v>
      </c>
      <c r="AC858" t="s">
        <v>1668</v>
      </c>
      <c r="AD858" t="b">
        <v>0</v>
      </c>
      <c r="AF858">
        <v>2</v>
      </c>
      <c r="AG858" t="s">
        <v>287</v>
      </c>
    </row>
    <row r="859" spans="1:33" x14ac:dyDescent="0.2">
      <c r="A859">
        <v>1092</v>
      </c>
      <c r="B859" t="s">
        <v>5256</v>
      </c>
      <c r="C859" t="s">
        <v>34</v>
      </c>
      <c r="D859" t="s">
        <v>35</v>
      </c>
      <c r="E859" t="s">
        <v>3469</v>
      </c>
      <c r="F859" t="s">
        <v>3470</v>
      </c>
      <c r="G859" t="s">
        <v>134</v>
      </c>
      <c r="H859" t="s">
        <v>135</v>
      </c>
      <c r="I859" t="s">
        <v>4740</v>
      </c>
      <c r="J859" t="s">
        <v>4741</v>
      </c>
      <c r="K859">
        <v>1975</v>
      </c>
      <c r="L859">
        <v>1975</v>
      </c>
      <c r="M859">
        <v>0.45</v>
      </c>
      <c r="N859">
        <v>1.744</v>
      </c>
      <c r="R859" t="s">
        <v>42</v>
      </c>
      <c r="S859" t="s">
        <v>5257</v>
      </c>
      <c r="T859" t="b">
        <v>1</v>
      </c>
      <c r="U859" t="s">
        <v>3070</v>
      </c>
      <c r="V859" t="s">
        <v>3473</v>
      </c>
      <c r="W859" t="s">
        <v>113</v>
      </c>
      <c r="X859" t="s">
        <v>47</v>
      </c>
      <c r="AA859" t="s">
        <v>4744</v>
      </c>
      <c r="AC859" t="s">
        <v>4745</v>
      </c>
      <c r="AD859" t="b">
        <v>0</v>
      </c>
      <c r="AF859">
        <v>11</v>
      </c>
      <c r="AG859" t="s">
        <v>198</v>
      </c>
    </row>
    <row r="860" spans="1:33" x14ac:dyDescent="0.2">
      <c r="A860">
        <v>1853</v>
      </c>
      <c r="B860" t="s">
        <v>5258</v>
      </c>
      <c r="C860" t="s">
        <v>34</v>
      </c>
      <c r="D860" t="s">
        <v>35</v>
      </c>
      <c r="E860" t="s">
        <v>132</v>
      </c>
      <c r="F860" t="s">
        <v>133</v>
      </c>
      <c r="G860" t="s">
        <v>134</v>
      </c>
      <c r="H860" t="s">
        <v>135</v>
      </c>
      <c r="I860" t="s">
        <v>764</v>
      </c>
      <c r="J860" t="s">
        <v>765</v>
      </c>
      <c r="K860">
        <v>2017</v>
      </c>
      <c r="L860">
        <v>2017</v>
      </c>
      <c r="M860">
        <v>5.5</v>
      </c>
      <c r="N860">
        <v>24.777000000000001</v>
      </c>
      <c r="O860">
        <v>332.11</v>
      </c>
      <c r="P860">
        <v>1.9</v>
      </c>
      <c r="Q860">
        <v>0.80400000000000005</v>
      </c>
      <c r="R860" t="s">
        <v>42</v>
      </c>
      <c r="S860" t="s">
        <v>5259</v>
      </c>
      <c r="T860" t="b">
        <v>1</v>
      </c>
      <c r="U860" t="s">
        <v>5260</v>
      </c>
      <c r="V860" t="s">
        <v>139</v>
      </c>
      <c r="W860" t="s">
        <v>5261</v>
      </c>
      <c r="X860" t="s">
        <v>47</v>
      </c>
      <c r="AA860" t="s">
        <v>5258</v>
      </c>
      <c r="AB860" t="s">
        <v>49</v>
      </c>
      <c r="AC860" t="s">
        <v>5262</v>
      </c>
      <c r="AD860" t="b">
        <v>0</v>
      </c>
      <c r="AF860">
        <v>10</v>
      </c>
      <c r="AG860" t="s">
        <v>143</v>
      </c>
    </row>
    <row r="861" spans="1:33" x14ac:dyDescent="0.2">
      <c r="A861">
        <v>1834</v>
      </c>
      <c r="B861" t="s">
        <v>5263</v>
      </c>
      <c r="C861" t="s">
        <v>34</v>
      </c>
      <c r="D861" t="s">
        <v>35</v>
      </c>
      <c r="E861" t="s">
        <v>728</v>
      </c>
      <c r="F861" t="s">
        <v>729</v>
      </c>
      <c r="G861" t="s">
        <v>53</v>
      </c>
      <c r="H861" t="s">
        <v>54</v>
      </c>
      <c r="I861" t="s">
        <v>362</v>
      </c>
      <c r="J861" t="s">
        <v>256</v>
      </c>
      <c r="K861">
        <v>2016</v>
      </c>
      <c r="L861">
        <v>2016</v>
      </c>
      <c r="M861">
        <v>3.8</v>
      </c>
      <c r="N861">
        <v>13.867000000000001</v>
      </c>
      <c r="O861">
        <v>253.7</v>
      </c>
      <c r="P861">
        <v>1.8</v>
      </c>
      <c r="Q861">
        <v>0.58599999999999997</v>
      </c>
      <c r="R861" t="s">
        <v>72</v>
      </c>
      <c r="S861" t="s">
        <v>5264</v>
      </c>
      <c r="T861" t="b">
        <v>1</v>
      </c>
      <c r="U861" t="s">
        <v>5265</v>
      </c>
      <c r="V861" t="s">
        <v>2923</v>
      </c>
      <c r="W861" t="s">
        <v>5266</v>
      </c>
      <c r="X861" t="s">
        <v>47</v>
      </c>
      <c r="AA861" t="s">
        <v>2925</v>
      </c>
      <c r="AB861" t="s">
        <v>308</v>
      </c>
      <c r="AC861" t="s">
        <v>2926</v>
      </c>
      <c r="AD861" t="b">
        <v>0</v>
      </c>
      <c r="AF861">
        <v>13</v>
      </c>
      <c r="AG861" t="s">
        <v>155</v>
      </c>
    </row>
    <row r="862" spans="1:33" x14ac:dyDescent="0.2">
      <c r="A862">
        <v>630</v>
      </c>
      <c r="B862" t="s">
        <v>5267</v>
      </c>
      <c r="C862" t="s">
        <v>34</v>
      </c>
      <c r="D862" t="s">
        <v>35</v>
      </c>
      <c r="E862" t="s">
        <v>168</v>
      </c>
      <c r="F862" t="s">
        <v>169</v>
      </c>
      <c r="G862" t="s">
        <v>916</v>
      </c>
      <c r="H862" t="s">
        <v>567</v>
      </c>
      <c r="I862" t="s">
        <v>2112</v>
      </c>
      <c r="J862" t="s">
        <v>135</v>
      </c>
      <c r="K862">
        <v>1992</v>
      </c>
      <c r="L862">
        <v>1992</v>
      </c>
      <c r="M862">
        <v>1.5</v>
      </c>
      <c r="N862">
        <v>3.3490000000000002</v>
      </c>
      <c r="O862">
        <v>31.39</v>
      </c>
      <c r="P862">
        <v>5.48</v>
      </c>
      <c r="Q862">
        <v>7.0999999999999994E-2</v>
      </c>
      <c r="R862" t="s">
        <v>97</v>
      </c>
      <c r="S862" t="s">
        <v>5268</v>
      </c>
      <c r="T862" t="b">
        <v>1</v>
      </c>
      <c r="U862" t="s">
        <v>5269</v>
      </c>
      <c r="V862" t="s">
        <v>174</v>
      </c>
      <c r="W862" t="s">
        <v>5270</v>
      </c>
      <c r="X862" t="s">
        <v>47</v>
      </c>
      <c r="AA862" t="s">
        <v>340</v>
      </c>
      <c r="AB862" t="s">
        <v>83</v>
      </c>
      <c r="AC862" t="s">
        <v>341</v>
      </c>
      <c r="AD862" t="b">
        <v>0</v>
      </c>
      <c r="AF862">
        <v>1</v>
      </c>
      <c r="AG862" t="s">
        <v>104</v>
      </c>
    </row>
    <row r="863" spans="1:33" x14ac:dyDescent="0.2">
      <c r="A863">
        <v>1007</v>
      </c>
      <c r="B863" t="s">
        <v>5271</v>
      </c>
      <c r="C863" t="s">
        <v>34</v>
      </c>
      <c r="D863" t="s">
        <v>35</v>
      </c>
      <c r="G863" t="s">
        <v>93</v>
      </c>
      <c r="H863" t="s">
        <v>94</v>
      </c>
      <c r="I863" t="s">
        <v>4970</v>
      </c>
      <c r="J863" t="s">
        <v>109</v>
      </c>
      <c r="K863">
        <v>1942</v>
      </c>
      <c r="L863">
        <v>1942</v>
      </c>
      <c r="M863">
        <v>8.5000000000000006E-3</v>
      </c>
      <c r="N863">
        <v>3.7999999999999999E-2</v>
      </c>
      <c r="O863">
        <v>4</v>
      </c>
      <c r="R863" t="s">
        <v>72</v>
      </c>
      <c r="S863" t="s">
        <v>5272</v>
      </c>
      <c r="T863" t="b">
        <v>1</v>
      </c>
      <c r="U863" t="s">
        <v>5273</v>
      </c>
      <c r="V863" t="s">
        <v>274</v>
      </c>
      <c r="W863" t="s">
        <v>113</v>
      </c>
      <c r="X863" t="s">
        <v>47</v>
      </c>
      <c r="AA863" t="s">
        <v>340</v>
      </c>
      <c r="AC863" t="s">
        <v>1063</v>
      </c>
      <c r="AD863" t="b">
        <v>0</v>
      </c>
      <c r="AF863">
        <v>8</v>
      </c>
      <c r="AG863" t="s">
        <v>78</v>
      </c>
    </row>
    <row r="864" spans="1:33" x14ac:dyDescent="0.2">
      <c r="A864">
        <v>1844</v>
      </c>
      <c r="B864" t="s">
        <v>5274</v>
      </c>
      <c r="C864" t="s">
        <v>34</v>
      </c>
      <c r="D864" t="s">
        <v>35</v>
      </c>
      <c r="E864" t="s">
        <v>168</v>
      </c>
      <c r="F864" t="s">
        <v>169</v>
      </c>
      <c r="G864" t="s">
        <v>93</v>
      </c>
      <c r="H864" t="s">
        <v>94</v>
      </c>
      <c r="I864" t="s">
        <v>353</v>
      </c>
      <c r="J864" t="s">
        <v>354</v>
      </c>
      <c r="K864">
        <v>2016</v>
      </c>
      <c r="L864">
        <v>2016</v>
      </c>
      <c r="M864">
        <v>1.5</v>
      </c>
      <c r="N864">
        <v>3.2429999999999999</v>
      </c>
      <c r="O864">
        <v>263.06</v>
      </c>
      <c r="P864">
        <v>0.7</v>
      </c>
      <c r="Q864">
        <v>0.59499999999999997</v>
      </c>
      <c r="R864" t="s">
        <v>97</v>
      </c>
      <c r="S864" t="s">
        <v>5275</v>
      </c>
      <c r="T864" t="b">
        <v>1</v>
      </c>
      <c r="U864" t="s">
        <v>5276</v>
      </c>
      <c r="V864" t="s">
        <v>174</v>
      </c>
      <c r="W864" t="s">
        <v>5277</v>
      </c>
      <c r="X864" t="s">
        <v>47</v>
      </c>
      <c r="AA864" t="s">
        <v>102</v>
      </c>
      <c r="AC864" t="s">
        <v>103</v>
      </c>
      <c r="AD864" t="b">
        <v>0</v>
      </c>
      <c r="AF864">
        <v>1</v>
      </c>
      <c r="AG864" t="s">
        <v>104</v>
      </c>
    </row>
    <row r="865" spans="1:33" x14ac:dyDescent="0.2">
      <c r="A865">
        <v>243</v>
      </c>
      <c r="B865" t="s">
        <v>5278</v>
      </c>
      <c r="C865" t="s">
        <v>34</v>
      </c>
      <c r="D865" t="s">
        <v>35</v>
      </c>
      <c r="E865" t="s">
        <v>5279</v>
      </c>
      <c r="F865" t="s">
        <v>5280</v>
      </c>
      <c r="G865" t="s">
        <v>242</v>
      </c>
      <c r="H865" t="s">
        <v>243</v>
      </c>
      <c r="I865" t="s">
        <v>5281</v>
      </c>
      <c r="J865" t="s">
        <v>215</v>
      </c>
      <c r="K865">
        <v>1949</v>
      </c>
      <c r="L865">
        <v>1949</v>
      </c>
      <c r="M865">
        <v>2.9</v>
      </c>
      <c r="N865">
        <v>17.602</v>
      </c>
      <c r="O865">
        <v>45.59</v>
      </c>
      <c r="P865">
        <v>8.8000000000000007</v>
      </c>
      <c r="Q865">
        <v>9.1499999999999998E-2</v>
      </c>
      <c r="R865" t="s">
        <v>72</v>
      </c>
      <c r="S865" t="s">
        <v>5282</v>
      </c>
      <c r="T865" t="b">
        <v>1</v>
      </c>
      <c r="U865" t="s">
        <v>1869</v>
      </c>
      <c r="V865" t="s">
        <v>5283</v>
      </c>
      <c r="W865" t="s">
        <v>113</v>
      </c>
      <c r="X865" t="s">
        <v>47</v>
      </c>
      <c r="AA865" t="s">
        <v>5284</v>
      </c>
      <c r="AB865" t="s">
        <v>308</v>
      </c>
      <c r="AC865" t="s">
        <v>5285</v>
      </c>
      <c r="AD865" t="b">
        <v>0</v>
      </c>
      <c r="AF865">
        <v>9</v>
      </c>
      <c r="AG865" t="s">
        <v>251</v>
      </c>
    </row>
    <row r="866" spans="1:33" x14ac:dyDescent="0.2">
      <c r="A866">
        <v>1749</v>
      </c>
      <c r="B866" t="s">
        <v>5286</v>
      </c>
      <c r="C866" t="s">
        <v>34</v>
      </c>
      <c r="D866" t="s">
        <v>35</v>
      </c>
      <c r="E866" t="s">
        <v>818</v>
      </c>
      <c r="F866" t="s">
        <v>819</v>
      </c>
      <c r="G866" t="s">
        <v>53</v>
      </c>
      <c r="H866" t="s">
        <v>54</v>
      </c>
      <c r="I866" t="s">
        <v>118</v>
      </c>
      <c r="J866" t="s">
        <v>119</v>
      </c>
      <c r="K866">
        <v>2013</v>
      </c>
      <c r="L866">
        <v>2013</v>
      </c>
      <c r="M866">
        <v>1.9</v>
      </c>
      <c r="N866">
        <v>4.3760000000000003</v>
      </c>
      <c r="O866">
        <v>430.5</v>
      </c>
      <c r="P866">
        <v>0.5</v>
      </c>
      <c r="Q866">
        <v>1.056</v>
      </c>
      <c r="R866" t="s">
        <v>84</v>
      </c>
      <c r="S866" t="s">
        <v>5287</v>
      </c>
      <c r="T866" t="b">
        <v>1</v>
      </c>
      <c r="U866" t="s">
        <v>5288</v>
      </c>
      <c r="V866" t="s">
        <v>822</v>
      </c>
      <c r="W866" t="s">
        <v>5289</v>
      </c>
      <c r="X866" t="s">
        <v>47</v>
      </c>
      <c r="AA866" t="s">
        <v>5286</v>
      </c>
      <c r="AB866" t="s">
        <v>49</v>
      </c>
      <c r="AC866" t="s">
        <v>5290</v>
      </c>
      <c r="AD866" t="b">
        <v>0</v>
      </c>
      <c r="AF866">
        <v>5</v>
      </c>
      <c r="AG866" t="s">
        <v>89</v>
      </c>
    </row>
    <row r="867" spans="1:33" x14ac:dyDescent="0.2">
      <c r="A867">
        <v>244</v>
      </c>
      <c r="B867" t="s">
        <v>5291</v>
      </c>
      <c r="C867" t="s">
        <v>34</v>
      </c>
      <c r="D867" t="s">
        <v>35</v>
      </c>
      <c r="E867" t="s">
        <v>5279</v>
      </c>
      <c r="F867" t="s">
        <v>5280</v>
      </c>
      <c r="G867" t="s">
        <v>242</v>
      </c>
      <c r="H867" t="s">
        <v>243</v>
      </c>
      <c r="I867" t="s">
        <v>5281</v>
      </c>
      <c r="J867" t="s">
        <v>215</v>
      </c>
      <c r="K867">
        <v>1962</v>
      </c>
      <c r="L867">
        <v>1962</v>
      </c>
      <c r="M867">
        <v>1.8</v>
      </c>
      <c r="N867">
        <v>11.82</v>
      </c>
      <c r="O867">
        <v>56.09</v>
      </c>
      <c r="P867">
        <v>5.01</v>
      </c>
      <c r="Q867">
        <v>9.98E-2</v>
      </c>
      <c r="R867" t="s">
        <v>72</v>
      </c>
      <c r="S867" t="s">
        <v>5292</v>
      </c>
      <c r="T867" t="b">
        <v>1</v>
      </c>
      <c r="U867" t="s">
        <v>2173</v>
      </c>
      <c r="V867" t="s">
        <v>5283</v>
      </c>
      <c r="W867" t="s">
        <v>5293</v>
      </c>
      <c r="X867" t="s">
        <v>47</v>
      </c>
      <c r="AA867" t="s">
        <v>5284</v>
      </c>
      <c r="AB867" t="s">
        <v>401</v>
      </c>
      <c r="AC867" t="s">
        <v>5285</v>
      </c>
      <c r="AD867" t="b">
        <v>0</v>
      </c>
      <c r="AF867">
        <v>9</v>
      </c>
      <c r="AG867" t="s">
        <v>251</v>
      </c>
    </row>
    <row r="868" spans="1:33" x14ac:dyDescent="0.2">
      <c r="A868">
        <v>2156</v>
      </c>
      <c r="B868" t="s">
        <v>5291</v>
      </c>
      <c r="C868" t="s">
        <v>34</v>
      </c>
      <c r="D868" t="s">
        <v>35</v>
      </c>
      <c r="E868" t="s">
        <v>1647</v>
      </c>
      <c r="F868" t="s">
        <v>1648</v>
      </c>
      <c r="G868" t="s">
        <v>213</v>
      </c>
      <c r="H868" t="s">
        <v>83</v>
      </c>
      <c r="I868" t="s">
        <v>1786</v>
      </c>
      <c r="J868" t="s">
        <v>49</v>
      </c>
      <c r="K868">
        <v>2024</v>
      </c>
      <c r="L868">
        <v>2024</v>
      </c>
      <c r="M868">
        <v>0.5</v>
      </c>
      <c r="N868">
        <v>2</v>
      </c>
      <c r="O868">
        <v>15</v>
      </c>
      <c r="P868">
        <v>4</v>
      </c>
      <c r="Q868">
        <v>3.5000000000000003E-2</v>
      </c>
      <c r="R868" t="s">
        <v>84</v>
      </c>
      <c r="S868" t="s">
        <v>5294</v>
      </c>
      <c r="T868" t="b">
        <v>1</v>
      </c>
      <c r="U868" t="s">
        <v>5295</v>
      </c>
      <c r="V868" t="s">
        <v>1651</v>
      </c>
      <c r="W868" t="s">
        <v>5296</v>
      </c>
      <c r="X868" t="s">
        <v>47</v>
      </c>
      <c r="AA868" t="s">
        <v>3046</v>
      </c>
      <c r="AB868" t="s">
        <v>308</v>
      </c>
      <c r="AC868" t="s">
        <v>3047</v>
      </c>
      <c r="AD868" t="b">
        <v>0</v>
      </c>
      <c r="AF868">
        <v>4</v>
      </c>
      <c r="AG868" t="s">
        <v>321</v>
      </c>
    </row>
    <row r="869" spans="1:33" x14ac:dyDescent="0.2">
      <c r="A869">
        <v>1912</v>
      </c>
      <c r="B869" t="s">
        <v>5297</v>
      </c>
      <c r="C869" t="s">
        <v>34</v>
      </c>
      <c r="D869" t="s">
        <v>35</v>
      </c>
      <c r="E869" t="s">
        <v>459</v>
      </c>
      <c r="F869" t="s">
        <v>460</v>
      </c>
      <c r="G869" t="s">
        <v>53</v>
      </c>
      <c r="H869" t="s">
        <v>54</v>
      </c>
      <c r="I869" t="s">
        <v>461</v>
      </c>
      <c r="J869" t="s">
        <v>462</v>
      </c>
      <c r="K869">
        <v>2017</v>
      </c>
      <c r="L869">
        <v>2017</v>
      </c>
      <c r="M869">
        <v>7.82</v>
      </c>
      <c r="N869">
        <v>8.8819999999999997</v>
      </c>
      <c r="O869">
        <v>636.9</v>
      </c>
      <c r="P869">
        <v>1.5</v>
      </c>
      <c r="Q869">
        <v>1.448</v>
      </c>
      <c r="R869" t="s">
        <v>57</v>
      </c>
      <c r="S869" t="s">
        <v>5298</v>
      </c>
      <c r="T869" t="b">
        <v>1</v>
      </c>
      <c r="U869" t="s">
        <v>5299</v>
      </c>
      <c r="V869" t="s">
        <v>465</v>
      </c>
      <c r="W869" t="s">
        <v>5300</v>
      </c>
      <c r="X869" t="s">
        <v>47</v>
      </c>
      <c r="AA869" t="s">
        <v>5301</v>
      </c>
      <c r="AB869" t="s">
        <v>49</v>
      </c>
      <c r="AC869" t="s">
        <v>5302</v>
      </c>
      <c r="AD869" t="b">
        <v>0</v>
      </c>
      <c r="AF869">
        <v>7</v>
      </c>
      <c r="AG869" t="s">
        <v>469</v>
      </c>
    </row>
    <row r="870" spans="1:33" x14ac:dyDescent="0.2">
      <c r="A870">
        <v>1709</v>
      </c>
      <c r="B870" t="s">
        <v>5303</v>
      </c>
      <c r="C870" t="s">
        <v>34</v>
      </c>
      <c r="D870" t="s">
        <v>35</v>
      </c>
      <c r="E870" t="s">
        <v>5304</v>
      </c>
      <c r="F870" t="s">
        <v>5305</v>
      </c>
      <c r="G870" t="s">
        <v>224</v>
      </c>
      <c r="H870" t="s">
        <v>225</v>
      </c>
      <c r="I870" t="s">
        <v>3124</v>
      </c>
      <c r="J870" t="s">
        <v>71</v>
      </c>
      <c r="K870">
        <v>2012</v>
      </c>
      <c r="L870">
        <v>2012</v>
      </c>
      <c r="M870">
        <v>1.1499999999999999</v>
      </c>
      <c r="N870">
        <v>3.0030000000000001</v>
      </c>
      <c r="O870">
        <v>186</v>
      </c>
      <c r="P870">
        <v>0.77</v>
      </c>
      <c r="Q870">
        <v>0.41499999999999998</v>
      </c>
      <c r="R870" t="s">
        <v>57</v>
      </c>
      <c r="S870" t="s">
        <v>5306</v>
      </c>
      <c r="T870" t="b">
        <v>1</v>
      </c>
      <c r="U870" t="s">
        <v>5307</v>
      </c>
      <c r="V870" t="s">
        <v>5308</v>
      </c>
      <c r="W870" t="s">
        <v>5309</v>
      </c>
      <c r="X870" t="s">
        <v>47</v>
      </c>
      <c r="AA870" t="s">
        <v>102</v>
      </c>
      <c r="AB870" t="s">
        <v>3398</v>
      </c>
      <c r="AC870" t="s">
        <v>103</v>
      </c>
      <c r="AD870" t="b">
        <v>0</v>
      </c>
      <c r="AF870">
        <v>2</v>
      </c>
      <c r="AG870" t="s">
        <v>287</v>
      </c>
    </row>
    <row r="871" spans="1:33" x14ac:dyDescent="0.2">
      <c r="A871">
        <v>2008</v>
      </c>
      <c r="B871" t="s">
        <v>5310</v>
      </c>
      <c r="C871" t="s">
        <v>34</v>
      </c>
      <c r="D871" t="s">
        <v>35</v>
      </c>
      <c r="E871" t="s">
        <v>1047</v>
      </c>
      <c r="F871" t="s">
        <v>1048</v>
      </c>
      <c r="G871" t="s">
        <v>312</v>
      </c>
      <c r="H871" t="s">
        <v>313</v>
      </c>
      <c r="I871" t="s">
        <v>1049</v>
      </c>
      <c r="J871" t="s">
        <v>171</v>
      </c>
      <c r="K871">
        <v>2020</v>
      </c>
      <c r="L871">
        <v>2020</v>
      </c>
      <c r="M871">
        <v>1.42</v>
      </c>
      <c r="N871">
        <v>5.2240000000000002</v>
      </c>
      <c r="O871">
        <v>31</v>
      </c>
      <c r="P871">
        <v>6.2</v>
      </c>
      <c r="Q871">
        <v>6.4000000000000001E-2</v>
      </c>
      <c r="R871" t="s">
        <v>84</v>
      </c>
      <c r="S871" t="s">
        <v>5311</v>
      </c>
      <c r="T871" t="b">
        <v>1</v>
      </c>
      <c r="U871" t="s">
        <v>5312</v>
      </c>
      <c r="V871" t="s">
        <v>3609</v>
      </c>
      <c r="W871" t="s">
        <v>5313</v>
      </c>
      <c r="X871" t="s">
        <v>47</v>
      </c>
      <c r="AA871" t="s">
        <v>615</v>
      </c>
      <c r="AB871" t="s">
        <v>765</v>
      </c>
      <c r="AC871" t="s">
        <v>616</v>
      </c>
      <c r="AD871" t="b">
        <v>0</v>
      </c>
      <c r="AF871">
        <v>4</v>
      </c>
      <c r="AG871" t="s">
        <v>321</v>
      </c>
    </row>
    <row r="872" spans="1:33" x14ac:dyDescent="0.2">
      <c r="A872">
        <v>1887</v>
      </c>
      <c r="B872" t="s">
        <v>5314</v>
      </c>
      <c r="C872" t="s">
        <v>574</v>
      </c>
      <c r="D872" t="s">
        <v>575</v>
      </c>
      <c r="E872" t="s">
        <v>36</v>
      </c>
      <c r="F872" t="s">
        <v>37</v>
      </c>
      <c r="G872" t="s">
        <v>38</v>
      </c>
      <c r="H872" t="s">
        <v>39</v>
      </c>
      <c r="I872" t="s">
        <v>40</v>
      </c>
      <c r="J872" t="s">
        <v>41</v>
      </c>
      <c r="K872">
        <v>2016</v>
      </c>
      <c r="L872">
        <v>2016</v>
      </c>
      <c r="M872">
        <v>-0.68</v>
      </c>
      <c r="N872">
        <v>-1.5469999999999999</v>
      </c>
      <c r="O872">
        <v>-34.049999999999997</v>
      </c>
      <c r="P872">
        <v>1.4</v>
      </c>
      <c r="R872" t="s">
        <v>42</v>
      </c>
      <c r="S872" t="s">
        <v>5315</v>
      </c>
      <c r="T872" t="b">
        <v>1</v>
      </c>
      <c r="U872" t="s">
        <v>5316</v>
      </c>
      <c r="V872" t="s">
        <v>45</v>
      </c>
      <c r="W872" t="s">
        <v>5317</v>
      </c>
      <c r="X872" t="s">
        <v>47</v>
      </c>
      <c r="AA872" t="s">
        <v>5318</v>
      </c>
      <c r="AB872" t="s">
        <v>308</v>
      </c>
      <c r="AC872" t="s">
        <v>50</v>
      </c>
      <c r="AD872" t="b">
        <v>0</v>
      </c>
      <c r="AF872">
        <v>12</v>
      </c>
      <c r="AG872" t="s">
        <v>51</v>
      </c>
    </row>
    <row r="873" spans="1:33" x14ac:dyDescent="0.2">
      <c r="A873">
        <v>790</v>
      </c>
      <c r="B873" t="s">
        <v>5319</v>
      </c>
      <c r="C873" t="s">
        <v>34</v>
      </c>
      <c r="D873" t="s">
        <v>35</v>
      </c>
      <c r="E873" t="s">
        <v>1647</v>
      </c>
      <c r="F873" t="s">
        <v>1648</v>
      </c>
      <c r="G873" t="s">
        <v>213</v>
      </c>
      <c r="H873" t="s">
        <v>83</v>
      </c>
      <c r="I873" t="s">
        <v>4143</v>
      </c>
      <c r="J873" t="s">
        <v>83</v>
      </c>
      <c r="K873">
        <v>2002</v>
      </c>
      <c r="L873">
        <v>2002</v>
      </c>
      <c r="M873">
        <v>8.1</v>
      </c>
      <c r="N873">
        <v>41.709000000000003</v>
      </c>
      <c r="O873">
        <v>106</v>
      </c>
      <c r="P873">
        <v>10</v>
      </c>
      <c r="Q873">
        <v>0.248</v>
      </c>
      <c r="R873" t="s">
        <v>84</v>
      </c>
      <c r="S873" t="s">
        <v>5320</v>
      </c>
      <c r="T873" t="b">
        <v>1</v>
      </c>
      <c r="U873" t="s">
        <v>5321</v>
      </c>
      <c r="V873" t="s">
        <v>1651</v>
      </c>
      <c r="W873" t="s">
        <v>5322</v>
      </c>
      <c r="X873" t="s">
        <v>47</v>
      </c>
      <c r="AA873" t="s">
        <v>3872</v>
      </c>
      <c r="AB873" t="s">
        <v>177</v>
      </c>
      <c r="AC873" t="s">
        <v>3873</v>
      </c>
      <c r="AD873" t="b">
        <v>0</v>
      </c>
      <c r="AF873">
        <v>4</v>
      </c>
      <c r="AG873" t="s">
        <v>321</v>
      </c>
    </row>
    <row r="874" spans="1:33" x14ac:dyDescent="0.2">
      <c r="A874">
        <v>1615</v>
      </c>
      <c r="B874" t="s">
        <v>5323</v>
      </c>
      <c r="C874" t="s">
        <v>34</v>
      </c>
      <c r="D874" t="s">
        <v>35</v>
      </c>
      <c r="E874" t="s">
        <v>180</v>
      </c>
      <c r="F874" t="s">
        <v>181</v>
      </c>
      <c r="G874" t="s">
        <v>312</v>
      </c>
      <c r="H874" t="s">
        <v>313</v>
      </c>
      <c r="I874" t="s">
        <v>2125</v>
      </c>
      <c r="J874" t="s">
        <v>973</v>
      </c>
      <c r="K874">
        <v>2011</v>
      </c>
      <c r="L874">
        <v>2011</v>
      </c>
      <c r="M874">
        <v>1.45</v>
      </c>
      <c r="N874">
        <v>4.335</v>
      </c>
      <c r="O874">
        <v>135</v>
      </c>
      <c r="P874">
        <v>1.35</v>
      </c>
      <c r="Q874">
        <v>0.29799999999999999</v>
      </c>
      <c r="R874" t="s">
        <v>84</v>
      </c>
      <c r="S874" t="s">
        <v>5324</v>
      </c>
      <c r="T874" t="b">
        <v>1</v>
      </c>
      <c r="U874" t="s">
        <v>5325</v>
      </c>
      <c r="V874" t="s">
        <v>429</v>
      </c>
      <c r="W874" t="s">
        <v>5326</v>
      </c>
      <c r="X874" t="s">
        <v>47</v>
      </c>
      <c r="AA874" t="s">
        <v>319</v>
      </c>
      <c r="AC874" t="s">
        <v>320</v>
      </c>
      <c r="AD874" t="b">
        <v>0</v>
      </c>
      <c r="AF874">
        <v>4</v>
      </c>
      <c r="AG874" t="s">
        <v>321</v>
      </c>
    </row>
    <row r="875" spans="1:33" x14ac:dyDescent="0.2">
      <c r="A875">
        <v>245</v>
      </c>
      <c r="B875" t="s">
        <v>5327</v>
      </c>
      <c r="C875" t="s">
        <v>34</v>
      </c>
      <c r="D875" t="s">
        <v>35</v>
      </c>
      <c r="E875" t="s">
        <v>253</v>
      </c>
      <c r="F875" t="s">
        <v>254</v>
      </c>
      <c r="G875" t="s">
        <v>242</v>
      </c>
      <c r="H875" t="s">
        <v>243</v>
      </c>
      <c r="I875" t="s">
        <v>2155</v>
      </c>
      <c r="J875" t="s">
        <v>313</v>
      </c>
      <c r="K875">
        <v>1962</v>
      </c>
      <c r="L875">
        <v>1962</v>
      </c>
      <c r="M875">
        <v>25</v>
      </c>
      <c r="N875">
        <v>70.59</v>
      </c>
      <c r="O875">
        <v>106.69</v>
      </c>
      <c r="P875">
        <v>27.45</v>
      </c>
      <c r="Q875">
        <v>0.252</v>
      </c>
      <c r="R875" t="s">
        <v>42</v>
      </c>
      <c r="S875" t="s">
        <v>5328</v>
      </c>
      <c r="T875" t="b">
        <v>1</v>
      </c>
      <c r="U875" t="s">
        <v>5329</v>
      </c>
      <c r="V875" t="s">
        <v>259</v>
      </c>
      <c r="W875" t="s">
        <v>5330</v>
      </c>
      <c r="X875" t="s">
        <v>47</v>
      </c>
      <c r="AA875" t="s">
        <v>2159</v>
      </c>
      <c r="AB875" t="s">
        <v>49</v>
      </c>
      <c r="AC875" t="s">
        <v>2772</v>
      </c>
      <c r="AD875" t="b">
        <v>0</v>
      </c>
      <c r="AF875">
        <v>10</v>
      </c>
      <c r="AG875" t="s">
        <v>143</v>
      </c>
    </row>
    <row r="876" spans="1:33" x14ac:dyDescent="0.2">
      <c r="A876">
        <v>246</v>
      </c>
      <c r="B876" t="s">
        <v>5331</v>
      </c>
      <c r="C876" t="s">
        <v>34</v>
      </c>
      <c r="D876" t="s">
        <v>35</v>
      </c>
      <c r="E876" t="s">
        <v>36</v>
      </c>
      <c r="F876" t="s">
        <v>37</v>
      </c>
      <c r="G876" t="s">
        <v>503</v>
      </c>
      <c r="H876" t="s">
        <v>462</v>
      </c>
      <c r="I876" t="s">
        <v>1331</v>
      </c>
      <c r="J876" t="s">
        <v>94</v>
      </c>
      <c r="K876">
        <v>1969</v>
      </c>
      <c r="L876">
        <v>1969</v>
      </c>
      <c r="M876">
        <v>43</v>
      </c>
      <c r="N876">
        <v>266.18</v>
      </c>
      <c r="O876">
        <v>346</v>
      </c>
      <c r="P876">
        <v>13.98</v>
      </c>
      <c r="Q876">
        <v>0.85399999999999998</v>
      </c>
      <c r="R876" t="s">
        <v>84</v>
      </c>
      <c r="S876" t="s">
        <v>5332</v>
      </c>
      <c r="T876" t="b">
        <v>1</v>
      </c>
      <c r="U876" t="s">
        <v>5333</v>
      </c>
      <c r="V876" t="s">
        <v>45</v>
      </c>
      <c r="W876" t="s">
        <v>5334</v>
      </c>
      <c r="X876" t="s">
        <v>47</v>
      </c>
      <c r="AA876" t="s">
        <v>583</v>
      </c>
      <c r="AB876" t="s">
        <v>5335</v>
      </c>
      <c r="AC876" t="s">
        <v>585</v>
      </c>
      <c r="AD876" t="b">
        <v>0</v>
      </c>
      <c r="AF876">
        <v>3</v>
      </c>
      <c r="AG876" t="s">
        <v>332</v>
      </c>
    </row>
    <row r="877" spans="1:33" x14ac:dyDescent="0.2">
      <c r="A877">
        <v>2138</v>
      </c>
      <c r="B877" t="s">
        <v>5336</v>
      </c>
      <c r="C877" t="s">
        <v>34</v>
      </c>
      <c r="D877" t="s">
        <v>35</v>
      </c>
      <c r="E877" t="s">
        <v>757</v>
      </c>
      <c r="F877" t="s">
        <v>758</v>
      </c>
      <c r="G877" t="s">
        <v>134</v>
      </c>
      <c r="H877" t="s">
        <v>135</v>
      </c>
      <c r="I877" t="s">
        <v>345</v>
      </c>
      <c r="J877" t="s">
        <v>256</v>
      </c>
      <c r="K877">
        <v>2025</v>
      </c>
      <c r="L877">
        <v>2025</v>
      </c>
      <c r="M877">
        <v>2.9</v>
      </c>
      <c r="N877">
        <v>10</v>
      </c>
      <c r="O877">
        <v>127</v>
      </c>
      <c r="P877">
        <v>2.76</v>
      </c>
      <c r="Q877">
        <v>0.29199999999999998</v>
      </c>
      <c r="R877" t="s">
        <v>42</v>
      </c>
      <c r="S877" t="s">
        <v>5337</v>
      </c>
      <c r="T877" t="b">
        <v>1</v>
      </c>
      <c r="U877" t="s">
        <v>5338</v>
      </c>
      <c r="V877" t="s">
        <v>761</v>
      </c>
      <c r="W877" t="s">
        <v>5339</v>
      </c>
      <c r="X877" t="s">
        <v>47</v>
      </c>
      <c r="AA877" t="s">
        <v>5340</v>
      </c>
      <c r="AB877" t="s">
        <v>177</v>
      </c>
      <c r="AC877" t="s">
        <v>5341</v>
      </c>
      <c r="AD877" t="b">
        <v>0</v>
      </c>
      <c r="AF877">
        <v>10</v>
      </c>
      <c r="AG877" t="s">
        <v>143</v>
      </c>
    </row>
    <row r="878" spans="1:33" x14ac:dyDescent="0.2">
      <c r="A878">
        <v>1754</v>
      </c>
      <c r="B878" t="s">
        <v>5342</v>
      </c>
      <c r="C878" t="s">
        <v>34</v>
      </c>
      <c r="D878" t="s">
        <v>35</v>
      </c>
      <c r="E878" t="s">
        <v>404</v>
      </c>
      <c r="F878" t="s">
        <v>405</v>
      </c>
      <c r="G878" t="s">
        <v>312</v>
      </c>
      <c r="H878" t="s">
        <v>313</v>
      </c>
      <c r="I878" t="s">
        <v>2125</v>
      </c>
      <c r="J878" t="s">
        <v>973</v>
      </c>
      <c r="K878">
        <v>2015</v>
      </c>
      <c r="L878">
        <v>2015</v>
      </c>
      <c r="M878">
        <v>4.2</v>
      </c>
      <c r="N878">
        <v>13.506</v>
      </c>
      <c r="O878">
        <v>92.2</v>
      </c>
      <c r="P878">
        <v>5</v>
      </c>
      <c r="Q878">
        <v>0.23300000000000001</v>
      </c>
      <c r="R878" t="s">
        <v>84</v>
      </c>
      <c r="S878" t="s">
        <v>5343</v>
      </c>
      <c r="T878" t="b">
        <v>1</v>
      </c>
      <c r="U878" t="s">
        <v>5344</v>
      </c>
      <c r="V878" t="s">
        <v>408</v>
      </c>
      <c r="W878" t="s">
        <v>5345</v>
      </c>
      <c r="X878" t="s">
        <v>47</v>
      </c>
      <c r="AA878" t="s">
        <v>860</v>
      </c>
      <c r="AB878" t="s">
        <v>1697</v>
      </c>
      <c r="AC878" t="s">
        <v>861</v>
      </c>
      <c r="AD878" t="b">
        <v>0</v>
      </c>
      <c r="AF878">
        <v>4</v>
      </c>
      <c r="AG878" t="s">
        <v>321</v>
      </c>
    </row>
    <row r="879" spans="1:33" x14ac:dyDescent="0.2">
      <c r="A879">
        <v>247</v>
      </c>
      <c r="B879" t="s">
        <v>5346</v>
      </c>
      <c r="C879" t="s">
        <v>34</v>
      </c>
      <c r="D879" t="s">
        <v>35</v>
      </c>
      <c r="E879" t="s">
        <v>1010</v>
      </c>
      <c r="F879" t="s">
        <v>1011</v>
      </c>
      <c r="G879" t="s">
        <v>93</v>
      </c>
      <c r="H879" t="s">
        <v>94</v>
      </c>
      <c r="I879" t="s">
        <v>5347</v>
      </c>
      <c r="J879" t="s">
        <v>409</v>
      </c>
      <c r="K879">
        <v>1982</v>
      </c>
      <c r="L879">
        <v>1982</v>
      </c>
      <c r="M879">
        <v>75</v>
      </c>
      <c r="N879">
        <v>135.791</v>
      </c>
      <c r="O879">
        <v>285</v>
      </c>
      <c r="P879">
        <v>30.02</v>
      </c>
      <c r="Q879">
        <v>0.69399999999999995</v>
      </c>
      <c r="R879" t="s">
        <v>72</v>
      </c>
      <c r="S879" t="s">
        <v>5348</v>
      </c>
      <c r="T879" t="b">
        <v>1</v>
      </c>
      <c r="U879" t="s">
        <v>5349</v>
      </c>
      <c r="V879" t="s">
        <v>5350</v>
      </c>
      <c r="W879" t="s">
        <v>5351</v>
      </c>
      <c r="X879" t="s">
        <v>47</v>
      </c>
      <c r="AA879" t="s">
        <v>1017</v>
      </c>
      <c r="AB879" t="s">
        <v>765</v>
      </c>
      <c r="AC879" t="s">
        <v>1018</v>
      </c>
      <c r="AD879" t="b">
        <v>0</v>
      </c>
      <c r="AF879">
        <v>8</v>
      </c>
      <c r="AG879" t="s">
        <v>78</v>
      </c>
    </row>
    <row r="880" spans="1:33" x14ac:dyDescent="0.2">
      <c r="A880">
        <v>1748</v>
      </c>
      <c r="B880" t="s">
        <v>5352</v>
      </c>
      <c r="C880" t="s">
        <v>34</v>
      </c>
      <c r="D880" t="s">
        <v>35</v>
      </c>
      <c r="E880" t="s">
        <v>5353</v>
      </c>
      <c r="F880" t="s">
        <v>5354</v>
      </c>
      <c r="G880" t="s">
        <v>242</v>
      </c>
      <c r="H880" t="s">
        <v>243</v>
      </c>
      <c r="I880" t="s">
        <v>2348</v>
      </c>
      <c r="J880" t="s">
        <v>225</v>
      </c>
      <c r="K880">
        <v>2014</v>
      </c>
      <c r="L880">
        <v>2014</v>
      </c>
      <c r="M880">
        <v>4.8579999999999997</v>
      </c>
      <c r="N880">
        <v>10.189</v>
      </c>
      <c r="O880">
        <v>260.7</v>
      </c>
      <c r="P880">
        <v>2.12</v>
      </c>
      <c r="Q880">
        <v>0.63700000000000001</v>
      </c>
      <c r="R880" t="s">
        <v>72</v>
      </c>
      <c r="S880" t="s">
        <v>5355</v>
      </c>
      <c r="T880" t="b">
        <v>1</v>
      </c>
      <c r="U880" t="s">
        <v>5356</v>
      </c>
      <c r="V880" t="s">
        <v>5357</v>
      </c>
      <c r="W880" t="s">
        <v>5358</v>
      </c>
      <c r="X880" t="s">
        <v>47</v>
      </c>
      <c r="AA880" t="s">
        <v>982</v>
      </c>
      <c r="AB880" t="s">
        <v>1242</v>
      </c>
      <c r="AC880" t="s">
        <v>983</v>
      </c>
      <c r="AD880" t="b">
        <v>0</v>
      </c>
      <c r="AF880">
        <v>9</v>
      </c>
      <c r="AG880" t="s">
        <v>251</v>
      </c>
    </row>
    <row r="881" spans="1:33" x14ac:dyDescent="0.2">
      <c r="A881">
        <v>248</v>
      </c>
      <c r="B881" t="s">
        <v>5359</v>
      </c>
      <c r="C881" t="s">
        <v>34</v>
      </c>
      <c r="D881" t="s">
        <v>35</v>
      </c>
      <c r="E881" t="s">
        <v>818</v>
      </c>
      <c r="F881" t="s">
        <v>819</v>
      </c>
      <c r="G881" t="s">
        <v>53</v>
      </c>
      <c r="H881" t="s">
        <v>54</v>
      </c>
      <c r="I881" t="s">
        <v>82</v>
      </c>
      <c r="J881" t="s">
        <v>83</v>
      </c>
      <c r="K881">
        <v>1920</v>
      </c>
      <c r="L881">
        <v>2025</v>
      </c>
      <c r="M881">
        <v>9.3000000000000007</v>
      </c>
      <c r="N881">
        <v>32.299999999999997</v>
      </c>
      <c r="O881">
        <v>126</v>
      </c>
      <c r="P881">
        <v>16.8</v>
      </c>
      <c r="Q881">
        <v>0.28100000000000003</v>
      </c>
      <c r="R881" t="s">
        <v>84</v>
      </c>
      <c r="S881" t="s">
        <v>5360</v>
      </c>
      <c r="T881" t="b">
        <v>1</v>
      </c>
      <c r="U881" t="s">
        <v>5361</v>
      </c>
      <c r="V881" t="s">
        <v>822</v>
      </c>
      <c r="W881" t="s">
        <v>5362</v>
      </c>
      <c r="X881" t="s">
        <v>47</v>
      </c>
      <c r="AA881" t="s">
        <v>3302</v>
      </c>
      <c r="AB881" t="s">
        <v>83</v>
      </c>
      <c r="AC881" t="s">
        <v>3303</v>
      </c>
      <c r="AD881" t="b">
        <v>0</v>
      </c>
      <c r="AF881">
        <v>5</v>
      </c>
      <c r="AG881" t="s">
        <v>89</v>
      </c>
    </row>
    <row r="882" spans="1:33" x14ac:dyDescent="0.2">
      <c r="A882">
        <v>1475</v>
      </c>
      <c r="B882" t="s">
        <v>5363</v>
      </c>
      <c r="C882" t="s">
        <v>34</v>
      </c>
      <c r="D882" t="s">
        <v>35</v>
      </c>
      <c r="E882" t="s">
        <v>5364</v>
      </c>
      <c r="F882" t="s">
        <v>5365</v>
      </c>
      <c r="G882" t="s">
        <v>242</v>
      </c>
      <c r="H882" t="s">
        <v>243</v>
      </c>
      <c r="I882" t="s">
        <v>4582</v>
      </c>
      <c r="J882" t="s">
        <v>533</v>
      </c>
      <c r="K882">
        <v>2009</v>
      </c>
      <c r="L882">
        <v>2009</v>
      </c>
      <c r="M882">
        <v>1.36</v>
      </c>
      <c r="N882">
        <v>2.702</v>
      </c>
      <c r="O882">
        <v>140</v>
      </c>
      <c r="P882">
        <v>1.1499999999999999</v>
      </c>
      <c r="Q882">
        <v>0.32900000000000001</v>
      </c>
      <c r="R882" t="s">
        <v>42</v>
      </c>
      <c r="S882" t="s">
        <v>5366</v>
      </c>
      <c r="T882" t="b">
        <v>1</v>
      </c>
      <c r="U882" t="s">
        <v>5367</v>
      </c>
      <c r="V882" t="s">
        <v>5368</v>
      </c>
      <c r="W882" t="s">
        <v>5369</v>
      </c>
      <c r="X882" t="s">
        <v>47</v>
      </c>
      <c r="AA882" t="s">
        <v>261</v>
      </c>
      <c r="AB882" t="s">
        <v>663</v>
      </c>
      <c r="AC882" t="s">
        <v>263</v>
      </c>
      <c r="AD882" t="b">
        <v>0</v>
      </c>
      <c r="AF882">
        <v>10</v>
      </c>
      <c r="AG882" t="s">
        <v>143</v>
      </c>
    </row>
    <row r="883" spans="1:33" x14ac:dyDescent="0.2">
      <c r="A883">
        <v>1729</v>
      </c>
      <c r="B883" t="s">
        <v>5370</v>
      </c>
      <c r="C883" t="s">
        <v>34</v>
      </c>
      <c r="D883" t="s">
        <v>35</v>
      </c>
      <c r="E883" t="s">
        <v>5371</v>
      </c>
      <c r="F883" t="s">
        <v>5372</v>
      </c>
      <c r="G883" t="s">
        <v>312</v>
      </c>
      <c r="H883" t="s">
        <v>313</v>
      </c>
      <c r="I883" t="s">
        <v>493</v>
      </c>
      <c r="J883" t="s">
        <v>409</v>
      </c>
      <c r="K883">
        <v>2013</v>
      </c>
      <c r="L883">
        <v>2013</v>
      </c>
      <c r="M883">
        <v>3</v>
      </c>
      <c r="N883">
        <v>8.4819999999999993</v>
      </c>
      <c r="O883">
        <v>67</v>
      </c>
      <c r="P883">
        <v>5.7</v>
      </c>
      <c r="Q883">
        <v>0.14599999999999999</v>
      </c>
      <c r="R883" t="s">
        <v>84</v>
      </c>
      <c r="S883" t="s">
        <v>5373</v>
      </c>
      <c r="T883" t="b">
        <v>1</v>
      </c>
      <c r="U883" t="s">
        <v>5374</v>
      </c>
      <c r="V883" t="s">
        <v>5375</v>
      </c>
      <c r="W883" t="s">
        <v>5376</v>
      </c>
      <c r="X883" t="s">
        <v>47</v>
      </c>
      <c r="AA883" t="s">
        <v>498</v>
      </c>
      <c r="AB883" t="s">
        <v>836</v>
      </c>
      <c r="AC883" t="s">
        <v>499</v>
      </c>
      <c r="AD883" t="b">
        <v>0</v>
      </c>
      <c r="AF883">
        <v>4</v>
      </c>
      <c r="AG883" t="s">
        <v>321</v>
      </c>
    </row>
    <row r="884" spans="1:33" x14ac:dyDescent="0.2">
      <c r="A884">
        <v>1970</v>
      </c>
      <c r="B884" t="s">
        <v>5377</v>
      </c>
      <c r="C884" t="s">
        <v>34</v>
      </c>
      <c r="D884" t="s">
        <v>35</v>
      </c>
      <c r="E884" t="s">
        <v>5378</v>
      </c>
      <c r="F884" t="s">
        <v>5379</v>
      </c>
      <c r="G884" t="s">
        <v>53</v>
      </c>
      <c r="H884" t="s">
        <v>54</v>
      </c>
      <c r="I884" t="s">
        <v>235</v>
      </c>
      <c r="J884" t="s">
        <v>41</v>
      </c>
      <c r="K884">
        <v>2019</v>
      </c>
      <c r="L884">
        <v>2019</v>
      </c>
      <c r="M884">
        <v>1.65</v>
      </c>
      <c r="N884">
        <v>5.3470000000000004</v>
      </c>
      <c r="O884">
        <v>153.1</v>
      </c>
      <c r="P884">
        <v>1.32</v>
      </c>
      <c r="Q884">
        <v>0.34699999999999998</v>
      </c>
      <c r="R884" t="s">
        <v>84</v>
      </c>
      <c r="S884" t="s">
        <v>5380</v>
      </c>
      <c r="T884" t="b">
        <v>1</v>
      </c>
      <c r="U884" t="s">
        <v>5381</v>
      </c>
      <c r="V884" t="s">
        <v>5382</v>
      </c>
      <c r="W884" t="s">
        <v>5383</v>
      </c>
      <c r="X884" t="s">
        <v>47</v>
      </c>
      <c r="AA884" t="s">
        <v>114</v>
      </c>
      <c r="AC884" t="s">
        <v>63</v>
      </c>
      <c r="AD884" t="b">
        <v>0</v>
      </c>
      <c r="AF884">
        <v>5</v>
      </c>
      <c r="AG884" t="s">
        <v>89</v>
      </c>
    </row>
    <row r="885" spans="1:33" x14ac:dyDescent="0.2">
      <c r="A885">
        <v>1437</v>
      </c>
      <c r="B885" t="s">
        <v>5384</v>
      </c>
      <c r="C885" t="s">
        <v>34</v>
      </c>
      <c r="D885" t="s">
        <v>35</v>
      </c>
      <c r="E885" t="s">
        <v>168</v>
      </c>
      <c r="F885" t="s">
        <v>169</v>
      </c>
      <c r="G885" t="s">
        <v>68</v>
      </c>
      <c r="H885" t="s">
        <v>69</v>
      </c>
      <c r="I885" t="s">
        <v>265</v>
      </c>
      <c r="J885" t="s">
        <v>266</v>
      </c>
      <c r="K885">
        <v>2008</v>
      </c>
      <c r="L885">
        <v>2008</v>
      </c>
      <c r="M885">
        <v>2.6</v>
      </c>
      <c r="N885">
        <v>4.6230000000000002</v>
      </c>
      <c r="O885">
        <v>373</v>
      </c>
      <c r="P885">
        <v>0.81</v>
      </c>
      <c r="Q885">
        <v>0.89200000000000002</v>
      </c>
      <c r="R885" t="s">
        <v>72</v>
      </c>
      <c r="S885" t="s">
        <v>5385</v>
      </c>
      <c r="T885" t="b">
        <v>1</v>
      </c>
      <c r="U885" t="s">
        <v>5386</v>
      </c>
      <c r="V885" t="s">
        <v>174</v>
      </c>
      <c r="W885" t="s">
        <v>5387</v>
      </c>
      <c r="X885" t="s">
        <v>47</v>
      </c>
      <c r="AA885" t="s">
        <v>2659</v>
      </c>
      <c r="AB885" t="s">
        <v>308</v>
      </c>
      <c r="AC885" t="s">
        <v>2660</v>
      </c>
      <c r="AD885" t="b">
        <v>0</v>
      </c>
      <c r="AF885">
        <v>8</v>
      </c>
      <c r="AG885" t="s">
        <v>78</v>
      </c>
    </row>
    <row r="886" spans="1:33" x14ac:dyDescent="0.2">
      <c r="A886">
        <v>250</v>
      </c>
      <c r="B886" t="s">
        <v>5388</v>
      </c>
      <c r="C886" t="s">
        <v>34</v>
      </c>
      <c r="D886" t="s">
        <v>35</v>
      </c>
      <c r="E886" t="s">
        <v>404</v>
      </c>
      <c r="F886" t="s">
        <v>405</v>
      </c>
      <c r="G886" t="s">
        <v>312</v>
      </c>
      <c r="H886" t="s">
        <v>313</v>
      </c>
      <c r="I886" t="s">
        <v>4164</v>
      </c>
      <c r="J886" t="s">
        <v>41</v>
      </c>
      <c r="K886">
        <v>1961</v>
      </c>
      <c r="L886">
        <v>1961</v>
      </c>
      <c r="M886">
        <v>20.2</v>
      </c>
      <c r="N886">
        <v>106.69</v>
      </c>
      <c r="O886">
        <v>146.38999999999999</v>
      </c>
      <c r="P886">
        <v>15.89</v>
      </c>
      <c r="Q886">
        <v>0.35199999999999998</v>
      </c>
      <c r="R886" t="s">
        <v>84</v>
      </c>
      <c r="S886" t="s">
        <v>5389</v>
      </c>
      <c r="T886" t="b">
        <v>1</v>
      </c>
      <c r="U886" t="s">
        <v>5390</v>
      </c>
      <c r="V886" t="s">
        <v>408</v>
      </c>
      <c r="W886" t="s">
        <v>5391</v>
      </c>
      <c r="X886" t="s">
        <v>47</v>
      </c>
      <c r="AA886" t="s">
        <v>622</v>
      </c>
      <c r="AB886" t="s">
        <v>676</v>
      </c>
      <c r="AC886" t="s">
        <v>623</v>
      </c>
      <c r="AD886" t="b">
        <v>0</v>
      </c>
      <c r="AF886">
        <v>4</v>
      </c>
      <c r="AG886" t="s">
        <v>321</v>
      </c>
    </row>
    <row r="887" spans="1:33" x14ac:dyDescent="0.2">
      <c r="A887">
        <v>251</v>
      </c>
      <c r="B887" t="s">
        <v>5392</v>
      </c>
      <c r="C887" t="s">
        <v>34</v>
      </c>
      <c r="D887" t="s">
        <v>35</v>
      </c>
      <c r="E887" t="s">
        <v>277</v>
      </c>
      <c r="F887" t="s">
        <v>278</v>
      </c>
      <c r="G887" t="s">
        <v>93</v>
      </c>
      <c r="H887" t="s">
        <v>94</v>
      </c>
      <c r="I887" t="s">
        <v>2435</v>
      </c>
      <c r="J887" t="s">
        <v>2436</v>
      </c>
      <c r="K887">
        <v>1983</v>
      </c>
      <c r="L887">
        <v>1983</v>
      </c>
      <c r="M887">
        <v>54.5</v>
      </c>
      <c r="N887">
        <v>171.52699999999999</v>
      </c>
      <c r="O887">
        <v>308</v>
      </c>
      <c r="P887">
        <v>20.51</v>
      </c>
      <c r="Q887">
        <v>0.73699999999999999</v>
      </c>
      <c r="R887" t="s">
        <v>97</v>
      </c>
      <c r="S887" t="s">
        <v>5393</v>
      </c>
      <c r="T887" t="b">
        <v>1</v>
      </c>
      <c r="U887" t="s">
        <v>5394</v>
      </c>
      <c r="V887" t="s">
        <v>389</v>
      </c>
      <c r="W887" t="s">
        <v>5395</v>
      </c>
      <c r="X887" t="s">
        <v>47</v>
      </c>
      <c r="AA887" t="s">
        <v>102</v>
      </c>
      <c r="AB887" t="s">
        <v>426</v>
      </c>
      <c r="AC887" t="s">
        <v>103</v>
      </c>
      <c r="AD887" t="b">
        <v>0</v>
      </c>
      <c r="AF887">
        <v>1</v>
      </c>
      <c r="AG887" t="s">
        <v>104</v>
      </c>
    </row>
    <row r="888" spans="1:33" x14ac:dyDescent="0.2">
      <c r="A888">
        <v>252</v>
      </c>
      <c r="B888" t="s">
        <v>5396</v>
      </c>
      <c r="C888" t="s">
        <v>34</v>
      </c>
      <c r="D888" t="s">
        <v>35</v>
      </c>
      <c r="E888" t="s">
        <v>1085</v>
      </c>
      <c r="F888" t="s">
        <v>1086</v>
      </c>
      <c r="G888" t="s">
        <v>134</v>
      </c>
      <c r="H888" t="s">
        <v>135</v>
      </c>
      <c r="I888" t="s">
        <v>1431</v>
      </c>
      <c r="J888" t="s">
        <v>280</v>
      </c>
      <c r="K888">
        <v>1979</v>
      </c>
      <c r="L888">
        <v>1979</v>
      </c>
      <c r="M888">
        <v>118</v>
      </c>
      <c r="N888">
        <v>391.83800000000002</v>
      </c>
      <c r="O888">
        <v>560</v>
      </c>
      <c r="P888">
        <v>25.01</v>
      </c>
      <c r="Q888">
        <v>1.3109999999999999</v>
      </c>
      <c r="R888" t="s">
        <v>42</v>
      </c>
      <c r="S888" t="s">
        <v>5397</v>
      </c>
      <c r="T888" t="b">
        <v>1</v>
      </c>
      <c r="U888" t="s">
        <v>2150</v>
      </c>
      <c r="V888" t="s">
        <v>1089</v>
      </c>
      <c r="W888" t="s">
        <v>5398</v>
      </c>
      <c r="X888" t="s">
        <v>47</v>
      </c>
      <c r="AA888" t="s">
        <v>1434</v>
      </c>
      <c r="AB888" t="s">
        <v>56</v>
      </c>
      <c r="AC888" t="s">
        <v>1435</v>
      </c>
      <c r="AD888" t="b">
        <v>0</v>
      </c>
      <c r="AF888">
        <v>10</v>
      </c>
      <c r="AG888" t="s">
        <v>143</v>
      </c>
    </row>
    <row r="889" spans="1:33" x14ac:dyDescent="0.2">
      <c r="A889">
        <v>1177</v>
      </c>
      <c r="B889" t="s">
        <v>5399</v>
      </c>
      <c r="C889" t="s">
        <v>34</v>
      </c>
      <c r="D889" t="s">
        <v>35</v>
      </c>
      <c r="E889" t="s">
        <v>5400</v>
      </c>
      <c r="F889" t="s">
        <v>5401</v>
      </c>
      <c r="G889" t="s">
        <v>93</v>
      </c>
      <c r="H889" t="s">
        <v>94</v>
      </c>
      <c r="I889" t="s">
        <v>1603</v>
      </c>
      <c r="J889" t="s">
        <v>148</v>
      </c>
      <c r="K889">
        <v>1998</v>
      </c>
      <c r="L889">
        <v>1998</v>
      </c>
      <c r="M889">
        <v>2.5000000000000001E-2</v>
      </c>
      <c r="N889">
        <v>5.1999999999999998E-2</v>
      </c>
      <c r="R889" t="s">
        <v>97</v>
      </c>
      <c r="S889" t="s">
        <v>5402</v>
      </c>
      <c r="T889" t="b">
        <v>1</v>
      </c>
      <c r="U889" t="s">
        <v>455</v>
      </c>
      <c r="V889" t="s">
        <v>5403</v>
      </c>
      <c r="W889" t="s">
        <v>113</v>
      </c>
      <c r="X889" t="s">
        <v>47</v>
      </c>
      <c r="AA889" t="s">
        <v>102</v>
      </c>
      <c r="AC889" t="s">
        <v>103</v>
      </c>
      <c r="AD889" t="b">
        <v>0</v>
      </c>
      <c r="AF889">
        <v>1</v>
      </c>
      <c r="AG889" t="s">
        <v>104</v>
      </c>
    </row>
    <row r="890" spans="1:33" x14ac:dyDescent="0.2">
      <c r="A890">
        <v>2148</v>
      </c>
      <c r="B890" t="s">
        <v>3934</v>
      </c>
      <c r="C890" t="s">
        <v>34</v>
      </c>
      <c r="D890" t="s">
        <v>35</v>
      </c>
      <c r="E890" t="s">
        <v>5404</v>
      </c>
      <c r="F890" t="s">
        <v>5405</v>
      </c>
      <c r="G890" t="s">
        <v>312</v>
      </c>
      <c r="H890" t="s">
        <v>313</v>
      </c>
      <c r="I890" t="s">
        <v>2250</v>
      </c>
      <c r="J890" t="s">
        <v>836</v>
      </c>
      <c r="K890">
        <v>2024</v>
      </c>
      <c r="L890">
        <v>2024</v>
      </c>
      <c r="M890">
        <v>0.55000000000000004</v>
      </c>
      <c r="N890">
        <v>2</v>
      </c>
      <c r="O890">
        <v>72.5</v>
      </c>
      <c r="P890">
        <v>0.94</v>
      </c>
      <c r="Q890">
        <v>0.16300000000000001</v>
      </c>
      <c r="R890" t="s">
        <v>84</v>
      </c>
      <c r="S890" t="s">
        <v>5406</v>
      </c>
      <c r="T890" t="b">
        <v>1</v>
      </c>
      <c r="U890" t="s">
        <v>5407</v>
      </c>
      <c r="V890" t="s">
        <v>5408</v>
      </c>
      <c r="W890" t="s">
        <v>5409</v>
      </c>
      <c r="X890" t="s">
        <v>47</v>
      </c>
      <c r="AA890" t="s">
        <v>615</v>
      </c>
      <c r="AC890" t="s">
        <v>616</v>
      </c>
      <c r="AD890" t="b">
        <v>0</v>
      </c>
      <c r="AF890">
        <v>4</v>
      </c>
      <c r="AG890" t="s">
        <v>321</v>
      </c>
    </row>
    <row r="891" spans="1:33" x14ac:dyDescent="0.2">
      <c r="A891">
        <v>232</v>
      </c>
      <c r="B891" t="s">
        <v>5410</v>
      </c>
      <c r="C891" t="s">
        <v>34</v>
      </c>
      <c r="D891" t="s">
        <v>35</v>
      </c>
      <c r="E891" t="s">
        <v>404</v>
      </c>
      <c r="F891" t="s">
        <v>405</v>
      </c>
      <c r="G891" t="s">
        <v>312</v>
      </c>
      <c r="H891" t="s">
        <v>313</v>
      </c>
      <c r="I891" t="s">
        <v>314</v>
      </c>
      <c r="J891" t="s">
        <v>71</v>
      </c>
      <c r="K891">
        <v>1915</v>
      </c>
      <c r="L891">
        <v>1915</v>
      </c>
      <c r="M891">
        <v>1.2999000000000001</v>
      </c>
      <c r="N891">
        <v>6.7350000000000003</v>
      </c>
      <c r="O891">
        <v>298</v>
      </c>
      <c r="P891">
        <v>0.69</v>
      </c>
      <c r="Q891">
        <v>0.51500000000000001</v>
      </c>
      <c r="R891" t="s">
        <v>84</v>
      </c>
      <c r="S891" t="s">
        <v>5411</v>
      </c>
      <c r="T891" t="b">
        <v>1</v>
      </c>
      <c r="U891" t="s">
        <v>5412</v>
      </c>
      <c r="V891" t="s">
        <v>408</v>
      </c>
      <c r="W891" t="s">
        <v>113</v>
      </c>
      <c r="X891" t="s">
        <v>47</v>
      </c>
      <c r="AA891" t="s">
        <v>319</v>
      </c>
      <c r="AB891" t="s">
        <v>83</v>
      </c>
      <c r="AC891" t="s">
        <v>320</v>
      </c>
      <c r="AD891" t="b">
        <v>0</v>
      </c>
      <c r="AF891">
        <v>4</v>
      </c>
      <c r="AG891" t="s">
        <v>321</v>
      </c>
    </row>
    <row r="892" spans="1:33" x14ac:dyDescent="0.2">
      <c r="A892">
        <v>1688</v>
      </c>
      <c r="B892" t="s">
        <v>5413</v>
      </c>
      <c r="C892" t="s">
        <v>34</v>
      </c>
      <c r="D892" t="s">
        <v>35</v>
      </c>
      <c r="E892" t="s">
        <v>5414</v>
      </c>
      <c r="F892" t="s">
        <v>5415</v>
      </c>
      <c r="G892" t="s">
        <v>53</v>
      </c>
      <c r="H892" t="s">
        <v>54</v>
      </c>
      <c r="I892" t="s">
        <v>325</v>
      </c>
      <c r="J892" t="s">
        <v>135</v>
      </c>
      <c r="K892">
        <v>2007</v>
      </c>
      <c r="L892">
        <v>2007</v>
      </c>
      <c r="M892">
        <v>0.09</v>
      </c>
      <c r="N892">
        <v>0.44600000000000001</v>
      </c>
      <c r="O892">
        <v>203</v>
      </c>
      <c r="P892">
        <v>5.5E-2</v>
      </c>
      <c r="Q892">
        <v>0.45500000000000002</v>
      </c>
      <c r="R892" t="s">
        <v>57</v>
      </c>
      <c r="S892" t="s">
        <v>5416</v>
      </c>
      <c r="T892" t="b">
        <v>1</v>
      </c>
      <c r="U892" t="s">
        <v>5417</v>
      </c>
      <c r="V892" t="s">
        <v>5418</v>
      </c>
      <c r="W892" t="s">
        <v>5419</v>
      </c>
      <c r="X892" t="s">
        <v>47</v>
      </c>
      <c r="AA892" t="s">
        <v>114</v>
      </c>
      <c r="AC892" t="s">
        <v>63</v>
      </c>
      <c r="AD892" t="b">
        <v>0</v>
      </c>
      <c r="AF892">
        <v>6</v>
      </c>
      <c r="AG892" t="s">
        <v>64</v>
      </c>
    </row>
    <row r="893" spans="1:33" x14ac:dyDescent="0.2">
      <c r="A893">
        <v>1595</v>
      </c>
      <c r="B893" t="s">
        <v>5420</v>
      </c>
      <c r="C893" t="s">
        <v>34</v>
      </c>
      <c r="D893" t="s">
        <v>35</v>
      </c>
      <c r="E893" t="s">
        <v>1492</v>
      </c>
      <c r="F893" t="s">
        <v>1493</v>
      </c>
      <c r="G893" t="s">
        <v>53</v>
      </c>
      <c r="H893" t="s">
        <v>54</v>
      </c>
      <c r="I893" t="s">
        <v>2058</v>
      </c>
      <c r="J893" t="s">
        <v>354</v>
      </c>
      <c r="K893">
        <v>2010</v>
      </c>
      <c r="L893">
        <v>2010</v>
      </c>
      <c r="M893">
        <v>1.45</v>
      </c>
      <c r="N893">
        <v>3.6880000000000002</v>
      </c>
      <c r="O893">
        <v>271</v>
      </c>
      <c r="P893">
        <v>0.65</v>
      </c>
      <c r="Q893">
        <v>0.62</v>
      </c>
      <c r="R893" t="s">
        <v>72</v>
      </c>
      <c r="S893" t="s">
        <v>5421</v>
      </c>
      <c r="T893" t="b">
        <v>1</v>
      </c>
      <c r="U893" t="s">
        <v>5422</v>
      </c>
      <c r="V893" t="s">
        <v>1496</v>
      </c>
      <c r="W893" t="s">
        <v>5423</v>
      </c>
      <c r="X893" t="s">
        <v>47</v>
      </c>
      <c r="AA893" t="s">
        <v>5424</v>
      </c>
      <c r="AC893" t="s">
        <v>63</v>
      </c>
      <c r="AD893" t="b">
        <v>0</v>
      </c>
      <c r="AF893">
        <v>13</v>
      </c>
      <c r="AG893" t="s">
        <v>155</v>
      </c>
    </row>
    <row r="894" spans="1:33" x14ac:dyDescent="0.2">
      <c r="A894">
        <v>253</v>
      </c>
      <c r="B894" t="s">
        <v>5425</v>
      </c>
      <c r="C894" t="s">
        <v>34</v>
      </c>
      <c r="D894" t="s">
        <v>35</v>
      </c>
      <c r="E894" t="s">
        <v>2350</v>
      </c>
      <c r="F894" t="s">
        <v>2351</v>
      </c>
      <c r="G894" t="s">
        <v>134</v>
      </c>
      <c r="H894" t="s">
        <v>135</v>
      </c>
      <c r="I894" t="s">
        <v>5426</v>
      </c>
      <c r="J894" t="s">
        <v>1653</v>
      </c>
      <c r="K894">
        <v>1952</v>
      </c>
      <c r="L894">
        <v>1952</v>
      </c>
      <c r="M894">
        <v>1.2</v>
      </c>
      <c r="N894">
        <v>4.9409999999999998</v>
      </c>
      <c r="O894">
        <v>92</v>
      </c>
      <c r="P894">
        <v>1.79</v>
      </c>
      <c r="Q894">
        <v>0.185</v>
      </c>
      <c r="R894" t="s">
        <v>42</v>
      </c>
      <c r="S894" t="s">
        <v>5427</v>
      </c>
      <c r="T894" t="b">
        <v>1</v>
      </c>
      <c r="U894" t="s">
        <v>776</v>
      </c>
      <c r="V894" t="s">
        <v>2355</v>
      </c>
      <c r="W894" t="s">
        <v>5428</v>
      </c>
      <c r="X894" t="s">
        <v>47</v>
      </c>
      <c r="AA894" t="s">
        <v>479</v>
      </c>
      <c r="AB894" t="s">
        <v>49</v>
      </c>
      <c r="AC894" t="s">
        <v>5429</v>
      </c>
      <c r="AD894" t="b">
        <v>0</v>
      </c>
      <c r="AF894">
        <v>11</v>
      </c>
      <c r="AG894" t="s">
        <v>198</v>
      </c>
    </row>
    <row r="895" spans="1:33" x14ac:dyDescent="0.2">
      <c r="A895">
        <v>953</v>
      </c>
      <c r="B895" t="s">
        <v>5430</v>
      </c>
      <c r="C895" t="s">
        <v>34</v>
      </c>
      <c r="D895" t="s">
        <v>35</v>
      </c>
      <c r="E895" t="s">
        <v>5431</v>
      </c>
      <c r="F895" t="s">
        <v>5432</v>
      </c>
      <c r="G895" t="s">
        <v>483</v>
      </c>
      <c r="H895" t="s">
        <v>109</v>
      </c>
      <c r="I895" t="s">
        <v>5433</v>
      </c>
      <c r="J895" t="s">
        <v>262</v>
      </c>
      <c r="K895">
        <v>1915</v>
      </c>
      <c r="L895">
        <v>1915</v>
      </c>
      <c r="M895">
        <v>0.7</v>
      </c>
      <c r="N895">
        <v>3.5409999999999999</v>
      </c>
      <c r="R895" t="s">
        <v>97</v>
      </c>
      <c r="S895" t="s">
        <v>5434</v>
      </c>
      <c r="T895" t="b">
        <v>1</v>
      </c>
      <c r="U895" t="s">
        <v>5412</v>
      </c>
      <c r="V895" t="s">
        <v>5435</v>
      </c>
      <c r="W895" t="s">
        <v>113</v>
      </c>
      <c r="X895" t="s">
        <v>47</v>
      </c>
      <c r="AA895" t="s">
        <v>1116</v>
      </c>
      <c r="AC895" t="s">
        <v>1117</v>
      </c>
      <c r="AD895" t="b">
        <v>0</v>
      </c>
      <c r="AF895">
        <v>1</v>
      </c>
      <c r="AG895" t="s">
        <v>104</v>
      </c>
    </row>
    <row r="896" spans="1:33" x14ac:dyDescent="0.2">
      <c r="A896">
        <v>1338</v>
      </c>
      <c r="B896" t="s">
        <v>5436</v>
      </c>
      <c r="C896" t="s">
        <v>34</v>
      </c>
      <c r="D896" t="s">
        <v>35</v>
      </c>
      <c r="E896" t="s">
        <v>818</v>
      </c>
      <c r="F896" t="s">
        <v>819</v>
      </c>
      <c r="G896" t="s">
        <v>53</v>
      </c>
      <c r="H896" t="s">
        <v>54</v>
      </c>
      <c r="I896" t="s">
        <v>1377</v>
      </c>
      <c r="J896" t="s">
        <v>337</v>
      </c>
      <c r="K896">
        <v>1934</v>
      </c>
      <c r="L896">
        <v>1934</v>
      </c>
      <c r="M896">
        <v>0.75</v>
      </c>
      <c r="N896">
        <v>1.86</v>
      </c>
      <c r="O896">
        <v>111.5</v>
      </c>
      <c r="P896">
        <v>0.9</v>
      </c>
      <c r="Q896">
        <v>0.23100000000000001</v>
      </c>
      <c r="R896" t="s">
        <v>84</v>
      </c>
      <c r="S896" t="s">
        <v>5437</v>
      </c>
      <c r="T896" t="b">
        <v>1</v>
      </c>
      <c r="U896" t="s">
        <v>5438</v>
      </c>
      <c r="V896" t="s">
        <v>822</v>
      </c>
      <c r="W896" t="s">
        <v>113</v>
      </c>
      <c r="X896" t="s">
        <v>47</v>
      </c>
      <c r="AA896" t="s">
        <v>5439</v>
      </c>
      <c r="AC896" t="s">
        <v>63</v>
      </c>
      <c r="AD896" t="b">
        <v>0</v>
      </c>
      <c r="AF896">
        <v>5</v>
      </c>
      <c r="AG896" t="s">
        <v>89</v>
      </c>
    </row>
    <row r="897" spans="1:33" x14ac:dyDescent="0.2">
      <c r="A897">
        <v>254</v>
      </c>
      <c r="B897" t="s">
        <v>5440</v>
      </c>
      <c r="C897" t="s">
        <v>34</v>
      </c>
      <c r="D897" t="s">
        <v>35</v>
      </c>
      <c r="E897" t="s">
        <v>5441</v>
      </c>
      <c r="F897" t="s">
        <v>5442</v>
      </c>
      <c r="G897" t="s">
        <v>38</v>
      </c>
      <c r="H897" t="s">
        <v>39</v>
      </c>
      <c r="I897" t="s">
        <v>5443</v>
      </c>
      <c r="J897" t="s">
        <v>676</v>
      </c>
      <c r="K897">
        <v>1956</v>
      </c>
      <c r="L897">
        <v>2020</v>
      </c>
      <c r="M897">
        <v>2.58</v>
      </c>
      <c r="N897">
        <v>14.474</v>
      </c>
      <c r="O897">
        <v>28.3</v>
      </c>
      <c r="P897">
        <v>10</v>
      </c>
      <c r="Q897">
        <v>7.1999999999999995E-2</v>
      </c>
      <c r="R897" t="s">
        <v>42</v>
      </c>
      <c r="S897" t="s">
        <v>5444</v>
      </c>
      <c r="T897" t="b">
        <v>1</v>
      </c>
      <c r="U897" t="s">
        <v>5445</v>
      </c>
      <c r="V897" t="s">
        <v>5446</v>
      </c>
      <c r="W897" t="s">
        <v>5447</v>
      </c>
      <c r="X897" t="s">
        <v>47</v>
      </c>
      <c r="AA897" t="s">
        <v>5448</v>
      </c>
      <c r="AB897" t="s">
        <v>401</v>
      </c>
      <c r="AC897" t="s">
        <v>5449</v>
      </c>
      <c r="AD897" t="b">
        <v>0</v>
      </c>
      <c r="AF897">
        <v>12</v>
      </c>
      <c r="AG897" t="s">
        <v>51</v>
      </c>
    </row>
    <row r="898" spans="1:33" x14ac:dyDescent="0.2">
      <c r="A898">
        <v>1184</v>
      </c>
      <c r="B898" t="s">
        <v>5450</v>
      </c>
      <c r="C898" t="s">
        <v>34</v>
      </c>
      <c r="D898" t="s">
        <v>35</v>
      </c>
      <c r="G898" t="s">
        <v>213</v>
      </c>
      <c r="H898" t="s">
        <v>83</v>
      </c>
      <c r="I898" t="s">
        <v>214</v>
      </c>
      <c r="J898" t="s">
        <v>215</v>
      </c>
      <c r="K898">
        <v>1998</v>
      </c>
      <c r="L898">
        <v>1998</v>
      </c>
      <c r="M898">
        <v>2.5999999999999999E-3</v>
      </c>
      <c r="N898">
        <v>1.2999999999999999E-2</v>
      </c>
      <c r="O898">
        <v>45</v>
      </c>
      <c r="R898" t="s">
        <v>84</v>
      </c>
      <c r="S898" t="s">
        <v>5451</v>
      </c>
      <c r="T898" t="b">
        <v>1</v>
      </c>
      <c r="U898" t="s">
        <v>455</v>
      </c>
      <c r="V898" t="s">
        <v>60</v>
      </c>
      <c r="W898" t="s">
        <v>5452</v>
      </c>
      <c r="X898" t="s">
        <v>47</v>
      </c>
      <c r="AA898" t="s">
        <v>114</v>
      </c>
      <c r="AC898" t="s">
        <v>63</v>
      </c>
      <c r="AD898" t="b">
        <v>0</v>
      </c>
      <c r="AF898">
        <v>5</v>
      </c>
      <c r="AG898" t="s">
        <v>89</v>
      </c>
    </row>
    <row r="899" spans="1:33" x14ac:dyDescent="0.2">
      <c r="A899">
        <v>255</v>
      </c>
      <c r="B899" t="s">
        <v>5453</v>
      </c>
      <c r="C899" t="s">
        <v>34</v>
      </c>
      <c r="D899" t="s">
        <v>35</v>
      </c>
      <c r="E899" t="s">
        <v>277</v>
      </c>
      <c r="F899" t="s">
        <v>278</v>
      </c>
      <c r="G899" t="s">
        <v>93</v>
      </c>
      <c r="H899" t="s">
        <v>94</v>
      </c>
      <c r="I899" t="s">
        <v>5454</v>
      </c>
      <c r="J899" t="s">
        <v>56</v>
      </c>
      <c r="K899">
        <v>1964</v>
      </c>
      <c r="L899">
        <v>1964</v>
      </c>
      <c r="M899">
        <v>14.1</v>
      </c>
      <c r="N899">
        <v>62.771000000000001</v>
      </c>
      <c r="O899">
        <v>13.69</v>
      </c>
      <c r="P899">
        <v>118.69</v>
      </c>
      <c r="Q899">
        <v>3.2000000000000001E-2</v>
      </c>
      <c r="R899" t="s">
        <v>97</v>
      </c>
      <c r="S899" t="s">
        <v>5455</v>
      </c>
      <c r="T899" t="b">
        <v>1</v>
      </c>
      <c r="U899" t="s">
        <v>5456</v>
      </c>
      <c r="V899" t="s">
        <v>389</v>
      </c>
      <c r="W899" t="s">
        <v>5457</v>
      </c>
      <c r="X899" t="s">
        <v>47</v>
      </c>
      <c r="AA899" t="s">
        <v>4061</v>
      </c>
      <c r="AB899" t="s">
        <v>49</v>
      </c>
      <c r="AC899" t="s">
        <v>4062</v>
      </c>
      <c r="AD899" t="b">
        <v>0</v>
      </c>
      <c r="AF899">
        <v>1</v>
      </c>
      <c r="AG899" t="s">
        <v>104</v>
      </c>
    </row>
    <row r="900" spans="1:33" x14ac:dyDescent="0.2">
      <c r="A900">
        <v>1387</v>
      </c>
      <c r="B900" t="s">
        <v>5458</v>
      </c>
      <c r="C900" t="s">
        <v>34</v>
      </c>
      <c r="D900" t="s">
        <v>35</v>
      </c>
      <c r="E900" t="s">
        <v>277</v>
      </c>
      <c r="F900" t="s">
        <v>278</v>
      </c>
      <c r="G900" t="s">
        <v>224</v>
      </c>
      <c r="H900" t="s">
        <v>225</v>
      </c>
      <c r="I900" t="s">
        <v>4804</v>
      </c>
      <c r="J900" t="s">
        <v>171</v>
      </c>
      <c r="K900">
        <v>2008</v>
      </c>
      <c r="L900">
        <v>2008</v>
      </c>
      <c r="M900">
        <v>5.49</v>
      </c>
      <c r="N900">
        <v>16.637</v>
      </c>
      <c r="O900">
        <v>184</v>
      </c>
      <c r="P900">
        <v>3.6</v>
      </c>
      <c r="Q900">
        <v>0.42399999999999999</v>
      </c>
      <c r="R900" t="s">
        <v>57</v>
      </c>
      <c r="S900" t="s">
        <v>5459</v>
      </c>
      <c r="T900" t="b">
        <v>1</v>
      </c>
      <c r="U900" t="s">
        <v>5460</v>
      </c>
      <c r="V900" t="s">
        <v>5461</v>
      </c>
      <c r="W900" t="s">
        <v>5462</v>
      </c>
      <c r="X900" t="s">
        <v>47</v>
      </c>
      <c r="AA900" t="s">
        <v>102</v>
      </c>
      <c r="AB900" t="s">
        <v>1198</v>
      </c>
      <c r="AC900" t="s">
        <v>103</v>
      </c>
      <c r="AD900" t="b">
        <v>0</v>
      </c>
      <c r="AF900">
        <v>2</v>
      </c>
      <c r="AG900" t="s">
        <v>287</v>
      </c>
    </row>
    <row r="901" spans="1:33" x14ac:dyDescent="0.2">
      <c r="A901">
        <v>256</v>
      </c>
      <c r="B901" t="s">
        <v>5463</v>
      </c>
      <c r="C901" t="s">
        <v>34</v>
      </c>
      <c r="D901" t="s">
        <v>35</v>
      </c>
      <c r="E901" t="s">
        <v>512</v>
      </c>
      <c r="F901" t="s">
        <v>513</v>
      </c>
      <c r="G901" t="s">
        <v>377</v>
      </c>
      <c r="H901" t="s">
        <v>378</v>
      </c>
      <c r="I901" t="s">
        <v>514</v>
      </c>
      <c r="J901" t="s">
        <v>515</v>
      </c>
      <c r="K901">
        <v>1941</v>
      </c>
      <c r="L901">
        <v>1941</v>
      </c>
      <c r="M901">
        <v>5.35</v>
      </c>
      <c r="N901">
        <v>28.942</v>
      </c>
      <c r="O901">
        <v>106</v>
      </c>
      <c r="P901">
        <v>5.5</v>
      </c>
      <c r="Q901">
        <v>0.215</v>
      </c>
      <c r="R901" t="s">
        <v>42</v>
      </c>
      <c r="S901" t="s">
        <v>5464</v>
      </c>
      <c r="T901" t="b">
        <v>1</v>
      </c>
      <c r="U901" t="s">
        <v>5465</v>
      </c>
      <c r="V901" t="s">
        <v>518</v>
      </c>
      <c r="W901" t="s">
        <v>5466</v>
      </c>
      <c r="X901" t="s">
        <v>47</v>
      </c>
      <c r="AA901" t="s">
        <v>5467</v>
      </c>
      <c r="AB901" t="s">
        <v>49</v>
      </c>
      <c r="AC901" t="s">
        <v>5468</v>
      </c>
      <c r="AD901" t="b">
        <v>0</v>
      </c>
      <c r="AF901">
        <v>11</v>
      </c>
      <c r="AG901" t="s">
        <v>198</v>
      </c>
    </row>
    <row r="902" spans="1:33" x14ac:dyDescent="0.2">
      <c r="A902">
        <v>257</v>
      </c>
      <c r="B902" t="s">
        <v>5469</v>
      </c>
      <c r="C902" t="s">
        <v>34</v>
      </c>
      <c r="D902" t="s">
        <v>35</v>
      </c>
      <c r="E902" t="s">
        <v>1027</v>
      </c>
      <c r="F902" t="s">
        <v>1028</v>
      </c>
      <c r="G902" t="s">
        <v>213</v>
      </c>
      <c r="H902" t="s">
        <v>83</v>
      </c>
      <c r="I902" t="s">
        <v>1672</v>
      </c>
      <c r="J902" t="s">
        <v>231</v>
      </c>
      <c r="K902">
        <v>1953</v>
      </c>
      <c r="L902">
        <v>1953</v>
      </c>
      <c r="M902">
        <v>120</v>
      </c>
      <c r="N902">
        <v>36.5</v>
      </c>
      <c r="O902">
        <v>629</v>
      </c>
      <c r="P902">
        <v>25.2</v>
      </c>
      <c r="Q902">
        <v>1.323</v>
      </c>
      <c r="R902" t="s">
        <v>84</v>
      </c>
      <c r="S902" t="s">
        <v>5470</v>
      </c>
      <c r="T902" t="b">
        <v>1</v>
      </c>
      <c r="U902" t="s">
        <v>5471</v>
      </c>
      <c r="V902" t="s">
        <v>1032</v>
      </c>
      <c r="W902" t="s">
        <v>5472</v>
      </c>
      <c r="X902" t="s">
        <v>47</v>
      </c>
      <c r="AA902" t="s">
        <v>5473</v>
      </c>
      <c r="AB902" t="s">
        <v>83</v>
      </c>
      <c r="AC902" t="s">
        <v>1035</v>
      </c>
      <c r="AD902" t="b">
        <v>0</v>
      </c>
      <c r="AF902">
        <v>4</v>
      </c>
      <c r="AG902" t="s">
        <v>321</v>
      </c>
    </row>
    <row r="903" spans="1:33" x14ac:dyDescent="0.2">
      <c r="A903">
        <v>1899</v>
      </c>
      <c r="B903" t="s">
        <v>5474</v>
      </c>
      <c r="C903" t="s">
        <v>34</v>
      </c>
      <c r="D903" t="s">
        <v>35</v>
      </c>
      <c r="E903" t="s">
        <v>1027</v>
      </c>
      <c r="F903" t="s">
        <v>1028</v>
      </c>
      <c r="G903" t="s">
        <v>213</v>
      </c>
      <c r="H903" t="s">
        <v>83</v>
      </c>
      <c r="I903" t="s">
        <v>1672</v>
      </c>
      <c r="J903" t="s">
        <v>231</v>
      </c>
      <c r="K903">
        <v>1953</v>
      </c>
      <c r="L903">
        <v>2018</v>
      </c>
      <c r="M903">
        <v>370</v>
      </c>
      <c r="N903">
        <v>1475.7070000000001</v>
      </c>
      <c r="O903">
        <v>670.5</v>
      </c>
      <c r="P903">
        <v>60</v>
      </c>
      <c r="Q903">
        <v>1.7130000000000001</v>
      </c>
      <c r="R903" t="s">
        <v>84</v>
      </c>
      <c r="S903" t="s">
        <v>5475</v>
      </c>
      <c r="T903" t="b">
        <v>1</v>
      </c>
      <c r="U903" t="s">
        <v>1228</v>
      </c>
      <c r="V903" t="s">
        <v>1032</v>
      </c>
      <c r="W903" t="s">
        <v>5476</v>
      </c>
      <c r="X903" t="s">
        <v>47</v>
      </c>
      <c r="AA903" t="s">
        <v>5473</v>
      </c>
      <c r="AB903" t="s">
        <v>56</v>
      </c>
      <c r="AC903" t="s">
        <v>1035</v>
      </c>
      <c r="AD903" t="b">
        <v>0</v>
      </c>
      <c r="AF903">
        <v>4</v>
      </c>
      <c r="AG903" t="s">
        <v>321</v>
      </c>
    </row>
    <row r="904" spans="1:33" x14ac:dyDescent="0.2">
      <c r="A904">
        <v>258</v>
      </c>
      <c r="B904" t="s">
        <v>5477</v>
      </c>
      <c r="C904" t="s">
        <v>34</v>
      </c>
      <c r="D904" t="s">
        <v>35</v>
      </c>
      <c r="E904" t="s">
        <v>5478</v>
      </c>
      <c r="F904" t="s">
        <v>5479</v>
      </c>
      <c r="G904" t="s">
        <v>134</v>
      </c>
      <c r="H904" t="s">
        <v>135</v>
      </c>
      <c r="I904" t="s">
        <v>2605</v>
      </c>
      <c r="J904" t="s">
        <v>1303</v>
      </c>
      <c r="K904">
        <v>1963</v>
      </c>
      <c r="L904">
        <v>1963</v>
      </c>
      <c r="M904">
        <v>4.0999999999999996</v>
      </c>
      <c r="N904">
        <v>27.347000000000001</v>
      </c>
      <c r="O904">
        <v>284</v>
      </c>
      <c r="P904">
        <v>1.6</v>
      </c>
      <c r="Q904">
        <v>0.71199999999999997</v>
      </c>
      <c r="R904" t="s">
        <v>42</v>
      </c>
      <c r="S904" t="s">
        <v>5480</v>
      </c>
      <c r="T904" t="b">
        <v>1</v>
      </c>
      <c r="U904" t="s">
        <v>5481</v>
      </c>
      <c r="V904" t="s">
        <v>5482</v>
      </c>
      <c r="W904" t="s">
        <v>113</v>
      </c>
      <c r="X904" t="s">
        <v>47</v>
      </c>
      <c r="AA904" t="s">
        <v>5483</v>
      </c>
      <c r="AB904" t="s">
        <v>49</v>
      </c>
      <c r="AC904" t="s">
        <v>5484</v>
      </c>
      <c r="AD904" t="b">
        <v>0</v>
      </c>
      <c r="AF904">
        <v>10</v>
      </c>
      <c r="AG904" t="s">
        <v>143</v>
      </c>
    </row>
    <row r="905" spans="1:33" x14ac:dyDescent="0.2">
      <c r="A905">
        <v>2164</v>
      </c>
      <c r="B905" t="s">
        <v>5485</v>
      </c>
      <c r="C905" t="s">
        <v>34</v>
      </c>
      <c r="D905" t="s">
        <v>35</v>
      </c>
      <c r="E905" t="s">
        <v>757</v>
      </c>
      <c r="F905" t="s">
        <v>758</v>
      </c>
      <c r="G905" t="s">
        <v>377</v>
      </c>
      <c r="H905" t="s">
        <v>378</v>
      </c>
      <c r="I905" t="s">
        <v>5486</v>
      </c>
      <c r="J905" t="s">
        <v>539</v>
      </c>
      <c r="K905">
        <v>2024</v>
      </c>
      <c r="L905">
        <v>2024</v>
      </c>
      <c r="M905">
        <v>2.63</v>
      </c>
      <c r="N905">
        <v>7.4</v>
      </c>
      <c r="O905">
        <v>194.6</v>
      </c>
      <c r="P905">
        <v>1.65</v>
      </c>
      <c r="Q905">
        <v>0.443</v>
      </c>
      <c r="R905" t="s">
        <v>42</v>
      </c>
      <c r="S905" t="s">
        <v>5487</v>
      </c>
      <c r="T905" t="b">
        <v>1</v>
      </c>
      <c r="U905" t="s">
        <v>5488</v>
      </c>
      <c r="V905" t="s">
        <v>761</v>
      </c>
      <c r="W905" t="s">
        <v>5489</v>
      </c>
      <c r="X905" t="s">
        <v>47</v>
      </c>
      <c r="AA905" t="s">
        <v>114</v>
      </c>
      <c r="AC905" t="s">
        <v>63</v>
      </c>
      <c r="AD905" t="b">
        <v>0</v>
      </c>
      <c r="AF905">
        <v>11</v>
      </c>
      <c r="AG905" t="s">
        <v>198</v>
      </c>
    </row>
    <row r="906" spans="1:33" x14ac:dyDescent="0.2">
      <c r="A906">
        <v>1164</v>
      </c>
      <c r="B906" t="s">
        <v>5490</v>
      </c>
      <c r="C906" t="s">
        <v>34</v>
      </c>
      <c r="D906" t="s">
        <v>35</v>
      </c>
      <c r="E906" t="s">
        <v>5491</v>
      </c>
      <c r="F906" t="s">
        <v>5492</v>
      </c>
      <c r="G906" t="s">
        <v>93</v>
      </c>
      <c r="H906" t="s">
        <v>94</v>
      </c>
      <c r="I906" t="s">
        <v>2804</v>
      </c>
      <c r="J906" t="s">
        <v>676</v>
      </c>
      <c r="K906">
        <v>1999</v>
      </c>
      <c r="L906">
        <v>1999</v>
      </c>
      <c r="M906">
        <v>0.35</v>
      </c>
      <c r="N906">
        <v>1.359</v>
      </c>
      <c r="R906" t="s">
        <v>97</v>
      </c>
      <c r="S906" t="s">
        <v>5493</v>
      </c>
      <c r="T906" t="b">
        <v>1</v>
      </c>
      <c r="U906" t="s">
        <v>571</v>
      </c>
      <c r="V906" t="s">
        <v>5494</v>
      </c>
      <c r="W906" t="s">
        <v>5495</v>
      </c>
      <c r="X906" t="s">
        <v>47</v>
      </c>
      <c r="AA906" t="s">
        <v>340</v>
      </c>
      <c r="AC906" t="s">
        <v>341</v>
      </c>
      <c r="AD906" t="b">
        <v>0</v>
      </c>
      <c r="AF906">
        <v>1</v>
      </c>
      <c r="AG906" t="s">
        <v>104</v>
      </c>
    </row>
    <row r="907" spans="1:33" x14ac:dyDescent="0.2">
      <c r="A907">
        <v>1365</v>
      </c>
      <c r="B907" t="s">
        <v>5496</v>
      </c>
      <c r="C907" t="s">
        <v>34</v>
      </c>
      <c r="D907" t="s">
        <v>35</v>
      </c>
      <c r="E907" t="s">
        <v>1647</v>
      </c>
      <c r="F907" t="s">
        <v>1648</v>
      </c>
      <c r="G907" t="s">
        <v>213</v>
      </c>
      <c r="H907" t="s">
        <v>83</v>
      </c>
      <c r="I907" t="s">
        <v>611</v>
      </c>
      <c r="J907" t="s">
        <v>612</v>
      </c>
      <c r="K907">
        <v>2007</v>
      </c>
      <c r="L907">
        <v>2007</v>
      </c>
      <c r="M907">
        <v>0.56999999999999995</v>
      </c>
      <c r="N907">
        <v>1.8620000000000001</v>
      </c>
      <c r="O907">
        <v>36.700000000000003</v>
      </c>
      <c r="R907" t="s">
        <v>84</v>
      </c>
      <c r="S907" t="s">
        <v>5497</v>
      </c>
      <c r="T907" t="b">
        <v>1</v>
      </c>
      <c r="U907" t="s">
        <v>5498</v>
      </c>
      <c r="V907" t="s">
        <v>1651</v>
      </c>
      <c r="W907" t="s">
        <v>5499</v>
      </c>
      <c r="X907" t="s">
        <v>47</v>
      </c>
      <c r="AA907" t="s">
        <v>615</v>
      </c>
      <c r="AC907" t="s">
        <v>616</v>
      </c>
      <c r="AD907" t="b">
        <v>0</v>
      </c>
      <c r="AF907">
        <v>4</v>
      </c>
      <c r="AG907" t="s">
        <v>321</v>
      </c>
    </row>
    <row r="908" spans="1:33" x14ac:dyDescent="0.2">
      <c r="A908">
        <v>259</v>
      </c>
      <c r="B908" t="s">
        <v>5500</v>
      </c>
      <c r="C908" t="s">
        <v>34</v>
      </c>
      <c r="D908" t="s">
        <v>35</v>
      </c>
      <c r="E908" t="s">
        <v>36</v>
      </c>
      <c r="F908" t="s">
        <v>37</v>
      </c>
      <c r="G908" t="s">
        <v>242</v>
      </c>
      <c r="H908" t="s">
        <v>243</v>
      </c>
      <c r="I908" t="s">
        <v>978</v>
      </c>
      <c r="J908" t="s">
        <v>49</v>
      </c>
      <c r="K908">
        <v>1926</v>
      </c>
      <c r="L908">
        <v>2021</v>
      </c>
      <c r="M908">
        <v>9.3000000000000007</v>
      </c>
      <c r="N908">
        <v>50</v>
      </c>
      <c r="O908">
        <v>55</v>
      </c>
      <c r="P908">
        <v>20</v>
      </c>
      <c r="Q908">
        <v>0.108</v>
      </c>
      <c r="R908" t="s">
        <v>72</v>
      </c>
      <c r="S908" t="s">
        <v>5501</v>
      </c>
      <c r="T908" t="b">
        <v>1</v>
      </c>
      <c r="U908" t="s">
        <v>5502</v>
      </c>
      <c r="V908" t="s">
        <v>45</v>
      </c>
      <c r="W908" t="s">
        <v>113</v>
      </c>
      <c r="X908" t="s">
        <v>47</v>
      </c>
      <c r="AA908" t="s">
        <v>982</v>
      </c>
      <c r="AB908" t="s">
        <v>401</v>
      </c>
      <c r="AC908" t="s">
        <v>983</v>
      </c>
      <c r="AD908" t="b">
        <v>0</v>
      </c>
      <c r="AF908">
        <v>9</v>
      </c>
      <c r="AG908" t="s">
        <v>251</v>
      </c>
    </row>
    <row r="909" spans="1:33" x14ac:dyDescent="0.2">
      <c r="A909">
        <v>2011</v>
      </c>
      <c r="B909" t="s">
        <v>5503</v>
      </c>
      <c r="C909" t="s">
        <v>34</v>
      </c>
      <c r="D909" t="s">
        <v>35</v>
      </c>
      <c r="E909" t="s">
        <v>818</v>
      </c>
      <c r="F909" t="s">
        <v>819</v>
      </c>
      <c r="G909" t="s">
        <v>53</v>
      </c>
      <c r="H909" t="s">
        <v>54</v>
      </c>
      <c r="I909" t="s">
        <v>82</v>
      </c>
      <c r="J909" t="s">
        <v>83</v>
      </c>
      <c r="K909">
        <v>2024</v>
      </c>
      <c r="L909">
        <v>2024</v>
      </c>
      <c r="M909">
        <v>60</v>
      </c>
      <c r="N909">
        <v>163</v>
      </c>
      <c r="O909">
        <v>554.92999999999995</v>
      </c>
      <c r="P909">
        <v>12.3</v>
      </c>
      <c r="Q909">
        <v>1.355</v>
      </c>
      <c r="R909" t="s">
        <v>84</v>
      </c>
      <c r="S909" t="s">
        <v>5504</v>
      </c>
      <c r="T909" t="b">
        <v>1</v>
      </c>
      <c r="U909" t="s">
        <v>5505</v>
      </c>
      <c r="V909" t="s">
        <v>822</v>
      </c>
      <c r="W909" t="s">
        <v>5506</v>
      </c>
      <c r="X909" t="s">
        <v>47</v>
      </c>
      <c r="AA909" t="s">
        <v>3302</v>
      </c>
      <c r="AB909" t="s">
        <v>765</v>
      </c>
      <c r="AC909" t="s">
        <v>3303</v>
      </c>
      <c r="AD909" t="b">
        <v>0</v>
      </c>
      <c r="AF909">
        <v>5</v>
      </c>
      <c r="AG909" t="s">
        <v>89</v>
      </c>
    </row>
    <row r="910" spans="1:33" x14ac:dyDescent="0.2">
      <c r="A910">
        <v>2006</v>
      </c>
      <c r="B910" t="s">
        <v>5507</v>
      </c>
      <c r="C910" t="s">
        <v>34</v>
      </c>
      <c r="D910" t="s">
        <v>35</v>
      </c>
      <c r="E910" t="s">
        <v>892</v>
      </c>
      <c r="F910" t="s">
        <v>893</v>
      </c>
      <c r="G910" t="s">
        <v>53</v>
      </c>
      <c r="H910" t="s">
        <v>54</v>
      </c>
      <c r="I910" t="s">
        <v>1251</v>
      </c>
      <c r="J910" t="s">
        <v>177</v>
      </c>
      <c r="K910">
        <v>2020</v>
      </c>
      <c r="L910">
        <v>2020</v>
      </c>
      <c r="M910">
        <v>2.16</v>
      </c>
      <c r="N910">
        <v>6.0309999999999997</v>
      </c>
      <c r="O910">
        <v>151.85</v>
      </c>
      <c r="P910">
        <v>1.6</v>
      </c>
      <c r="Q910">
        <v>0.375</v>
      </c>
      <c r="R910" t="s">
        <v>72</v>
      </c>
      <c r="S910" t="s">
        <v>5508</v>
      </c>
      <c r="T910" t="b">
        <v>1</v>
      </c>
      <c r="U910" t="s">
        <v>5509</v>
      </c>
      <c r="V910" t="s">
        <v>896</v>
      </c>
      <c r="W910" t="s">
        <v>5510</v>
      </c>
      <c r="X910" t="s">
        <v>47</v>
      </c>
      <c r="AA910" t="s">
        <v>3480</v>
      </c>
      <c r="AC910" t="s">
        <v>5511</v>
      </c>
      <c r="AD910" t="b">
        <v>0</v>
      </c>
      <c r="AF910">
        <v>13</v>
      </c>
      <c r="AG910" t="s">
        <v>155</v>
      </c>
    </row>
    <row r="911" spans="1:33" x14ac:dyDescent="0.2">
      <c r="A911">
        <v>260</v>
      </c>
      <c r="B911" t="s">
        <v>5512</v>
      </c>
      <c r="C911" t="s">
        <v>34</v>
      </c>
      <c r="D911" t="s">
        <v>35</v>
      </c>
      <c r="E911" t="s">
        <v>277</v>
      </c>
      <c r="F911" t="s">
        <v>278</v>
      </c>
      <c r="G911" t="s">
        <v>93</v>
      </c>
      <c r="H911" t="s">
        <v>94</v>
      </c>
      <c r="I911" t="s">
        <v>2804</v>
      </c>
      <c r="J911" t="s">
        <v>676</v>
      </c>
      <c r="K911">
        <v>1971</v>
      </c>
      <c r="L911">
        <v>1971</v>
      </c>
      <c r="M911">
        <v>29</v>
      </c>
      <c r="N911">
        <v>145.7362</v>
      </c>
      <c r="O911">
        <v>18.89</v>
      </c>
      <c r="P911">
        <v>176</v>
      </c>
      <c r="Q911">
        <v>4.5999999999999999E-2</v>
      </c>
      <c r="R911" t="s">
        <v>97</v>
      </c>
      <c r="S911" t="s">
        <v>5513</v>
      </c>
      <c r="T911" t="b">
        <v>1</v>
      </c>
      <c r="U911" t="s">
        <v>5514</v>
      </c>
      <c r="V911" t="s">
        <v>389</v>
      </c>
      <c r="W911" t="s">
        <v>5515</v>
      </c>
      <c r="X911" t="s">
        <v>47</v>
      </c>
      <c r="AA911" t="s">
        <v>340</v>
      </c>
      <c r="AB911" t="s">
        <v>731</v>
      </c>
      <c r="AC911" t="s">
        <v>341</v>
      </c>
      <c r="AD911" t="b">
        <v>0</v>
      </c>
      <c r="AF911">
        <v>1</v>
      </c>
      <c r="AG911" t="s">
        <v>104</v>
      </c>
    </row>
    <row r="912" spans="1:33" x14ac:dyDescent="0.2">
      <c r="A912">
        <v>1000</v>
      </c>
      <c r="B912" t="s">
        <v>5516</v>
      </c>
      <c r="C912" t="s">
        <v>34</v>
      </c>
      <c r="D912" t="s">
        <v>35</v>
      </c>
      <c r="E912" t="s">
        <v>5517</v>
      </c>
      <c r="F912" t="s">
        <v>5518</v>
      </c>
      <c r="G912" t="s">
        <v>53</v>
      </c>
      <c r="H912" t="s">
        <v>54</v>
      </c>
      <c r="I912" t="s">
        <v>118</v>
      </c>
      <c r="J912" t="s">
        <v>119</v>
      </c>
      <c r="K912">
        <v>2003</v>
      </c>
      <c r="L912">
        <v>2003</v>
      </c>
      <c r="M912">
        <v>0.12</v>
      </c>
      <c r="N912">
        <v>0.74299999999999999</v>
      </c>
      <c r="R912" t="s">
        <v>84</v>
      </c>
      <c r="S912" t="s">
        <v>5519</v>
      </c>
      <c r="T912" t="b">
        <v>1</v>
      </c>
      <c r="U912" t="s">
        <v>2246</v>
      </c>
      <c r="V912" t="s">
        <v>5520</v>
      </c>
      <c r="W912" t="s">
        <v>5521</v>
      </c>
      <c r="X912" t="s">
        <v>47</v>
      </c>
      <c r="AA912" t="s">
        <v>5522</v>
      </c>
      <c r="AC912" t="s">
        <v>63</v>
      </c>
      <c r="AD912" t="b">
        <v>0</v>
      </c>
      <c r="AF912">
        <v>5</v>
      </c>
      <c r="AG912" t="s">
        <v>89</v>
      </c>
    </row>
    <row r="913" spans="1:33" x14ac:dyDescent="0.2">
      <c r="A913">
        <v>1487</v>
      </c>
      <c r="B913" t="s">
        <v>5523</v>
      </c>
      <c r="C913" t="s">
        <v>34</v>
      </c>
      <c r="D913" t="s">
        <v>35</v>
      </c>
      <c r="E913" t="s">
        <v>5524</v>
      </c>
      <c r="F913" t="s">
        <v>5525</v>
      </c>
      <c r="G913" t="s">
        <v>213</v>
      </c>
      <c r="H913" t="s">
        <v>83</v>
      </c>
      <c r="I913" t="s">
        <v>1152</v>
      </c>
      <c r="J913" t="s">
        <v>676</v>
      </c>
      <c r="K913">
        <v>2010</v>
      </c>
      <c r="L913">
        <v>2010</v>
      </c>
      <c r="M913">
        <v>1.875</v>
      </c>
      <c r="N913">
        <v>6.3609999999999998</v>
      </c>
      <c r="O913">
        <v>84</v>
      </c>
      <c r="P913">
        <v>2.5</v>
      </c>
      <c r="Q913">
        <v>0.20799999999999999</v>
      </c>
      <c r="R913" t="s">
        <v>84</v>
      </c>
      <c r="S913" t="s">
        <v>5526</v>
      </c>
      <c r="T913" t="b">
        <v>1</v>
      </c>
      <c r="U913" t="s">
        <v>5527</v>
      </c>
      <c r="V913" t="s">
        <v>5528</v>
      </c>
      <c r="W913" t="s">
        <v>5529</v>
      </c>
      <c r="X913" t="s">
        <v>47</v>
      </c>
      <c r="AA913" t="s">
        <v>5530</v>
      </c>
      <c r="AB913" t="s">
        <v>401</v>
      </c>
      <c r="AC913" t="s">
        <v>5531</v>
      </c>
      <c r="AD913" t="b">
        <v>0</v>
      </c>
      <c r="AF913">
        <v>4</v>
      </c>
      <c r="AG913" t="s">
        <v>321</v>
      </c>
    </row>
    <row r="914" spans="1:33" x14ac:dyDescent="0.2">
      <c r="A914">
        <v>962</v>
      </c>
      <c r="B914" t="s">
        <v>5532</v>
      </c>
      <c r="C914" t="s">
        <v>34</v>
      </c>
      <c r="D914" t="s">
        <v>35</v>
      </c>
      <c r="E914" t="s">
        <v>277</v>
      </c>
      <c r="F914" t="s">
        <v>278</v>
      </c>
      <c r="G914" t="s">
        <v>483</v>
      </c>
      <c r="H914" t="s">
        <v>109</v>
      </c>
      <c r="I914" t="s">
        <v>1355</v>
      </c>
      <c r="J914" t="s">
        <v>462</v>
      </c>
      <c r="K914">
        <v>1984</v>
      </c>
      <c r="L914">
        <v>1984</v>
      </c>
      <c r="M914">
        <v>0.77</v>
      </c>
      <c r="N914">
        <v>4.6189999999999998</v>
      </c>
      <c r="R914" t="s">
        <v>97</v>
      </c>
      <c r="S914" t="s">
        <v>5533</v>
      </c>
      <c r="T914" t="b">
        <v>1</v>
      </c>
      <c r="U914" t="s">
        <v>2163</v>
      </c>
      <c r="V914" t="s">
        <v>2115</v>
      </c>
      <c r="W914" t="s">
        <v>113</v>
      </c>
      <c r="X914" t="s">
        <v>47</v>
      </c>
      <c r="AA914" t="s">
        <v>340</v>
      </c>
      <c r="AC914" t="s">
        <v>1063</v>
      </c>
      <c r="AD914" t="b">
        <v>0</v>
      </c>
      <c r="AF914">
        <v>1</v>
      </c>
      <c r="AG914" t="s">
        <v>104</v>
      </c>
    </row>
    <row r="915" spans="1:33" x14ac:dyDescent="0.2">
      <c r="A915">
        <v>963</v>
      </c>
      <c r="B915" t="s">
        <v>5534</v>
      </c>
      <c r="C915" t="s">
        <v>34</v>
      </c>
      <c r="D915" t="s">
        <v>35</v>
      </c>
      <c r="E915" t="s">
        <v>277</v>
      </c>
      <c r="F915" t="s">
        <v>278</v>
      </c>
      <c r="G915" t="s">
        <v>483</v>
      </c>
      <c r="H915" t="s">
        <v>109</v>
      </c>
      <c r="I915" t="s">
        <v>1355</v>
      </c>
      <c r="J915" t="s">
        <v>462</v>
      </c>
      <c r="K915">
        <v>1960</v>
      </c>
      <c r="L915">
        <v>1960</v>
      </c>
      <c r="M915">
        <v>0.86</v>
      </c>
      <c r="N915">
        <v>4.7409999999999997</v>
      </c>
      <c r="O915">
        <v>7.8</v>
      </c>
      <c r="P915">
        <v>14</v>
      </c>
      <c r="R915" t="s">
        <v>97</v>
      </c>
      <c r="S915" t="s">
        <v>5535</v>
      </c>
      <c r="T915" t="b">
        <v>1</v>
      </c>
      <c r="U915" t="s">
        <v>1828</v>
      </c>
      <c r="V915" t="s">
        <v>2115</v>
      </c>
      <c r="W915" t="s">
        <v>5536</v>
      </c>
      <c r="X915" t="s">
        <v>47</v>
      </c>
      <c r="AA915" t="s">
        <v>340</v>
      </c>
      <c r="AC915" t="s">
        <v>1063</v>
      </c>
      <c r="AD915" t="b">
        <v>0</v>
      </c>
      <c r="AF915">
        <v>1</v>
      </c>
      <c r="AG915" t="s">
        <v>104</v>
      </c>
    </row>
    <row r="916" spans="1:33" x14ac:dyDescent="0.2">
      <c r="A916">
        <v>964</v>
      </c>
      <c r="B916" t="s">
        <v>5537</v>
      </c>
      <c r="C916" t="s">
        <v>34</v>
      </c>
      <c r="D916" t="s">
        <v>35</v>
      </c>
      <c r="E916" t="s">
        <v>277</v>
      </c>
      <c r="F916" t="s">
        <v>278</v>
      </c>
      <c r="G916" t="s">
        <v>483</v>
      </c>
      <c r="H916" t="s">
        <v>109</v>
      </c>
      <c r="I916" t="s">
        <v>1355</v>
      </c>
      <c r="J916" t="s">
        <v>462</v>
      </c>
      <c r="K916">
        <v>1978</v>
      </c>
      <c r="L916">
        <v>1978</v>
      </c>
      <c r="M916">
        <v>0.78</v>
      </c>
      <c r="N916">
        <v>5.0119999999999996</v>
      </c>
      <c r="R916" t="s">
        <v>97</v>
      </c>
      <c r="S916" t="s">
        <v>5535</v>
      </c>
      <c r="T916" t="b">
        <v>1</v>
      </c>
      <c r="U916" t="s">
        <v>1529</v>
      </c>
      <c r="V916" t="s">
        <v>2115</v>
      </c>
      <c r="W916" t="s">
        <v>113</v>
      </c>
      <c r="X916" t="s">
        <v>47</v>
      </c>
      <c r="AA916" t="s">
        <v>340</v>
      </c>
      <c r="AC916" t="s">
        <v>1063</v>
      </c>
      <c r="AD916" t="b">
        <v>0</v>
      </c>
      <c r="AF916">
        <v>1</v>
      </c>
      <c r="AG916" t="s">
        <v>104</v>
      </c>
    </row>
    <row r="917" spans="1:33" x14ac:dyDescent="0.2">
      <c r="A917">
        <v>261</v>
      </c>
      <c r="B917" t="s">
        <v>5538</v>
      </c>
      <c r="C917" t="s">
        <v>34</v>
      </c>
      <c r="D917" t="s">
        <v>35</v>
      </c>
      <c r="E917" t="s">
        <v>277</v>
      </c>
      <c r="F917" t="s">
        <v>278</v>
      </c>
      <c r="G917" t="s">
        <v>483</v>
      </c>
      <c r="H917" t="s">
        <v>109</v>
      </c>
      <c r="I917" t="s">
        <v>1355</v>
      </c>
      <c r="J917" t="s">
        <v>462</v>
      </c>
      <c r="K917">
        <v>1980</v>
      </c>
      <c r="L917">
        <v>1980</v>
      </c>
      <c r="M917">
        <v>1.6</v>
      </c>
      <c r="N917">
        <v>6.1760000000000002</v>
      </c>
      <c r="O917">
        <v>8</v>
      </c>
      <c r="P917">
        <v>26.13</v>
      </c>
      <c r="Q917">
        <v>1.7000000000000001E-2</v>
      </c>
      <c r="R917" t="s">
        <v>97</v>
      </c>
      <c r="S917" t="s">
        <v>5539</v>
      </c>
      <c r="T917" t="b">
        <v>1</v>
      </c>
      <c r="U917" t="s">
        <v>3317</v>
      </c>
      <c r="V917" t="s">
        <v>2115</v>
      </c>
      <c r="W917" t="s">
        <v>113</v>
      </c>
      <c r="X917" t="s">
        <v>47</v>
      </c>
      <c r="AA917" t="s">
        <v>340</v>
      </c>
      <c r="AB917" t="s">
        <v>1742</v>
      </c>
      <c r="AC917" t="s">
        <v>1063</v>
      </c>
      <c r="AD917" t="b">
        <v>0</v>
      </c>
      <c r="AF917">
        <v>1</v>
      </c>
      <c r="AG917" t="s">
        <v>104</v>
      </c>
    </row>
    <row r="918" spans="1:33" x14ac:dyDescent="0.2">
      <c r="A918">
        <v>1714</v>
      </c>
      <c r="B918" t="s">
        <v>5540</v>
      </c>
      <c r="C918" t="s">
        <v>34</v>
      </c>
      <c r="D918" t="s">
        <v>35</v>
      </c>
      <c r="E918" t="s">
        <v>36</v>
      </c>
      <c r="F918" t="s">
        <v>37</v>
      </c>
      <c r="G918" t="s">
        <v>53</v>
      </c>
      <c r="H918" t="s">
        <v>54</v>
      </c>
      <c r="I918" t="s">
        <v>604</v>
      </c>
      <c r="J918" t="s">
        <v>426</v>
      </c>
      <c r="K918">
        <v>2012</v>
      </c>
      <c r="L918">
        <v>2012</v>
      </c>
      <c r="M918">
        <v>4</v>
      </c>
      <c r="N918">
        <v>15.717000000000001</v>
      </c>
      <c r="O918">
        <v>93</v>
      </c>
      <c r="P918">
        <v>4.9000000000000004</v>
      </c>
      <c r="Q918">
        <v>0.22700000000000001</v>
      </c>
      <c r="R918" t="s">
        <v>72</v>
      </c>
      <c r="S918" t="s">
        <v>5541</v>
      </c>
      <c r="T918" t="b">
        <v>1</v>
      </c>
      <c r="U918" t="s">
        <v>5542</v>
      </c>
      <c r="V918" t="s">
        <v>45</v>
      </c>
      <c r="W918" t="s">
        <v>5543</v>
      </c>
      <c r="X918" t="s">
        <v>47</v>
      </c>
      <c r="AA918" t="s">
        <v>1924</v>
      </c>
      <c r="AB918" t="s">
        <v>227</v>
      </c>
      <c r="AC918" t="s">
        <v>1925</v>
      </c>
      <c r="AD918" t="b">
        <v>0</v>
      </c>
      <c r="AF918">
        <v>13</v>
      </c>
      <c r="AG918" t="s">
        <v>155</v>
      </c>
    </row>
    <row r="919" spans="1:33" x14ac:dyDescent="0.2">
      <c r="A919">
        <v>2012</v>
      </c>
      <c r="B919" t="s">
        <v>5544</v>
      </c>
      <c r="C919" t="s">
        <v>34</v>
      </c>
      <c r="D919" t="s">
        <v>35</v>
      </c>
      <c r="E919" t="s">
        <v>892</v>
      </c>
      <c r="F919" t="s">
        <v>893</v>
      </c>
      <c r="G919" t="s">
        <v>68</v>
      </c>
      <c r="H919" t="s">
        <v>69</v>
      </c>
      <c r="I919" t="s">
        <v>5545</v>
      </c>
      <c r="J919" t="s">
        <v>1359</v>
      </c>
      <c r="K919">
        <v>2020</v>
      </c>
      <c r="L919">
        <v>2020</v>
      </c>
      <c r="M919">
        <v>2.1</v>
      </c>
      <c r="N919">
        <v>5.4340000000000002</v>
      </c>
      <c r="O919">
        <v>64.5</v>
      </c>
      <c r="P919">
        <v>3.8</v>
      </c>
      <c r="Q919">
        <v>0.154</v>
      </c>
      <c r="R919" t="s">
        <v>72</v>
      </c>
      <c r="S919" t="s">
        <v>5546</v>
      </c>
      <c r="T919" t="b">
        <v>1</v>
      </c>
      <c r="U919" t="s">
        <v>5223</v>
      </c>
      <c r="V919" t="s">
        <v>896</v>
      </c>
      <c r="W919" t="s">
        <v>5547</v>
      </c>
      <c r="X919" t="s">
        <v>47</v>
      </c>
      <c r="AA919" t="s">
        <v>5548</v>
      </c>
      <c r="AC919" t="s">
        <v>63</v>
      </c>
      <c r="AD919" t="b">
        <v>0</v>
      </c>
      <c r="AF919">
        <v>8</v>
      </c>
      <c r="AG919" t="s">
        <v>78</v>
      </c>
    </row>
    <row r="920" spans="1:33" x14ac:dyDescent="0.2">
      <c r="A920">
        <v>1112</v>
      </c>
      <c r="B920" t="s">
        <v>5549</v>
      </c>
      <c r="C920" t="s">
        <v>34</v>
      </c>
      <c r="D920" t="s">
        <v>35</v>
      </c>
      <c r="E920" t="s">
        <v>5550</v>
      </c>
      <c r="F920" t="s">
        <v>5551</v>
      </c>
      <c r="G920" t="s">
        <v>242</v>
      </c>
      <c r="H920" t="s">
        <v>243</v>
      </c>
      <c r="I920" t="s">
        <v>1003</v>
      </c>
      <c r="J920" t="s">
        <v>192</v>
      </c>
      <c r="K920">
        <v>1997</v>
      </c>
      <c r="L920">
        <v>1997</v>
      </c>
      <c r="M920">
        <v>0.7</v>
      </c>
      <c r="N920">
        <v>2.266</v>
      </c>
      <c r="R920" t="s">
        <v>72</v>
      </c>
      <c r="S920" t="s">
        <v>5552</v>
      </c>
      <c r="T920" t="b">
        <v>1</v>
      </c>
      <c r="U920" t="s">
        <v>111</v>
      </c>
      <c r="V920" t="s">
        <v>5553</v>
      </c>
      <c r="W920" t="s">
        <v>5554</v>
      </c>
      <c r="X920" t="s">
        <v>47</v>
      </c>
      <c r="AA920" t="s">
        <v>5555</v>
      </c>
      <c r="AC920" t="s">
        <v>63</v>
      </c>
      <c r="AD920" t="b">
        <v>0</v>
      </c>
      <c r="AF920">
        <v>9</v>
      </c>
      <c r="AG920" t="s">
        <v>251</v>
      </c>
    </row>
    <row r="921" spans="1:33" x14ac:dyDescent="0.2">
      <c r="A921">
        <v>905</v>
      </c>
      <c r="B921" t="s">
        <v>5556</v>
      </c>
      <c r="C921" t="s">
        <v>34</v>
      </c>
      <c r="D921" t="s">
        <v>35</v>
      </c>
      <c r="E921" t="s">
        <v>5557</v>
      </c>
      <c r="F921" t="s">
        <v>5558</v>
      </c>
      <c r="G921" t="s">
        <v>53</v>
      </c>
      <c r="H921" t="s">
        <v>54</v>
      </c>
      <c r="I921" t="s">
        <v>362</v>
      </c>
      <c r="J921" t="s">
        <v>256</v>
      </c>
      <c r="K921">
        <v>2000</v>
      </c>
      <c r="L921">
        <v>2000</v>
      </c>
      <c r="M921">
        <v>0.125</v>
      </c>
      <c r="N921">
        <v>0.70599999999999996</v>
      </c>
      <c r="R921" t="s">
        <v>72</v>
      </c>
      <c r="S921" t="s">
        <v>5559</v>
      </c>
      <c r="T921" t="b">
        <v>1</v>
      </c>
      <c r="U921" t="s">
        <v>754</v>
      </c>
      <c r="V921" t="s">
        <v>5560</v>
      </c>
      <c r="W921" t="s">
        <v>5561</v>
      </c>
      <c r="X921" t="s">
        <v>47</v>
      </c>
      <c r="AA921" t="s">
        <v>2925</v>
      </c>
      <c r="AC921" t="s">
        <v>63</v>
      </c>
      <c r="AD921" t="b">
        <v>0</v>
      </c>
      <c r="AF921">
        <v>13</v>
      </c>
      <c r="AG921" t="s">
        <v>155</v>
      </c>
    </row>
    <row r="922" spans="1:33" x14ac:dyDescent="0.2">
      <c r="A922">
        <v>1851</v>
      </c>
      <c r="B922" t="s">
        <v>5562</v>
      </c>
      <c r="C922" t="s">
        <v>34</v>
      </c>
      <c r="D922" t="s">
        <v>35</v>
      </c>
      <c r="E922" t="s">
        <v>2170</v>
      </c>
      <c r="F922" t="s">
        <v>2171</v>
      </c>
      <c r="G922" t="s">
        <v>53</v>
      </c>
      <c r="H922" t="s">
        <v>54</v>
      </c>
      <c r="I922" t="s">
        <v>2383</v>
      </c>
      <c r="J922" t="s">
        <v>1072</v>
      </c>
      <c r="K922">
        <v>2016</v>
      </c>
      <c r="L922">
        <v>2016</v>
      </c>
      <c r="M922">
        <v>3.52</v>
      </c>
      <c r="N922">
        <v>14.856</v>
      </c>
      <c r="O922">
        <v>160.34</v>
      </c>
      <c r="P922">
        <v>2.6</v>
      </c>
      <c r="Q922">
        <v>0.376</v>
      </c>
      <c r="R922" t="s">
        <v>57</v>
      </c>
      <c r="S922" t="s">
        <v>5563</v>
      </c>
      <c r="T922" t="b">
        <v>1</v>
      </c>
      <c r="U922" t="s">
        <v>5564</v>
      </c>
      <c r="V922" t="s">
        <v>2174</v>
      </c>
      <c r="W922" t="s">
        <v>5565</v>
      </c>
      <c r="X922" t="s">
        <v>47</v>
      </c>
      <c r="AA922" t="s">
        <v>2386</v>
      </c>
      <c r="AB922" t="s">
        <v>192</v>
      </c>
      <c r="AC922" t="s">
        <v>3849</v>
      </c>
      <c r="AD922" t="b">
        <v>0</v>
      </c>
      <c r="AF922">
        <v>7</v>
      </c>
      <c r="AG922" t="s">
        <v>469</v>
      </c>
    </row>
    <row r="923" spans="1:33" x14ac:dyDescent="0.2">
      <c r="A923">
        <v>262</v>
      </c>
      <c r="B923" t="s">
        <v>5566</v>
      </c>
      <c r="C923" t="s">
        <v>574</v>
      </c>
      <c r="D923" t="s">
        <v>575</v>
      </c>
      <c r="E923" t="s">
        <v>36</v>
      </c>
      <c r="F923" t="s">
        <v>37</v>
      </c>
      <c r="G923" t="s">
        <v>68</v>
      </c>
      <c r="H923" t="s">
        <v>69</v>
      </c>
      <c r="I923" t="s">
        <v>453</v>
      </c>
      <c r="J923" t="s">
        <v>192</v>
      </c>
      <c r="K923">
        <v>1975</v>
      </c>
      <c r="L923">
        <v>1975</v>
      </c>
      <c r="M923">
        <v>-6</v>
      </c>
      <c r="N923">
        <v>-21.556999999999999</v>
      </c>
      <c r="O923">
        <v>0</v>
      </c>
      <c r="P923">
        <v>4</v>
      </c>
      <c r="Q923">
        <v>-0.41599999999999998</v>
      </c>
      <c r="R923" t="s">
        <v>72</v>
      </c>
      <c r="S923" t="s">
        <v>5567</v>
      </c>
      <c r="T923" t="b">
        <v>1</v>
      </c>
      <c r="U923" t="s">
        <v>3070</v>
      </c>
      <c r="V923" t="s">
        <v>2998</v>
      </c>
      <c r="W923" t="s">
        <v>5568</v>
      </c>
      <c r="X923" t="s">
        <v>47</v>
      </c>
      <c r="AA923" t="s">
        <v>1885</v>
      </c>
      <c r="AB923" t="s">
        <v>765</v>
      </c>
      <c r="AC923" t="s">
        <v>3000</v>
      </c>
      <c r="AD923" t="b">
        <v>0</v>
      </c>
      <c r="AF923">
        <v>8</v>
      </c>
      <c r="AG923" t="s">
        <v>78</v>
      </c>
    </row>
    <row r="924" spans="1:33" x14ac:dyDescent="0.2">
      <c r="A924">
        <v>1414</v>
      </c>
      <c r="B924" t="s">
        <v>5569</v>
      </c>
      <c r="C924" t="s">
        <v>34</v>
      </c>
      <c r="D924" t="s">
        <v>35</v>
      </c>
      <c r="E924" t="s">
        <v>5570</v>
      </c>
      <c r="F924" t="s">
        <v>5571</v>
      </c>
      <c r="G924" t="s">
        <v>213</v>
      </c>
      <c r="H924" t="s">
        <v>83</v>
      </c>
      <c r="I924" t="s">
        <v>635</v>
      </c>
      <c r="J924" t="s">
        <v>94</v>
      </c>
      <c r="K924">
        <v>2008</v>
      </c>
      <c r="L924">
        <v>2008</v>
      </c>
      <c r="M924">
        <v>0.09</v>
      </c>
      <c r="N924">
        <v>0.439</v>
      </c>
      <c r="O924">
        <v>110</v>
      </c>
      <c r="P924">
        <v>0.09</v>
      </c>
      <c r="Q924">
        <v>0.27800000000000002</v>
      </c>
      <c r="R924" t="s">
        <v>84</v>
      </c>
      <c r="S924" t="s">
        <v>5572</v>
      </c>
      <c r="T924" t="b">
        <v>1</v>
      </c>
      <c r="U924" t="s">
        <v>5573</v>
      </c>
      <c r="V924" t="s">
        <v>5574</v>
      </c>
      <c r="W924" t="s">
        <v>5575</v>
      </c>
      <c r="X924" t="s">
        <v>47</v>
      </c>
      <c r="AA924" t="s">
        <v>3369</v>
      </c>
      <c r="AC924" t="s">
        <v>63</v>
      </c>
      <c r="AD924" t="b">
        <v>0</v>
      </c>
      <c r="AF924">
        <v>3</v>
      </c>
      <c r="AG924" t="s">
        <v>332</v>
      </c>
    </row>
    <row r="925" spans="1:33" x14ac:dyDescent="0.2">
      <c r="A925">
        <v>870</v>
      </c>
      <c r="B925" t="s">
        <v>5576</v>
      </c>
      <c r="C925" t="s">
        <v>34</v>
      </c>
      <c r="D925" t="s">
        <v>35</v>
      </c>
      <c r="G925" t="s">
        <v>53</v>
      </c>
      <c r="H925" t="s">
        <v>54</v>
      </c>
      <c r="I925" t="s">
        <v>532</v>
      </c>
      <c r="J925" t="s">
        <v>533</v>
      </c>
      <c r="K925">
        <v>2001</v>
      </c>
      <c r="L925">
        <v>2001</v>
      </c>
      <c r="M925">
        <v>0.09</v>
      </c>
      <c r="N925">
        <v>0.28399999999999997</v>
      </c>
      <c r="R925" t="s">
        <v>57</v>
      </c>
      <c r="S925" t="s">
        <v>5577</v>
      </c>
      <c r="T925" t="b">
        <v>1</v>
      </c>
      <c r="U925" t="s">
        <v>1103</v>
      </c>
      <c r="V925" t="s">
        <v>274</v>
      </c>
      <c r="W925" t="s">
        <v>5578</v>
      </c>
      <c r="X925" t="s">
        <v>47</v>
      </c>
      <c r="AA925" t="s">
        <v>5579</v>
      </c>
      <c r="AC925" t="s">
        <v>63</v>
      </c>
      <c r="AD925" t="b">
        <v>0</v>
      </c>
      <c r="AF925">
        <v>7</v>
      </c>
      <c r="AG925" t="s">
        <v>469</v>
      </c>
    </row>
    <row r="926" spans="1:33" x14ac:dyDescent="0.2">
      <c r="A926">
        <v>1348</v>
      </c>
      <c r="B926" t="s">
        <v>5580</v>
      </c>
      <c r="C926" t="s">
        <v>574</v>
      </c>
      <c r="D926" t="s">
        <v>575</v>
      </c>
      <c r="E926" t="s">
        <v>36</v>
      </c>
      <c r="F926" t="s">
        <v>37</v>
      </c>
      <c r="G926" t="s">
        <v>53</v>
      </c>
      <c r="H926" t="s">
        <v>54</v>
      </c>
      <c r="I926" t="s">
        <v>118</v>
      </c>
      <c r="J926" t="s">
        <v>119</v>
      </c>
      <c r="K926">
        <v>2007</v>
      </c>
      <c r="L926">
        <v>2007</v>
      </c>
      <c r="M926">
        <v>-1.2</v>
      </c>
      <c r="N926">
        <v>-3.7010000000000001</v>
      </c>
      <c r="P926">
        <v>0.8</v>
      </c>
      <c r="Q926">
        <v>-0.41699999999999998</v>
      </c>
      <c r="R926" t="s">
        <v>57</v>
      </c>
      <c r="S926" t="s">
        <v>5581</v>
      </c>
      <c r="T926" t="b">
        <v>1</v>
      </c>
      <c r="U926" t="s">
        <v>59</v>
      </c>
      <c r="V926" t="s">
        <v>4302</v>
      </c>
      <c r="W926" t="s">
        <v>5582</v>
      </c>
      <c r="X926" t="s">
        <v>47</v>
      </c>
      <c r="AA926" t="s">
        <v>4304</v>
      </c>
      <c r="AB926" t="s">
        <v>612</v>
      </c>
      <c r="AC926" t="s">
        <v>2742</v>
      </c>
      <c r="AD926" t="b">
        <v>0</v>
      </c>
      <c r="AF926">
        <v>6</v>
      </c>
      <c r="AG926" t="s">
        <v>64</v>
      </c>
    </row>
    <row r="927" spans="1:33" x14ac:dyDescent="0.2">
      <c r="A927">
        <v>2034</v>
      </c>
      <c r="B927" t="s">
        <v>5583</v>
      </c>
      <c r="C927" t="s">
        <v>34</v>
      </c>
      <c r="D927" t="s">
        <v>35</v>
      </c>
      <c r="E927" t="s">
        <v>5584</v>
      </c>
      <c r="F927" t="s">
        <v>5585</v>
      </c>
      <c r="G927" t="s">
        <v>53</v>
      </c>
      <c r="H927" t="s">
        <v>54</v>
      </c>
      <c r="I927" t="s">
        <v>170</v>
      </c>
      <c r="J927" t="s">
        <v>171</v>
      </c>
      <c r="K927">
        <v>2021</v>
      </c>
      <c r="L927">
        <v>2021</v>
      </c>
      <c r="M927">
        <v>3.73</v>
      </c>
      <c r="N927">
        <v>10.022</v>
      </c>
      <c r="O927">
        <v>308</v>
      </c>
      <c r="P927">
        <v>1.4</v>
      </c>
      <c r="Q927">
        <v>0.74</v>
      </c>
      <c r="R927" t="s">
        <v>57</v>
      </c>
      <c r="S927" t="s">
        <v>5586</v>
      </c>
      <c r="T927" t="b">
        <v>1</v>
      </c>
      <c r="U927" t="s">
        <v>5587</v>
      </c>
      <c r="V927" t="s">
        <v>5588</v>
      </c>
      <c r="W927" t="s">
        <v>5589</v>
      </c>
      <c r="X927" t="s">
        <v>47</v>
      </c>
      <c r="AA927" t="s">
        <v>114</v>
      </c>
      <c r="AC927" t="s">
        <v>63</v>
      </c>
      <c r="AD927" t="b">
        <v>0</v>
      </c>
      <c r="AF927">
        <v>6</v>
      </c>
      <c r="AG927" t="s">
        <v>64</v>
      </c>
    </row>
    <row r="928" spans="1:33" x14ac:dyDescent="0.2">
      <c r="A928">
        <v>1555</v>
      </c>
      <c r="B928" t="s">
        <v>5590</v>
      </c>
      <c r="C928" t="s">
        <v>34</v>
      </c>
      <c r="D928" t="s">
        <v>35</v>
      </c>
      <c r="E928" t="s">
        <v>5591</v>
      </c>
      <c r="F928" t="s">
        <v>5592</v>
      </c>
      <c r="G928" t="s">
        <v>213</v>
      </c>
      <c r="H928" t="s">
        <v>83</v>
      </c>
      <c r="I928" t="s">
        <v>635</v>
      </c>
      <c r="J928" t="s">
        <v>94</v>
      </c>
      <c r="K928">
        <v>2008</v>
      </c>
      <c r="L928">
        <v>2008</v>
      </c>
      <c r="M928">
        <v>0.78600000000000003</v>
      </c>
      <c r="N928">
        <v>2.3759999999999999</v>
      </c>
      <c r="O928">
        <v>207</v>
      </c>
      <c r="P928">
        <v>0.47</v>
      </c>
      <c r="Q928">
        <v>0.46500000000000002</v>
      </c>
      <c r="R928" t="s">
        <v>84</v>
      </c>
      <c r="S928" t="s">
        <v>5593</v>
      </c>
      <c r="T928" t="b">
        <v>1</v>
      </c>
      <c r="U928" t="s">
        <v>5594</v>
      </c>
      <c r="V928" t="s">
        <v>5595</v>
      </c>
      <c r="W928" t="s">
        <v>5596</v>
      </c>
      <c r="X928" t="s">
        <v>47</v>
      </c>
      <c r="AA928" t="s">
        <v>114</v>
      </c>
      <c r="AC928" t="s">
        <v>63</v>
      </c>
      <c r="AD928" t="b">
        <v>0</v>
      </c>
      <c r="AF928">
        <v>3</v>
      </c>
      <c r="AG928" t="s">
        <v>332</v>
      </c>
    </row>
    <row r="929" spans="1:33" x14ac:dyDescent="0.2">
      <c r="A929">
        <v>263</v>
      </c>
      <c r="B929" t="s">
        <v>5597</v>
      </c>
      <c r="C929" t="s">
        <v>34</v>
      </c>
      <c r="D929" t="s">
        <v>35</v>
      </c>
      <c r="E929" t="s">
        <v>1200</v>
      </c>
      <c r="F929" t="s">
        <v>1201</v>
      </c>
      <c r="G929" t="s">
        <v>53</v>
      </c>
      <c r="H929" t="s">
        <v>54</v>
      </c>
      <c r="I929" t="s">
        <v>811</v>
      </c>
      <c r="J929" t="s">
        <v>94</v>
      </c>
      <c r="K929">
        <v>1957</v>
      </c>
      <c r="L929">
        <v>2016</v>
      </c>
      <c r="M929">
        <v>180</v>
      </c>
      <c r="N929">
        <v>671.27</v>
      </c>
      <c r="O929">
        <v>528.5</v>
      </c>
      <c r="P929">
        <v>37.700000000000003</v>
      </c>
      <c r="Q929">
        <v>1.3260000000000001</v>
      </c>
      <c r="R929" t="s">
        <v>57</v>
      </c>
      <c r="S929" t="s">
        <v>5598</v>
      </c>
      <c r="T929" t="b">
        <v>1</v>
      </c>
      <c r="U929" t="s">
        <v>5599</v>
      </c>
      <c r="V929" t="s">
        <v>1204</v>
      </c>
      <c r="W929" t="s">
        <v>5600</v>
      </c>
      <c r="X929" t="s">
        <v>47</v>
      </c>
      <c r="AA929" t="s">
        <v>1501</v>
      </c>
      <c r="AB929" t="s">
        <v>49</v>
      </c>
      <c r="AC929" t="s">
        <v>1502</v>
      </c>
      <c r="AD929" t="b">
        <v>0</v>
      </c>
      <c r="AF929">
        <v>6</v>
      </c>
      <c r="AG929" t="s">
        <v>64</v>
      </c>
    </row>
    <row r="930" spans="1:33" x14ac:dyDescent="0.2">
      <c r="A930">
        <v>264</v>
      </c>
      <c r="B930" t="s">
        <v>5601</v>
      </c>
      <c r="C930" t="s">
        <v>34</v>
      </c>
      <c r="D930" t="s">
        <v>35</v>
      </c>
      <c r="E930" t="s">
        <v>1200</v>
      </c>
      <c r="F930" t="s">
        <v>1201</v>
      </c>
      <c r="G930" t="s">
        <v>53</v>
      </c>
      <c r="H930" t="s">
        <v>54</v>
      </c>
      <c r="I930" t="s">
        <v>811</v>
      </c>
      <c r="J930" t="s">
        <v>94</v>
      </c>
      <c r="K930">
        <v>1962</v>
      </c>
      <c r="L930">
        <v>1962</v>
      </c>
      <c r="M930">
        <v>150</v>
      </c>
      <c r="N930">
        <v>779.74800000000005</v>
      </c>
      <c r="O930">
        <v>463</v>
      </c>
      <c r="P930">
        <v>37.299999999999997</v>
      </c>
      <c r="Q930">
        <v>1.117</v>
      </c>
      <c r="R930" t="s">
        <v>57</v>
      </c>
      <c r="S930" t="s">
        <v>5602</v>
      </c>
      <c r="T930" t="b">
        <v>1</v>
      </c>
      <c r="U930" t="s">
        <v>2173</v>
      </c>
      <c r="V930" t="s">
        <v>1204</v>
      </c>
      <c r="W930" t="s">
        <v>5603</v>
      </c>
      <c r="X930" t="s">
        <v>47</v>
      </c>
      <c r="AA930" t="s">
        <v>3878</v>
      </c>
      <c r="AB930" t="s">
        <v>49</v>
      </c>
      <c r="AC930" t="s">
        <v>3879</v>
      </c>
      <c r="AD930" t="b">
        <v>0</v>
      </c>
      <c r="AF930">
        <v>6</v>
      </c>
      <c r="AG930" t="s">
        <v>64</v>
      </c>
    </row>
    <row r="931" spans="1:33" x14ac:dyDescent="0.2">
      <c r="A931">
        <v>737</v>
      </c>
      <c r="B931" t="s">
        <v>5604</v>
      </c>
      <c r="C931" t="s">
        <v>34</v>
      </c>
      <c r="D931" t="s">
        <v>35</v>
      </c>
      <c r="E931" t="s">
        <v>3228</v>
      </c>
      <c r="F931" t="s">
        <v>3229</v>
      </c>
      <c r="G931" t="s">
        <v>38</v>
      </c>
      <c r="H931" t="s">
        <v>39</v>
      </c>
      <c r="I931" t="s">
        <v>125</v>
      </c>
      <c r="J931" t="s">
        <v>49</v>
      </c>
      <c r="K931">
        <v>1993</v>
      </c>
      <c r="L931">
        <v>1993</v>
      </c>
      <c r="M931">
        <v>2.2999999999999998</v>
      </c>
      <c r="N931">
        <v>8.3840000000000003</v>
      </c>
      <c r="O931">
        <v>56</v>
      </c>
      <c r="P931">
        <v>4.8</v>
      </c>
      <c r="Q931">
        <v>0.13300000000000001</v>
      </c>
      <c r="R931" t="s">
        <v>42</v>
      </c>
      <c r="S931" t="s">
        <v>5605</v>
      </c>
      <c r="T931" t="b">
        <v>1</v>
      </c>
      <c r="U931" t="s">
        <v>1379</v>
      </c>
      <c r="V931" t="s">
        <v>3231</v>
      </c>
      <c r="W931" t="s">
        <v>113</v>
      </c>
      <c r="X931" t="s">
        <v>47</v>
      </c>
      <c r="AA931" t="s">
        <v>5606</v>
      </c>
      <c r="AB931" t="s">
        <v>49</v>
      </c>
      <c r="AC931" t="s">
        <v>5607</v>
      </c>
      <c r="AD931" t="b">
        <v>0</v>
      </c>
      <c r="AF931">
        <v>12</v>
      </c>
      <c r="AG931" t="s">
        <v>51</v>
      </c>
    </row>
    <row r="932" spans="1:33" x14ac:dyDescent="0.2">
      <c r="A932">
        <v>265</v>
      </c>
      <c r="B932" t="s">
        <v>5608</v>
      </c>
      <c r="C932" t="s">
        <v>34</v>
      </c>
      <c r="D932" t="s">
        <v>35</v>
      </c>
      <c r="E932" t="s">
        <v>1027</v>
      </c>
      <c r="F932" t="s">
        <v>1028</v>
      </c>
      <c r="G932" t="s">
        <v>213</v>
      </c>
      <c r="H932" t="s">
        <v>83</v>
      </c>
      <c r="I932" t="s">
        <v>1152</v>
      </c>
      <c r="J932" t="s">
        <v>676</v>
      </c>
      <c r="K932">
        <v>1930</v>
      </c>
      <c r="L932">
        <v>2025</v>
      </c>
      <c r="M932">
        <v>9.1999999999999993</v>
      </c>
      <c r="N932">
        <v>60</v>
      </c>
      <c r="O932">
        <v>294.58</v>
      </c>
      <c r="P932">
        <v>3.64</v>
      </c>
      <c r="Q932">
        <v>0.70220000000000005</v>
      </c>
      <c r="R932" t="s">
        <v>84</v>
      </c>
      <c r="S932" t="s">
        <v>5609</v>
      </c>
      <c r="T932" t="b">
        <v>1</v>
      </c>
      <c r="U932" t="s">
        <v>5610</v>
      </c>
      <c r="V932" t="s">
        <v>1032</v>
      </c>
      <c r="W932" t="s">
        <v>5611</v>
      </c>
      <c r="X932" t="s">
        <v>47</v>
      </c>
      <c r="AA932" t="s">
        <v>2492</v>
      </c>
      <c r="AB932" t="s">
        <v>337</v>
      </c>
      <c r="AC932" t="s">
        <v>2493</v>
      </c>
      <c r="AD932" t="b">
        <v>0</v>
      </c>
      <c r="AF932">
        <v>4</v>
      </c>
      <c r="AG932" t="s">
        <v>321</v>
      </c>
    </row>
    <row r="933" spans="1:33" x14ac:dyDescent="0.2">
      <c r="A933">
        <v>2121</v>
      </c>
      <c r="B933" t="s">
        <v>5612</v>
      </c>
      <c r="C933" t="s">
        <v>34</v>
      </c>
      <c r="D933" t="s">
        <v>35</v>
      </c>
      <c r="E933" t="s">
        <v>1027</v>
      </c>
      <c r="F933" t="s">
        <v>1028</v>
      </c>
      <c r="G933" t="s">
        <v>213</v>
      </c>
      <c r="H933" t="s">
        <v>83</v>
      </c>
      <c r="I933" t="s">
        <v>1152</v>
      </c>
      <c r="J933" t="s">
        <v>676</v>
      </c>
      <c r="K933">
        <v>1930</v>
      </c>
      <c r="L933">
        <v>2023</v>
      </c>
      <c r="M933">
        <v>9.1999999999999993</v>
      </c>
      <c r="N933">
        <v>34.700000000000003</v>
      </c>
      <c r="O933">
        <v>270.56</v>
      </c>
      <c r="P933">
        <v>4.05</v>
      </c>
      <c r="Q933">
        <v>0.63100000000000001</v>
      </c>
      <c r="R933" t="s">
        <v>84</v>
      </c>
      <c r="S933" t="s">
        <v>5609</v>
      </c>
      <c r="T933" t="b">
        <v>1</v>
      </c>
      <c r="U933" t="s">
        <v>5613</v>
      </c>
      <c r="V933" t="s">
        <v>1032</v>
      </c>
      <c r="W933" t="s">
        <v>5611</v>
      </c>
      <c r="X933" t="s">
        <v>47</v>
      </c>
      <c r="AA933" t="s">
        <v>2492</v>
      </c>
      <c r="AB933" t="s">
        <v>69</v>
      </c>
      <c r="AC933" t="s">
        <v>2493</v>
      </c>
      <c r="AD933" t="b">
        <v>0</v>
      </c>
      <c r="AF933">
        <v>4</v>
      </c>
      <c r="AG933" t="s">
        <v>321</v>
      </c>
    </row>
    <row r="934" spans="1:33" x14ac:dyDescent="0.2">
      <c r="A934">
        <v>266</v>
      </c>
      <c r="B934" t="s">
        <v>5614</v>
      </c>
      <c r="C934" t="s">
        <v>34</v>
      </c>
      <c r="D934" t="s">
        <v>35</v>
      </c>
      <c r="E934" t="s">
        <v>36</v>
      </c>
      <c r="F934" t="s">
        <v>37</v>
      </c>
      <c r="G934" t="s">
        <v>53</v>
      </c>
      <c r="H934" t="s">
        <v>54</v>
      </c>
      <c r="I934" t="s">
        <v>118</v>
      </c>
      <c r="J934" t="s">
        <v>119</v>
      </c>
      <c r="K934">
        <v>1974</v>
      </c>
      <c r="L934">
        <v>1974</v>
      </c>
      <c r="M934">
        <v>250</v>
      </c>
      <c r="N934">
        <v>1345.146</v>
      </c>
      <c r="O934">
        <v>830</v>
      </c>
      <c r="P934">
        <v>36</v>
      </c>
      <c r="Q934">
        <v>1.929</v>
      </c>
      <c r="R934" t="s">
        <v>57</v>
      </c>
      <c r="S934" t="s">
        <v>2738</v>
      </c>
      <c r="T934" t="b">
        <v>1</v>
      </c>
      <c r="U934" t="s">
        <v>5615</v>
      </c>
      <c r="V934" t="s">
        <v>4302</v>
      </c>
      <c r="W934" t="s">
        <v>5616</v>
      </c>
      <c r="X934" t="s">
        <v>47</v>
      </c>
      <c r="AA934" t="s">
        <v>2741</v>
      </c>
      <c r="AB934" t="s">
        <v>49</v>
      </c>
      <c r="AC934" t="s">
        <v>2742</v>
      </c>
      <c r="AD934" t="b">
        <v>0</v>
      </c>
      <c r="AF934">
        <v>6</v>
      </c>
      <c r="AG934" t="s">
        <v>64</v>
      </c>
    </row>
    <row r="935" spans="1:33" x14ac:dyDescent="0.2">
      <c r="A935">
        <v>1320</v>
      </c>
      <c r="B935" t="s">
        <v>5617</v>
      </c>
      <c r="C935" t="s">
        <v>34</v>
      </c>
      <c r="D935" t="s">
        <v>35</v>
      </c>
      <c r="E935" t="s">
        <v>5618</v>
      </c>
      <c r="F935" t="s">
        <v>5619</v>
      </c>
      <c r="G935" t="s">
        <v>224</v>
      </c>
      <c r="H935" t="s">
        <v>225</v>
      </c>
      <c r="I935" t="s">
        <v>1569</v>
      </c>
      <c r="J935" t="s">
        <v>485</v>
      </c>
      <c r="K935">
        <v>2007</v>
      </c>
      <c r="L935">
        <v>2007</v>
      </c>
      <c r="M935">
        <v>0.78400000000000003</v>
      </c>
      <c r="N935">
        <v>2.2829999999999999</v>
      </c>
      <c r="R935" t="s">
        <v>97</v>
      </c>
      <c r="S935" t="s">
        <v>5620</v>
      </c>
      <c r="T935" t="b">
        <v>1</v>
      </c>
      <c r="U935" t="s">
        <v>5621</v>
      </c>
      <c r="V935" t="s">
        <v>5622</v>
      </c>
      <c r="W935" t="s">
        <v>5623</v>
      </c>
      <c r="X935" t="s">
        <v>47</v>
      </c>
      <c r="AA935" t="s">
        <v>1548</v>
      </c>
      <c r="AC935" t="s">
        <v>63</v>
      </c>
      <c r="AD935" t="b">
        <v>0</v>
      </c>
      <c r="AF935">
        <v>1</v>
      </c>
      <c r="AG935" t="s">
        <v>104</v>
      </c>
    </row>
    <row r="936" spans="1:33" x14ac:dyDescent="0.2">
      <c r="A936">
        <v>1086</v>
      </c>
      <c r="B936" t="s">
        <v>5624</v>
      </c>
      <c r="C936" t="s">
        <v>34</v>
      </c>
      <c r="D936" t="s">
        <v>35</v>
      </c>
      <c r="G936" t="s">
        <v>53</v>
      </c>
      <c r="H936" t="s">
        <v>54</v>
      </c>
      <c r="I936" t="s">
        <v>55</v>
      </c>
      <c r="J936" t="s">
        <v>56</v>
      </c>
      <c r="K936">
        <v>2000</v>
      </c>
      <c r="L936">
        <v>2000</v>
      </c>
      <c r="M936">
        <v>0.02</v>
      </c>
      <c r="N936">
        <v>1.2999999999999999E-2</v>
      </c>
      <c r="R936" t="s">
        <v>57</v>
      </c>
      <c r="S936" t="s">
        <v>58</v>
      </c>
      <c r="T936" t="b">
        <v>1</v>
      </c>
      <c r="U936" t="s">
        <v>754</v>
      </c>
      <c r="V936" t="s">
        <v>274</v>
      </c>
      <c r="W936" t="s">
        <v>5625</v>
      </c>
      <c r="X936" t="s">
        <v>47</v>
      </c>
      <c r="AA936" t="s">
        <v>62</v>
      </c>
      <c r="AC936" t="s">
        <v>1271</v>
      </c>
      <c r="AD936" t="b">
        <v>0</v>
      </c>
      <c r="AF936">
        <v>6</v>
      </c>
      <c r="AG936" t="s">
        <v>64</v>
      </c>
    </row>
    <row r="937" spans="1:33" x14ac:dyDescent="0.2">
      <c r="A937">
        <v>894</v>
      </c>
      <c r="B937" t="s">
        <v>5626</v>
      </c>
      <c r="C937" t="s">
        <v>34</v>
      </c>
      <c r="D937" t="s">
        <v>35</v>
      </c>
      <c r="G937" t="s">
        <v>53</v>
      </c>
      <c r="H937" t="s">
        <v>54</v>
      </c>
      <c r="I937" t="s">
        <v>1377</v>
      </c>
      <c r="J937" t="s">
        <v>337</v>
      </c>
      <c r="K937">
        <v>2000</v>
      </c>
      <c r="L937">
        <v>2000</v>
      </c>
      <c r="M937">
        <v>1.2E-2</v>
      </c>
      <c r="N937">
        <v>2.1999999999999999E-2</v>
      </c>
      <c r="O937">
        <v>140</v>
      </c>
      <c r="R937" t="s">
        <v>84</v>
      </c>
      <c r="S937" t="s">
        <v>5627</v>
      </c>
      <c r="T937" t="b">
        <v>1</v>
      </c>
      <c r="U937" t="s">
        <v>754</v>
      </c>
      <c r="V937" t="s">
        <v>274</v>
      </c>
      <c r="W937" t="s">
        <v>5628</v>
      </c>
      <c r="X937" t="s">
        <v>47</v>
      </c>
      <c r="AA937" t="s">
        <v>114</v>
      </c>
      <c r="AC937" t="s">
        <v>63</v>
      </c>
      <c r="AD937" t="b">
        <v>0</v>
      </c>
      <c r="AF937">
        <v>5</v>
      </c>
      <c r="AG937" t="s">
        <v>89</v>
      </c>
    </row>
    <row r="938" spans="1:33" x14ac:dyDescent="0.2">
      <c r="A938">
        <v>895</v>
      </c>
      <c r="B938" t="s">
        <v>5629</v>
      </c>
      <c r="C938" t="s">
        <v>34</v>
      </c>
      <c r="D938" t="s">
        <v>35</v>
      </c>
      <c r="G938" t="s">
        <v>53</v>
      </c>
      <c r="H938" t="s">
        <v>54</v>
      </c>
      <c r="I938" t="s">
        <v>1377</v>
      </c>
      <c r="J938" t="s">
        <v>337</v>
      </c>
      <c r="K938">
        <v>2005</v>
      </c>
      <c r="L938">
        <v>2005</v>
      </c>
      <c r="M938">
        <v>1.7999999999999999E-2</v>
      </c>
      <c r="N938">
        <v>3.3000000000000002E-2</v>
      </c>
      <c r="R938" t="s">
        <v>84</v>
      </c>
      <c r="S938" t="s">
        <v>5627</v>
      </c>
      <c r="T938" t="b">
        <v>1</v>
      </c>
      <c r="U938" t="s">
        <v>237</v>
      </c>
      <c r="V938" t="s">
        <v>274</v>
      </c>
      <c r="W938" t="s">
        <v>5628</v>
      </c>
      <c r="X938" t="s">
        <v>47</v>
      </c>
      <c r="AA938" t="s">
        <v>114</v>
      </c>
      <c r="AC938" t="s">
        <v>63</v>
      </c>
      <c r="AD938" t="b">
        <v>0</v>
      </c>
      <c r="AF938">
        <v>5</v>
      </c>
      <c r="AG938" t="s">
        <v>89</v>
      </c>
    </row>
    <row r="939" spans="1:33" x14ac:dyDescent="0.2">
      <c r="A939">
        <v>1426</v>
      </c>
      <c r="B939" t="s">
        <v>5630</v>
      </c>
      <c r="C939" t="s">
        <v>34</v>
      </c>
      <c r="D939" t="s">
        <v>35</v>
      </c>
      <c r="E939" t="s">
        <v>1492</v>
      </c>
      <c r="F939" t="s">
        <v>1493</v>
      </c>
      <c r="G939" t="s">
        <v>53</v>
      </c>
      <c r="H939" t="s">
        <v>54</v>
      </c>
      <c r="I939" t="s">
        <v>147</v>
      </c>
      <c r="J939" t="s">
        <v>148</v>
      </c>
      <c r="K939">
        <v>2008</v>
      </c>
      <c r="L939">
        <v>2008</v>
      </c>
      <c r="M939">
        <v>1.36</v>
      </c>
      <c r="N939">
        <v>5.0410000000000004</v>
      </c>
      <c r="O939">
        <v>36</v>
      </c>
      <c r="P939">
        <v>4.7</v>
      </c>
      <c r="Q939">
        <v>0.08</v>
      </c>
      <c r="R939" t="s">
        <v>72</v>
      </c>
      <c r="S939" t="s">
        <v>5631</v>
      </c>
      <c r="T939" t="b">
        <v>1</v>
      </c>
      <c r="U939" t="s">
        <v>5632</v>
      </c>
      <c r="V939" t="s">
        <v>1496</v>
      </c>
      <c r="W939" t="s">
        <v>5633</v>
      </c>
      <c r="X939" t="s">
        <v>47</v>
      </c>
      <c r="AA939" t="s">
        <v>153</v>
      </c>
      <c r="AB939" t="s">
        <v>539</v>
      </c>
      <c r="AC939" t="s">
        <v>154</v>
      </c>
      <c r="AD939" t="b">
        <v>0</v>
      </c>
      <c r="AF939">
        <v>13</v>
      </c>
      <c r="AG939" t="s">
        <v>155</v>
      </c>
    </row>
    <row r="940" spans="1:33" x14ac:dyDescent="0.2">
      <c r="A940">
        <v>766</v>
      </c>
      <c r="B940" t="s">
        <v>5634</v>
      </c>
      <c r="C940" t="s">
        <v>34</v>
      </c>
      <c r="D940" t="s">
        <v>35</v>
      </c>
      <c r="E940" t="s">
        <v>157</v>
      </c>
      <c r="F940" t="s">
        <v>158</v>
      </c>
      <c r="G940" t="s">
        <v>68</v>
      </c>
      <c r="H940" t="s">
        <v>69</v>
      </c>
      <c r="I940" t="s">
        <v>453</v>
      </c>
      <c r="J940" t="s">
        <v>192</v>
      </c>
      <c r="K940">
        <v>1999</v>
      </c>
      <c r="L940">
        <v>1999</v>
      </c>
      <c r="M940">
        <v>4.0999999999999996</v>
      </c>
      <c r="N940">
        <v>19.989000000000001</v>
      </c>
      <c r="O940">
        <v>605</v>
      </c>
      <c r="P940">
        <v>0.8</v>
      </c>
      <c r="Q940">
        <v>1.4239999999999999</v>
      </c>
      <c r="R940" t="s">
        <v>72</v>
      </c>
      <c r="S940" t="s">
        <v>5635</v>
      </c>
      <c r="T940" t="b">
        <v>1</v>
      </c>
      <c r="U940" t="s">
        <v>571</v>
      </c>
      <c r="V940" t="s">
        <v>163</v>
      </c>
      <c r="W940" t="s">
        <v>5636</v>
      </c>
      <c r="X940" t="s">
        <v>47</v>
      </c>
      <c r="AA940" t="s">
        <v>5637</v>
      </c>
      <c r="AB940" t="s">
        <v>49</v>
      </c>
      <c r="AC940" t="s">
        <v>5638</v>
      </c>
      <c r="AD940" t="b">
        <v>0</v>
      </c>
      <c r="AF940">
        <v>8</v>
      </c>
      <c r="AG940" t="s">
        <v>78</v>
      </c>
    </row>
    <row r="941" spans="1:33" x14ac:dyDescent="0.2">
      <c r="A941">
        <v>549</v>
      </c>
      <c r="B941" t="s">
        <v>5639</v>
      </c>
      <c r="C941" t="s">
        <v>34</v>
      </c>
      <c r="D941" t="s">
        <v>35</v>
      </c>
      <c r="E941" t="s">
        <v>728</v>
      </c>
      <c r="F941" t="s">
        <v>729</v>
      </c>
      <c r="G941" t="s">
        <v>53</v>
      </c>
      <c r="H941" t="s">
        <v>54</v>
      </c>
      <c r="I941" t="s">
        <v>461</v>
      </c>
      <c r="J941" t="s">
        <v>462</v>
      </c>
      <c r="K941">
        <v>1989</v>
      </c>
      <c r="L941">
        <v>1989</v>
      </c>
      <c r="M941">
        <v>52</v>
      </c>
      <c r="N941">
        <v>205.99299999999999</v>
      </c>
      <c r="O941">
        <v>810</v>
      </c>
      <c r="P941">
        <v>7.5</v>
      </c>
      <c r="Q941">
        <v>1.9259999999999999</v>
      </c>
      <c r="R941" t="s">
        <v>57</v>
      </c>
      <c r="S941" t="s">
        <v>5640</v>
      </c>
      <c r="T941" t="b">
        <v>1</v>
      </c>
      <c r="U941" t="s">
        <v>5641</v>
      </c>
      <c r="V941" t="s">
        <v>2923</v>
      </c>
      <c r="W941" t="s">
        <v>5642</v>
      </c>
      <c r="X941" t="s">
        <v>47</v>
      </c>
      <c r="AA941" t="s">
        <v>5643</v>
      </c>
      <c r="AB941" t="s">
        <v>49</v>
      </c>
      <c r="AC941" t="s">
        <v>5644</v>
      </c>
      <c r="AD941" t="b">
        <v>0</v>
      </c>
      <c r="AF941">
        <v>7</v>
      </c>
      <c r="AG941" t="s">
        <v>469</v>
      </c>
    </row>
    <row r="942" spans="1:33" x14ac:dyDescent="0.2">
      <c r="A942">
        <v>1811</v>
      </c>
      <c r="B942" t="s">
        <v>5645</v>
      </c>
      <c r="C942" t="s">
        <v>34</v>
      </c>
      <c r="D942" t="s">
        <v>35</v>
      </c>
      <c r="E942" t="s">
        <v>1492</v>
      </c>
      <c r="F942" t="s">
        <v>1493</v>
      </c>
      <c r="G942" t="s">
        <v>242</v>
      </c>
      <c r="H942" t="s">
        <v>243</v>
      </c>
      <c r="I942" t="s">
        <v>880</v>
      </c>
      <c r="J942" t="s">
        <v>280</v>
      </c>
      <c r="K942">
        <v>2017</v>
      </c>
      <c r="L942">
        <v>2017</v>
      </c>
      <c r="M942">
        <v>3.74</v>
      </c>
      <c r="N942">
        <v>12.105</v>
      </c>
      <c r="O942">
        <v>259</v>
      </c>
      <c r="P942">
        <v>1.73</v>
      </c>
      <c r="Q942">
        <v>0.60099999999999998</v>
      </c>
      <c r="R942" t="s">
        <v>72</v>
      </c>
      <c r="S942" t="s">
        <v>5646</v>
      </c>
      <c r="T942" t="b">
        <v>1</v>
      </c>
      <c r="U942" t="s">
        <v>5647</v>
      </c>
      <c r="V942" t="s">
        <v>1496</v>
      </c>
      <c r="W942" t="s">
        <v>5648</v>
      </c>
      <c r="X942" t="s">
        <v>47</v>
      </c>
      <c r="AA942" t="s">
        <v>884</v>
      </c>
      <c r="AC942" t="s">
        <v>885</v>
      </c>
      <c r="AD942" t="b">
        <v>0</v>
      </c>
      <c r="AF942">
        <v>9</v>
      </c>
      <c r="AG942" t="s">
        <v>251</v>
      </c>
    </row>
    <row r="943" spans="1:33" x14ac:dyDescent="0.2">
      <c r="A943">
        <v>1918</v>
      </c>
      <c r="B943" t="s">
        <v>5649</v>
      </c>
      <c r="C943" t="s">
        <v>34</v>
      </c>
      <c r="D943" t="s">
        <v>35</v>
      </c>
      <c r="E943" t="s">
        <v>5650</v>
      </c>
      <c r="F943" t="s">
        <v>5651</v>
      </c>
      <c r="G943" t="s">
        <v>53</v>
      </c>
      <c r="H943" t="s">
        <v>54</v>
      </c>
      <c r="I943" t="s">
        <v>2058</v>
      </c>
      <c r="J943" t="s">
        <v>354</v>
      </c>
      <c r="K943">
        <v>2013</v>
      </c>
      <c r="L943">
        <v>2013</v>
      </c>
      <c r="M943">
        <v>0.05</v>
      </c>
      <c r="N943">
        <v>1.9E-2</v>
      </c>
      <c r="O943">
        <v>11</v>
      </c>
      <c r="P943">
        <v>0.6</v>
      </c>
      <c r="Q943">
        <v>2.3E-2</v>
      </c>
      <c r="R943" t="s">
        <v>72</v>
      </c>
      <c r="S943" t="s">
        <v>5652</v>
      </c>
      <c r="T943" t="b">
        <v>1</v>
      </c>
      <c r="U943" t="s">
        <v>2366</v>
      </c>
      <c r="V943" t="s">
        <v>5653</v>
      </c>
      <c r="W943" t="s">
        <v>5654</v>
      </c>
      <c r="X943" t="s">
        <v>47</v>
      </c>
      <c r="AA943" t="s">
        <v>1449</v>
      </c>
      <c r="AC943" t="s">
        <v>63</v>
      </c>
      <c r="AD943" t="b">
        <v>0</v>
      </c>
      <c r="AF943">
        <v>8</v>
      </c>
      <c r="AG943" t="s">
        <v>78</v>
      </c>
    </row>
    <row r="944" spans="1:33" x14ac:dyDescent="0.2">
      <c r="A944">
        <v>267</v>
      </c>
      <c r="B944" t="s">
        <v>5655</v>
      </c>
      <c r="C944" t="s">
        <v>34</v>
      </c>
      <c r="D944" t="s">
        <v>35</v>
      </c>
      <c r="E944" t="s">
        <v>2636</v>
      </c>
      <c r="F944" t="s">
        <v>2637</v>
      </c>
      <c r="G944" t="s">
        <v>38</v>
      </c>
      <c r="H944" t="s">
        <v>39</v>
      </c>
      <c r="I944" t="s">
        <v>4713</v>
      </c>
      <c r="J944" t="s">
        <v>227</v>
      </c>
      <c r="K944">
        <v>1978</v>
      </c>
      <c r="L944">
        <v>1978</v>
      </c>
      <c r="M944">
        <v>22</v>
      </c>
      <c r="N944">
        <v>136.38999999999999</v>
      </c>
      <c r="O944">
        <v>10.19</v>
      </c>
      <c r="P944">
        <v>254.63</v>
      </c>
      <c r="Q944">
        <v>2.4E-2</v>
      </c>
      <c r="R944" t="s">
        <v>42</v>
      </c>
      <c r="S944" t="s">
        <v>5656</v>
      </c>
      <c r="T944" t="b">
        <v>1</v>
      </c>
      <c r="U944" t="s">
        <v>5657</v>
      </c>
      <c r="V944" t="s">
        <v>2641</v>
      </c>
      <c r="W944" t="s">
        <v>5658</v>
      </c>
      <c r="X944" t="s">
        <v>47</v>
      </c>
      <c r="AA944" t="s">
        <v>5659</v>
      </c>
      <c r="AB944" t="s">
        <v>49</v>
      </c>
      <c r="AC944" t="s">
        <v>5660</v>
      </c>
      <c r="AD944" t="b">
        <v>0</v>
      </c>
      <c r="AF944">
        <v>12</v>
      </c>
      <c r="AG944" t="s">
        <v>51</v>
      </c>
    </row>
    <row r="945" spans="1:33" x14ac:dyDescent="0.2">
      <c r="A945">
        <v>1672</v>
      </c>
      <c r="B945" t="s">
        <v>5661</v>
      </c>
      <c r="C945" t="s">
        <v>34</v>
      </c>
      <c r="D945" t="s">
        <v>35</v>
      </c>
      <c r="G945" t="s">
        <v>377</v>
      </c>
      <c r="H945" t="s">
        <v>378</v>
      </c>
      <c r="I945" t="s">
        <v>1958</v>
      </c>
      <c r="J945" t="s">
        <v>49</v>
      </c>
      <c r="K945">
        <v>2008</v>
      </c>
      <c r="L945">
        <v>2008</v>
      </c>
      <c r="M945">
        <v>1.7999999999999999E-2</v>
      </c>
      <c r="N945">
        <v>0.13</v>
      </c>
      <c r="O945">
        <v>140</v>
      </c>
      <c r="P945">
        <v>0.02</v>
      </c>
      <c r="Q945">
        <v>0.25</v>
      </c>
      <c r="R945" t="s">
        <v>42</v>
      </c>
      <c r="S945" t="s">
        <v>5662</v>
      </c>
      <c r="T945" t="b">
        <v>1</v>
      </c>
      <c r="U945" t="s">
        <v>74</v>
      </c>
      <c r="V945" t="s">
        <v>60</v>
      </c>
      <c r="W945" t="s">
        <v>5663</v>
      </c>
      <c r="X945" t="s">
        <v>47</v>
      </c>
      <c r="AA945" t="s">
        <v>114</v>
      </c>
      <c r="AC945" t="s">
        <v>63</v>
      </c>
      <c r="AD945" t="b">
        <v>0</v>
      </c>
      <c r="AF945">
        <v>11</v>
      </c>
      <c r="AG945" t="s">
        <v>198</v>
      </c>
    </row>
    <row r="946" spans="1:33" x14ac:dyDescent="0.2">
      <c r="A946">
        <v>1009</v>
      </c>
      <c r="B946" t="s">
        <v>5664</v>
      </c>
      <c r="C946" t="s">
        <v>34</v>
      </c>
      <c r="D946" t="s">
        <v>35</v>
      </c>
      <c r="E946" t="s">
        <v>5665</v>
      </c>
      <c r="F946" t="s">
        <v>5666</v>
      </c>
      <c r="G946" t="s">
        <v>93</v>
      </c>
      <c r="H946" t="s">
        <v>94</v>
      </c>
      <c r="I946" t="s">
        <v>2850</v>
      </c>
      <c r="J946" t="s">
        <v>94</v>
      </c>
      <c r="K946">
        <v>1972</v>
      </c>
      <c r="L946">
        <v>1972</v>
      </c>
      <c r="M946">
        <v>0.06</v>
      </c>
      <c r="N946">
        <v>0.27</v>
      </c>
      <c r="O946">
        <v>111</v>
      </c>
      <c r="P946">
        <v>6.3E-2</v>
      </c>
      <c r="R946" t="s">
        <v>72</v>
      </c>
      <c r="S946" t="s">
        <v>5667</v>
      </c>
      <c r="T946" t="b">
        <v>1</v>
      </c>
      <c r="U946" t="s">
        <v>643</v>
      </c>
      <c r="V946" t="s">
        <v>5668</v>
      </c>
      <c r="W946" t="s">
        <v>113</v>
      </c>
      <c r="X946" t="s">
        <v>47</v>
      </c>
      <c r="AA946" t="s">
        <v>340</v>
      </c>
      <c r="AC946" t="s">
        <v>1063</v>
      </c>
      <c r="AD946" t="b">
        <v>0</v>
      </c>
      <c r="AF946">
        <v>8</v>
      </c>
      <c r="AG946" t="s">
        <v>78</v>
      </c>
    </row>
    <row r="947" spans="1:33" x14ac:dyDescent="0.2">
      <c r="A947">
        <v>619</v>
      </c>
      <c r="B947" t="s">
        <v>2581</v>
      </c>
      <c r="C947" t="s">
        <v>34</v>
      </c>
      <c r="D947" t="s">
        <v>35</v>
      </c>
      <c r="E947" t="s">
        <v>253</v>
      </c>
      <c r="F947" t="s">
        <v>254</v>
      </c>
      <c r="G947" t="s">
        <v>242</v>
      </c>
      <c r="H947" t="s">
        <v>243</v>
      </c>
      <c r="I947" t="s">
        <v>2581</v>
      </c>
      <c r="J947" t="s">
        <v>94</v>
      </c>
      <c r="K947">
        <v>1994</v>
      </c>
      <c r="L947">
        <v>1994</v>
      </c>
      <c r="M947">
        <v>86.8</v>
      </c>
      <c r="N947">
        <v>422.65199999999999</v>
      </c>
      <c r="O947">
        <v>263.7</v>
      </c>
      <c r="P947">
        <v>36.700000000000003</v>
      </c>
      <c r="Q947">
        <v>0.65700000000000003</v>
      </c>
      <c r="R947" t="s">
        <v>72</v>
      </c>
      <c r="S947" t="s">
        <v>5669</v>
      </c>
      <c r="T947" t="b">
        <v>1</v>
      </c>
      <c r="U947" t="s">
        <v>5670</v>
      </c>
      <c r="V947" t="s">
        <v>259</v>
      </c>
      <c r="W947" t="s">
        <v>5671</v>
      </c>
      <c r="X947" t="s">
        <v>47</v>
      </c>
      <c r="AA947" t="s">
        <v>250</v>
      </c>
      <c r="AB947" t="s">
        <v>49</v>
      </c>
      <c r="AC947" t="s">
        <v>2585</v>
      </c>
      <c r="AD947" t="b">
        <v>0</v>
      </c>
      <c r="AF947">
        <v>9</v>
      </c>
      <c r="AG947" t="s">
        <v>251</v>
      </c>
    </row>
    <row r="948" spans="1:33" x14ac:dyDescent="0.2">
      <c r="A948">
        <v>268</v>
      </c>
      <c r="B948" t="s">
        <v>5672</v>
      </c>
      <c r="C948" t="s">
        <v>34</v>
      </c>
      <c r="D948" t="s">
        <v>35</v>
      </c>
      <c r="E948" t="s">
        <v>277</v>
      </c>
      <c r="F948" t="s">
        <v>278</v>
      </c>
      <c r="G948" t="s">
        <v>93</v>
      </c>
      <c r="H948" t="s">
        <v>94</v>
      </c>
      <c r="I948" t="s">
        <v>3978</v>
      </c>
      <c r="J948" t="s">
        <v>227</v>
      </c>
      <c r="K948">
        <v>1985</v>
      </c>
      <c r="L948">
        <v>1985</v>
      </c>
      <c r="M948">
        <v>37.5</v>
      </c>
      <c r="N948">
        <v>158.12899999999999</v>
      </c>
      <c r="O948">
        <v>356</v>
      </c>
      <c r="P948">
        <v>12</v>
      </c>
      <c r="Q948">
        <v>0.86799999999999999</v>
      </c>
      <c r="R948" t="s">
        <v>97</v>
      </c>
      <c r="S948" t="s">
        <v>5673</v>
      </c>
      <c r="T948" t="b">
        <v>1</v>
      </c>
      <c r="U948" t="s">
        <v>5674</v>
      </c>
      <c r="V948" t="s">
        <v>389</v>
      </c>
      <c r="W948" t="s">
        <v>5675</v>
      </c>
      <c r="X948" t="s">
        <v>47</v>
      </c>
      <c r="AA948" t="s">
        <v>340</v>
      </c>
      <c r="AB948" t="s">
        <v>231</v>
      </c>
      <c r="AC948" t="s">
        <v>1063</v>
      </c>
      <c r="AD948" t="b">
        <v>0</v>
      </c>
      <c r="AF948">
        <v>1</v>
      </c>
      <c r="AG948" t="s">
        <v>104</v>
      </c>
    </row>
    <row r="949" spans="1:33" x14ac:dyDescent="0.2">
      <c r="A949">
        <v>1279</v>
      </c>
      <c r="B949" t="s">
        <v>5676</v>
      </c>
      <c r="C949" t="s">
        <v>34</v>
      </c>
      <c r="D949" t="s">
        <v>35</v>
      </c>
      <c r="G949" t="s">
        <v>377</v>
      </c>
      <c r="H949" t="s">
        <v>378</v>
      </c>
      <c r="I949" t="s">
        <v>5677</v>
      </c>
      <c r="J949" t="s">
        <v>109</v>
      </c>
      <c r="K949">
        <v>2007</v>
      </c>
      <c r="L949">
        <v>2007</v>
      </c>
      <c r="M949">
        <v>6.0000000000000001E-3</v>
      </c>
      <c r="N949">
        <v>0.03</v>
      </c>
      <c r="R949" t="s">
        <v>42</v>
      </c>
      <c r="S949" t="s">
        <v>5678</v>
      </c>
      <c r="T949" t="b">
        <v>1</v>
      </c>
      <c r="U949" t="s">
        <v>59</v>
      </c>
      <c r="V949" t="s">
        <v>274</v>
      </c>
      <c r="W949" t="s">
        <v>5679</v>
      </c>
      <c r="X949" t="s">
        <v>47</v>
      </c>
      <c r="AA949" t="s">
        <v>114</v>
      </c>
      <c r="AC949" t="s">
        <v>63</v>
      </c>
      <c r="AD949" t="b">
        <v>0</v>
      </c>
      <c r="AF949">
        <v>11</v>
      </c>
      <c r="AG949" t="s">
        <v>198</v>
      </c>
    </row>
    <row r="950" spans="1:33" x14ac:dyDescent="0.2">
      <c r="A950">
        <v>269</v>
      </c>
      <c r="B950" t="s">
        <v>5680</v>
      </c>
      <c r="C950" t="s">
        <v>34</v>
      </c>
      <c r="D950" t="s">
        <v>35</v>
      </c>
      <c r="E950" t="s">
        <v>1027</v>
      </c>
      <c r="F950" t="s">
        <v>1028</v>
      </c>
      <c r="G950" t="s">
        <v>53</v>
      </c>
      <c r="H950" t="s">
        <v>54</v>
      </c>
      <c r="I950" t="s">
        <v>325</v>
      </c>
      <c r="J950" t="s">
        <v>135</v>
      </c>
      <c r="K950">
        <v>1981</v>
      </c>
      <c r="L950">
        <v>1981</v>
      </c>
      <c r="M950">
        <v>1.2999000000000001</v>
      </c>
      <c r="N950">
        <v>4.181</v>
      </c>
      <c r="O950">
        <v>66</v>
      </c>
      <c r="P950">
        <v>2.41</v>
      </c>
      <c r="Q950">
        <v>0.15</v>
      </c>
      <c r="R950" t="s">
        <v>84</v>
      </c>
      <c r="S950" t="s">
        <v>5681</v>
      </c>
      <c r="T950" t="b">
        <v>1</v>
      </c>
      <c r="U950" t="s">
        <v>1069</v>
      </c>
      <c r="V950" t="s">
        <v>4854</v>
      </c>
      <c r="W950" t="s">
        <v>5682</v>
      </c>
      <c r="X950" t="s">
        <v>47</v>
      </c>
      <c r="AA950" t="s">
        <v>958</v>
      </c>
      <c r="AB950" t="s">
        <v>378</v>
      </c>
      <c r="AC950" t="s">
        <v>959</v>
      </c>
      <c r="AD950" t="b">
        <v>0</v>
      </c>
      <c r="AF950">
        <v>3</v>
      </c>
      <c r="AG950" t="s">
        <v>332</v>
      </c>
    </row>
    <row r="951" spans="1:33" x14ac:dyDescent="0.2">
      <c r="A951">
        <v>1794</v>
      </c>
      <c r="B951" t="s">
        <v>5683</v>
      </c>
      <c r="C951" t="s">
        <v>34</v>
      </c>
      <c r="D951" t="s">
        <v>35</v>
      </c>
      <c r="E951" t="s">
        <v>168</v>
      </c>
      <c r="F951" t="s">
        <v>169</v>
      </c>
      <c r="G951" t="s">
        <v>503</v>
      </c>
      <c r="H951" t="s">
        <v>462</v>
      </c>
      <c r="I951" t="s">
        <v>2564</v>
      </c>
      <c r="J951" t="s">
        <v>262</v>
      </c>
      <c r="K951">
        <v>2015</v>
      </c>
      <c r="L951">
        <v>2015</v>
      </c>
      <c r="M951">
        <v>4.3600000000000003</v>
      </c>
      <c r="N951">
        <v>8.3469999999999995</v>
      </c>
      <c r="O951">
        <v>276.7</v>
      </c>
      <c r="P951">
        <v>1.9</v>
      </c>
      <c r="Q951">
        <v>0.63700000000000001</v>
      </c>
      <c r="R951" t="s">
        <v>84</v>
      </c>
      <c r="S951" t="s">
        <v>5684</v>
      </c>
      <c r="T951" t="b">
        <v>1</v>
      </c>
      <c r="U951" t="s">
        <v>5685</v>
      </c>
      <c r="V951" t="s">
        <v>174</v>
      </c>
      <c r="W951" t="s">
        <v>5686</v>
      </c>
      <c r="X951" t="s">
        <v>47</v>
      </c>
      <c r="AA951" t="s">
        <v>583</v>
      </c>
      <c r="AB951" t="s">
        <v>515</v>
      </c>
      <c r="AC951" t="s">
        <v>585</v>
      </c>
      <c r="AD951" t="b">
        <v>0</v>
      </c>
      <c r="AF951">
        <v>3</v>
      </c>
      <c r="AG951" t="s">
        <v>332</v>
      </c>
    </row>
    <row r="952" spans="1:33" x14ac:dyDescent="0.2">
      <c r="A952">
        <v>1850</v>
      </c>
      <c r="B952" t="s">
        <v>5687</v>
      </c>
      <c r="C952" t="s">
        <v>34</v>
      </c>
      <c r="D952" t="s">
        <v>35</v>
      </c>
      <c r="E952" t="s">
        <v>1027</v>
      </c>
      <c r="F952" t="s">
        <v>1028</v>
      </c>
      <c r="G952" t="s">
        <v>53</v>
      </c>
      <c r="H952" t="s">
        <v>54</v>
      </c>
      <c r="I952" t="s">
        <v>325</v>
      </c>
      <c r="J952" t="s">
        <v>135</v>
      </c>
      <c r="K952">
        <v>2016</v>
      </c>
      <c r="L952">
        <v>2016</v>
      </c>
      <c r="M952">
        <v>3.47</v>
      </c>
      <c r="N952">
        <v>13.964</v>
      </c>
      <c r="O952">
        <v>153.5</v>
      </c>
      <c r="P952">
        <v>2.6</v>
      </c>
      <c r="Q952">
        <v>0.371</v>
      </c>
      <c r="R952" t="s">
        <v>84</v>
      </c>
      <c r="S952" t="s">
        <v>5688</v>
      </c>
      <c r="T952" t="b">
        <v>1</v>
      </c>
      <c r="U952" t="s">
        <v>5689</v>
      </c>
      <c r="V952" t="s">
        <v>4854</v>
      </c>
      <c r="W952" t="s">
        <v>5690</v>
      </c>
      <c r="X952" t="s">
        <v>47</v>
      </c>
      <c r="AA952" t="s">
        <v>958</v>
      </c>
      <c r="AB952" t="s">
        <v>663</v>
      </c>
      <c r="AC952" t="s">
        <v>959</v>
      </c>
      <c r="AD952" t="b">
        <v>0</v>
      </c>
      <c r="AF952">
        <v>3</v>
      </c>
      <c r="AG952" t="s">
        <v>332</v>
      </c>
    </row>
    <row r="953" spans="1:33" x14ac:dyDescent="0.2">
      <c r="A953">
        <v>270</v>
      </c>
      <c r="B953" t="s">
        <v>5691</v>
      </c>
      <c r="C953" t="s">
        <v>34</v>
      </c>
      <c r="D953" t="s">
        <v>35</v>
      </c>
      <c r="E953" t="s">
        <v>1814</v>
      </c>
      <c r="F953" t="s">
        <v>1815</v>
      </c>
      <c r="G953" t="s">
        <v>93</v>
      </c>
      <c r="H953" t="s">
        <v>94</v>
      </c>
      <c r="I953" t="s">
        <v>569</v>
      </c>
      <c r="J953" t="s">
        <v>245</v>
      </c>
      <c r="K953">
        <v>1954</v>
      </c>
      <c r="L953">
        <v>2018</v>
      </c>
      <c r="M953">
        <v>7</v>
      </c>
      <c r="N953">
        <v>43.540999999999997</v>
      </c>
      <c r="O953">
        <v>159.5</v>
      </c>
      <c r="P953">
        <v>5.44</v>
      </c>
      <c r="Q953">
        <v>0.35599999999999998</v>
      </c>
      <c r="R953" t="s">
        <v>72</v>
      </c>
      <c r="S953" t="s">
        <v>5692</v>
      </c>
      <c r="T953" t="b">
        <v>1</v>
      </c>
      <c r="U953" t="s">
        <v>5693</v>
      </c>
      <c r="V953" t="s">
        <v>1818</v>
      </c>
      <c r="W953" t="s">
        <v>5694</v>
      </c>
      <c r="X953" t="s">
        <v>47</v>
      </c>
      <c r="AA953" t="s">
        <v>340</v>
      </c>
      <c r="AB953" t="s">
        <v>39</v>
      </c>
      <c r="AC953" t="s">
        <v>1063</v>
      </c>
      <c r="AD953" t="b">
        <v>0</v>
      </c>
      <c r="AF953">
        <v>8</v>
      </c>
      <c r="AG953" t="s">
        <v>78</v>
      </c>
    </row>
    <row r="954" spans="1:33" x14ac:dyDescent="0.2">
      <c r="A954">
        <v>1755</v>
      </c>
      <c r="B954" t="s">
        <v>5695</v>
      </c>
      <c r="C954" t="s">
        <v>34</v>
      </c>
      <c r="D954" t="s">
        <v>35</v>
      </c>
      <c r="E954" t="s">
        <v>5696</v>
      </c>
      <c r="F954" t="s">
        <v>5697</v>
      </c>
      <c r="G954" t="s">
        <v>53</v>
      </c>
      <c r="H954" t="s">
        <v>54</v>
      </c>
      <c r="I954" t="s">
        <v>1678</v>
      </c>
      <c r="J954" t="s">
        <v>245</v>
      </c>
      <c r="K954">
        <v>2014</v>
      </c>
      <c r="L954">
        <v>2014</v>
      </c>
      <c r="M954">
        <v>0.65</v>
      </c>
      <c r="N954">
        <v>1.079</v>
      </c>
      <c r="O954">
        <v>111.3</v>
      </c>
      <c r="P954">
        <v>0.7</v>
      </c>
      <c r="Q954">
        <v>0.25800000000000001</v>
      </c>
      <c r="R954" t="s">
        <v>57</v>
      </c>
      <c r="S954" t="s">
        <v>5698</v>
      </c>
      <c r="T954" t="b">
        <v>1</v>
      </c>
      <c r="U954" t="s">
        <v>5699</v>
      </c>
      <c r="V954" t="s">
        <v>5700</v>
      </c>
      <c r="W954" t="s">
        <v>5701</v>
      </c>
      <c r="X954" t="s">
        <v>47</v>
      </c>
      <c r="AA954" t="s">
        <v>5702</v>
      </c>
      <c r="AC954" t="s">
        <v>63</v>
      </c>
      <c r="AD954" t="b">
        <v>0</v>
      </c>
      <c r="AF954">
        <v>6</v>
      </c>
      <c r="AG954" t="s">
        <v>64</v>
      </c>
    </row>
    <row r="955" spans="1:33" x14ac:dyDescent="0.2">
      <c r="A955">
        <v>1992</v>
      </c>
      <c r="B955" t="s">
        <v>5703</v>
      </c>
      <c r="C955" t="s">
        <v>34</v>
      </c>
      <c r="D955" t="s">
        <v>35</v>
      </c>
      <c r="E955" t="s">
        <v>5704</v>
      </c>
      <c r="F955" t="s">
        <v>5705</v>
      </c>
      <c r="G955" t="s">
        <v>53</v>
      </c>
      <c r="H955" t="s">
        <v>54</v>
      </c>
      <c r="I955" t="s">
        <v>82</v>
      </c>
      <c r="J955" t="s">
        <v>83</v>
      </c>
      <c r="K955">
        <v>2019</v>
      </c>
      <c r="L955">
        <v>2019</v>
      </c>
      <c r="M955">
        <v>0.12</v>
      </c>
      <c r="N955">
        <v>0.57299999999999995</v>
      </c>
      <c r="O955">
        <v>56.95</v>
      </c>
      <c r="P955">
        <v>0.28000000000000003</v>
      </c>
      <c r="Q955">
        <v>0.121</v>
      </c>
      <c r="R955" t="s">
        <v>84</v>
      </c>
      <c r="S955" t="s">
        <v>5706</v>
      </c>
      <c r="T955" t="b">
        <v>1</v>
      </c>
      <c r="U955" t="s">
        <v>5707</v>
      </c>
      <c r="V955" t="s">
        <v>5708</v>
      </c>
      <c r="W955" t="s">
        <v>5709</v>
      </c>
      <c r="X955" t="s">
        <v>47</v>
      </c>
      <c r="AA955" t="s">
        <v>114</v>
      </c>
      <c r="AC955" t="s">
        <v>63</v>
      </c>
      <c r="AD955" t="b">
        <v>0</v>
      </c>
      <c r="AF955">
        <v>5</v>
      </c>
      <c r="AG955" t="s">
        <v>89</v>
      </c>
    </row>
    <row r="956" spans="1:33" x14ac:dyDescent="0.2">
      <c r="A956">
        <v>1715</v>
      </c>
      <c r="B956" t="s">
        <v>5710</v>
      </c>
      <c r="C956" t="s">
        <v>34</v>
      </c>
      <c r="D956" t="s">
        <v>35</v>
      </c>
      <c r="E956" t="s">
        <v>5711</v>
      </c>
      <c r="F956" t="s">
        <v>5712</v>
      </c>
      <c r="G956" t="s">
        <v>68</v>
      </c>
      <c r="H956" t="s">
        <v>69</v>
      </c>
      <c r="I956" t="s">
        <v>5713</v>
      </c>
      <c r="J956" t="s">
        <v>245</v>
      </c>
      <c r="K956">
        <v>2012</v>
      </c>
      <c r="L956">
        <v>2012</v>
      </c>
      <c r="M956">
        <v>1.4</v>
      </c>
      <c r="N956">
        <v>4.1500000000000004</v>
      </c>
      <c r="O956">
        <v>248</v>
      </c>
      <c r="P956">
        <v>0.67</v>
      </c>
      <c r="Q956">
        <v>0.57999999999999996</v>
      </c>
      <c r="R956" t="s">
        <v>72</v>
      </c>
      <c r="S956" t="s">
        <v>5714</v>
      </c>
      <c r="T956" t="b">
        <v>1</v>
      </c>
      <c r="U956" t="s">
        <v>5715</v>
      </c>
      <c r="V956" t="s">
        <v>5716</v>
      </c>
      <c r="W956" t="s">
        <v>5717</v>
      </c>
      <c r="X956" t="s">
        <v>47</v>
      </c>
      <c r="AA956" t="s">
        <v>114</v>
      </c>
      <c r="AB956" t="s">
        <v>49</v>
      </c>
      <c r="AC956" t="s">
        <v>5718</v>
      </c>
      <c r="AD956" t="b">
        <v>0</v>
      </c>
      <c r="AF956">
        <v>8</v>
      </c>
      <c r="AG956" t="s">
        <v>78</v>
      </c>
    </row>
    <row r="957" spans="1:33" x14ac:dyDescent="0.2">
      <c r="A957">
        <v>1809</v>
      </c>
      <c r="B957" t="s">
        <v>5719</v>
      </c>
      <c r="C957" t="s">
        <v>34</v>
      </c>
      <c r="D957" t="s">
        <v>35</v>
      </c>
      <c r="E957" t="s">
        <v>168</v>
      </c>
      <c r="F957" t="s">
        <v>169</v>
      </c>
      <c r="G957" t="s">
        <v>377</v>
      </c>
      <c r="H957" t="s">
        <v>378</v>
      </c>
      <c r="I957" t="s">
        <v>1958</v>
      </c>
      <c r="J957" t="s">
        <v>49</v>
      </c>
      <c r="K957">
        <v>2016</v>
      </c>
      <c r="L957">
        <v>2016</v>
      </c>
      <c r="M957">
        <v>1.64</v>
      </c>
      <c r="N957">
        <v>3.028</v>
      </c>
      <c r="O957">
        <v>140.30000000000001</v>
      </c>
      <c r="P957">
        <v>1.42</v>
      </c>
      <c r="Q957">
        <v>0.32100000000000001</v>
      </c>
      <c r="R957" t="s">
        <v>42</v>
      </c>
      <c r="S957" t="s">
        <v>5720</v>
      </c>
      <c r="T957" t="b">
        <v>1</v>
      </c>
      <c r="U957" t="s">
        <v>5721</v>
      </c>
      <c r="V957" t="s">
        <v>174</v>
      </c>
      <c r="W957" t="s">
        <v>5722</v>
      </c>
      <c r="X957" t="s">
        <v>47</v>
      </c>
      <c r="AA957" t="s">
        <v>114</v>
      </c>
      <c r="AC957" t="s">
        <v>63</v>
      </c>
      <c r="AD957" t="b">
        <v>0</v>
      </c>
      <c r="AF957">
        <v>11</v>
      </c>
      <c r="AG957" t="s">
        <v>198</v>
      </c>
    </row>
    <row r="958" spans="1:33" x14ac:dyDescent="0.2">
      <c r="A958">
        <v>1304</v>
      </c>
      <c r="B958" t="s">
        <v>5723</v>
      </c>
      <c r="C958" t="s">
        <v>34</v>
      </c>
      <c r="D958" t="s">
        <v>35</v>
      </c>
      <c r="E958" t="s">
        <v>5724</v>
      </c>
      <c r="F958" t="s">
        <v>5725</v>
      </c>
      <c r="G958" t="s">
        <v>503</v>
      </c>
      <c r="H958" t="s">
        <v>462</v>
      </c>
      <c r="I958" t="s">
        <v>2302</v>
      </c>
      <c r="J958" t="s">
        <v>227</v>
      </c>
      <c r="K958">
        <v>2007</v>
      </c>
      <c r="L958">
        <v>2007</v>
      </c>
      <c r="M958">
        <v>0.2</v>
      </c>
      <c r="N958">
        <v>1.032</v>
      </c>
      <c r="O958">
        <v>152</v>
      </c>
      <c r="P958">
        <v>0.2</v>
      </c>
      <c r="Q958">
        <v>0.27800000000000002</v>
      </c>
      <c r="R958" t="s">
        <v>84</v>
      </c>
      <c r="S958" t="s">
        <v>5726</v>
      </c>
      <c r="T958" t="b">
        <v>1</v>
      </c>
      <c r="U958" t="s">
        <v>5727</v>
      </c>
      <c r="V958" t="s">
        <v>5728</v>
      </c>
      <c r="W958" t="s">
        <v>5729</v>
      </c>
      <c r="X958" t="s">
        <v>47</v>
      </c>
      <c r="AA958" t="s">
        <v>583</v>
      </c>
      <c r="AC958" t="s">
        <v>585</v>
      </c>
      <c r="AD958" t="b">
        <v>0</v>
      </c>
      <c r="AF958">
        <v>3</v>
      </c>
      <c r="AG958" t="s">
        <v>332</v>
      </c>
    </row>
    <row r="959" spans="1:33" x14ac:dyDescent="0.2">
      <c r="A959">
        <v>1997</v>
      </c>
      <c r="B959" t="s">
        <v>5730</v>
      </c>
      <c r="C959" t="s">
        <v>34</v>
      </c>
      <c r="D959" t="s">
        <v>35</v>
      </c>
      <c r="E959" t="s">
        <v>5731</v>
      </c>
      <c r="F959" t="s">
        <v>5732</v>
      </c>
      <c r="G959" t="s">
        <v>53</v>
      </c>
      <c r="H959" t="s">
        <v>54</v>
      </c>
      <c r="I959" t="s">
        <v>604</v>
      </c>
      <c r="J959" t="s">
        <v>426</v>
      </c>
      <c r="K959">
        <v>2023</v>
      </c>
      <c r="L959">
        <v>2023</v>
      </c>
      <c r="M959">
        <v>5.6</v>
      </c>
      <c r="N959">
        <v>16.7</v>
      </c>
      <c r="O959">
        <v>397.6</v>
      </c>
      <c r="P959">
        <v>1.66</v>
      </c>
      <c r="Q959">
        <v>0.93700000000000006</v>
      </c>
      <c r="R959" t="s">
        <v>57</v>
      </c>
      <c r="S959" t="s">
        <v>5733</v>
      </c>
      <c r="T959" t="b">
        <v>1</v>
      </c>
      <c r="U959" t="s">
        <v>5734</v>
      </c>
      <c r="V959" t="s">
        <v>5735</v>
      </c>
      <c r="W959" t="s">
        <v>5736</v>
      </c>
      <c r="X959" t="s">
        <v>47</v>
      </c>
      <c r="AA959" t="s">
        <v>5737</v>
      </c>
      <c r="AC959" t="s">
        <v>63</v>
      </c>
      <c r="AD959" t="b">
        <v>0</v>
      </c>
      <c r="AF959">
        <v>6</v>
      </c>
      <c r="AG959" t="s">
        <v>64</v>
      </c>
    </row>
    <row r="960" spans="1:33" x14ac:dyDescent="0.2">
      <c r="A960">
        <v>271</v>
      </c>
      <c r="B960" t="s">
        <v>5738</v>
      </c>
      <c r="C960" t="s">
        <v>34</v>
      </c>
      <c r="D960" t="s">
        <v>35</v>
      </c>
      <c r="E960" t="s">
        <v>2256</v>
      </c>
      <c r="F960" t="s">
        <v>2257</v>
      </c>
      <c r="G960" t="s">
        <v>503</v>
      </c>
      <c r="H960" t="s">
        <v>462</v>
      </c>
      <c r="I960" t="s">
        <v>578</v>
      </c>
      <c r="J960" t="s">
        <v>308</v>
      </c>
      <c r="K960">
        <v>1908</v>
      </c>
      <c r="L960">
        <v>2017</v>
      </c>
      <c r="M960">
        <v>3.15</v>
      </c>
      <c r="N960">
        <v>16.344999999999999</v>
      </c>
      <c r="O960">
        <v>67</v>
      </c>
      <c r="P960">
        <v>5.2</v>
      </c>
      <c r="Q960">
        <v>0.16800000000000001</v>
      </c>
      <c r="R960" t="s">
        <v>84</v>
      </c>
      <c r="S960" t="s">
        <v>5739</v>
      </c>
      <c r="T960" t="b">
        <v>1</v>
      </c>
      <c r="U960" t="s">
        <v>5740</v>
      </c>
      <c r="V960" t="s">
        <v>2260</v>
      </c>
      <c r="W960" t="s">
        <v>5741</v>
      </c>
      <c r="X960" t="s">
        <v>47</v>
      </c>
      <c r="AA960" t="s">
        <v>583</v>
      </c>
      <c r="AB960" t="s">
        <v>308</v>
      </c>
      <c r="AC960" t="s">
        <v>585</v>
      </c>
      <c r="AD960" t="b">
        <v>0</v>
      </c>
      <c r="AF960">
        <v>3</v>
      </c>
      <c r="AG960" t="s">
        <v>332</v>
      </c>
    </row>
    <row r="961" spans="1:33" x14ac:dyDescent="0.2">
      <c r="A961">
        <v>778</v>
      </c>
      <c r="B961" t="s">
        <v>5738</v>
      </c>
      <c r="C961" t="s">
        <v>34</v>
      </c>
      <c r="D961" t="s">
        <v>35</v>
      </c>
      <c r="E961" t="s">
        <v>1200</v>
      </c>
      <c r="F961" t="s">
        <v>1201</v>
      </c>
      <c r="G961" t="s">
        <v>53</v>
      </c>
      <c r="H961" t="s">
        <v>54</v>
      </c>
      <c r="I961" t="s">
        <v>147</v>
      </c>
      <c r="J961" t="s">
        <v>148</v>
      </c>
      <c r="K961">
        <v>2000</v>
      </c>
      <c r="L961">
        <v>2000</v>
      </c>
      <c r="M961">
        <v>10</v>
      </c>
      <c r="N961">
        <v>42.84</v>
      </c>
      <c r="O961">
        <v>550</v>
      </c>
      <c r="P961">
        <v>2.2000000000000002</v>
      </c>
      <c r="Q961">
        <v>1.2629999999999999</v>
      </c>
      <c r="R961" t="s">
        <v>72</v>
      </c>
      <c r="S961" t="s">
        <v>5742</v>
      </c>
      <c r="T961" t="b">
        <v>1</v>
      </c>
      <c r="U961" t="s">
        <v>5743</v>
      </c>
      <c r="V961" t="s">
        <v>1204</v>
      </c>
      <c r="W961" t="s">
        <v>5744</v>
      </c>
      <c r="X961" t="s">
        <v>47</v>
      </c>
      <c r="AA961" t="s">
        <v>153</v>
      </c>
      <c r="AB961" t="s">
        <v>1077</v>
      </c>
      <c r="AC961" t="s">
        <v>154</v>
      </c>
      <c r="AD961" t="b">
        <v>0</v>
      </c>
      <c r="AF961">
        <v>13</v>
      </c>
      <c r="AG961" t="s">
        <v>155</v>
      </c>
    </row>
    <row r="962" spans="1:33" x14ac:dyDescent="0.2">
      <c r="A962">
        <v>970</v>
      </c>
      <c r="B962" t="s">
        <v>5745</v>
      </c>
      <c r="C962" t="s">
        <v>34</v>
      </c>
      <c r="D962" t="s">
        <v>35</v>
      </c>
      <c r="E962" t="s">
        <v>5746</v>
      </c>
      <c r="F962" t="s">
        <v>5747</v>
      </c>
      <c r="G962" t="s">
        <v>483</v>
      </c>
      <c r="H962" t="s">
        <v>109</v>
      </c>
      <c r="I962" t="s">
        <v>2587</v>
      </c>
      <c r="J962" t="s">
        <v>171</v>
      </c>
      <c r="K962">
        <v>1942</v>
      </c>
      <c r="L962">
        <v>1942</v>
      </c>
      <c r="M962">
        <v>2.5000000000000001E-2</v>
      </c>
      <c r="N962">
        <v>7.9000000000000001E-2</v>
      </c>
      <c r="R962" t="s">
        <v>97</v>
      </c>
      <c r="S962" t="s">
        <v>5748</v>
      </c>
      <c r="T962" t="b">
        <v>1</v>
      </c>
      <c r="U962" t="s">
        <v>4530</v>
      </c>
      <c r="V962" t="s">
        <v>5749</v>
      </c>
      <c r="W962" t="s">
        <v>113</v>
      </c>
      <c r="X962" t="s">
        <v>47</v>
      </c>
      <c r="AA962" t="s">
        <v>340</v>
      </c>
      <c r="AC962" t="s">
        <v>341</v>
      </c>
      <c r="AD962" t="b">
        <v>0</v>
      </c>
      <c r="AF962">
        <v>1</v>
      </c>
      <c r="AG962" t="s">
        <v>104</v>
      </c>
    </row>
    <row r="963" spans="1:33" x14ac:dyDescent="0.2">
      <c r="A963">
        <v>1125</v>
      </c>
      <c r="B963" t="s">
        <v>5750</v>
      </c>
      <c r="C963" t="s">
        <v>34</v>
      </c>
      <c r="D963" t="s">
        <v>35</v>
      </c>
      <c r="G963" t="s">
        <v>503</v>
      </c>
      <c r="H963" t="s">
        <v>462</v>
      </c>
      <c r="I963" t="s">
        <v>5751</v>
      </c>
      <c r="J963" t="s">
        <v>612</v>
      </c>
      <c r="K963">
        <v>1995</v>
      </c>
      <c r="L963">
        <v>1995</v>
      </c>
      <c r="M963">
        <v>5.0000000000000001E-3</v>
      </c>
      <c r="N963">
        <v>3.1E-2</v>
      </c>
      <c r="R963" t="s">
        <v>84</v>
      </c>
      <c r="S963" t="s">
        <v>5752</v>
      </c>
      <c r="T963" t="b">
        <v>1</v>
      </c>
      <c r="U963" t="s">
        <v>2566</v>
      </c>
      <c r="V963" t="s">
        <v>274</v>
      </c>
      <c r="W963" t="s">
        <v>113</v>
      </c>
      <c r="X963" t="s">
        <v>47</v>
      </c>
      <c r="AA963" t="s">
        <v>3934</v>
      </c>
      <c r="AC963" t="s">
        <v>63</v>
      </c>
      <c r="AD963" t="b">
        <v>0</v>
      </c>
      <c r="AF963">
        <v>3</v>
      </c>
      <c r="AG963" t="s">
        <v>332</v>
      </c>
    </row>
    <row r="964" spans="1:33" x14ac:dyDescent="0.2">
      <c r="A964">
        <v>786</v>
      </c>
      <c r="B964" t="s">
        <v>5753</v>
      </c>
      <c r="C964" t="s">
        <v>34</v>
      </c>
      <c r="D964" t="s">
        <v>35</v>
      </c>
      <c r="E964" t="s">
        <v>277</v>
      </c>
      <c r="F964" t="s">
        <v>278</v>
      </c>
      <c r="G964" t="s">
        <v>93</v>
      </c>
      <c r="H964" t="s">
        <v>94</v>
      </c>
      <c r="I964" t="s">
        <v>5754</v>
      </c>
      <c r="J964" t="s">
        <v>83</v>
      </c>
      <c r="K964">
        <v>2001</v>
      </c>
      <c r="L964">
        <v>2001</v>
      </c>
      <c r="M964">
        <v>1.2</v>
      </c>
      <c r="N964">
        <v>5.335</v>
      </c>
      <c r="O964">
        <v>57</v>
      </c>
      <c r="P964">
        <v>2.5</v>
      </c>
      <c r="Q964">
        <v>0.13300000000000001</v>
      </c>
      <c r="R964" t="s">
        <v>97</v>
      </c>
      <c r="S964" t="s">
        <v>5755</v>
      </c>
      <c r="T964" t="b">
        <v>1</v>
      </c>
      <c r="U964" t="s">
        <v>1103</v>
      </c>
      <c r="V964" t="s">
        <v>389</v>
      </c>
      <c r="W964" t="s">
        <v>5756</v>
      </c>
      <c r="X964" t="s">
        <v>47</v>
      </c>
      <c r="AA964" t="s">
        <v>340</v>
      </c>
      <c r="AB964" t="s">
        <v>192</v>
      </c>
      <c r="AC964" t="s">
        <v>1063</v>
      </c>
      <c r="AD964" t="b">
        <v>0</v>
      </c>
      <c r="AF964">
        <v>1</v>
      </c>
      <c r="AG964" t="s">
        <v>104</v>
      </c>
    </row>
    <row r="965" spans="1:33" x14ac:dyDescent="0.2">
      <c r="A965">
        <v>1611</v>
      </c>
      <c r="B965" t="s">
        <v>5757</v>
      </c>
      <c r="C965" t="s">
        <v>34</v>
      </c>
      <c r="D965" t="s">
        <v>35</v>
      </c>
      <c r="E965" t="s">
        <v>36</v>
      </c>
      <c r="F965" t="s">
        <v>37</v>
      </c>
      <c r="G965" t="s">
        <v>134</v>
      </c>
      <c r="H965" t="s">
        <v>135</v>
      </c>
      <c r="I965" t="s">
        <v>2074</v>
      </c>
      <c r="J965" t="s">
        <v>225</v>
      </c>
      <c r="K965">
        <v>2011</v>
      </c>
      <c r="L965">
        <v>2011</v>
      </c>
      <c r="M965">
        <v>0.59699999999999998</v>
      </c>
      <c r="N965">
        <v>2.1659999999999999</v>
      </c>
      <c r="O965">
        <v>287</v>
      </c>
      <c r="P965">
        <v>0.25</v>
      </c>
      <c r="Q965">
        <v>0.66300000000000003</v>
      </c>
      <c r="R965" t="s">
        <v>42</v>
      </c>
      <c r="S965" t="s">
        <v>3264</v>
      </c>
      <c r="T965" t="b">
        <v>1</v>
      </c>
      <c r="U965" t="s">
        <v>5758</v>
      </c>
      <c r="V965" t="s">
        <v>45</v>
      </c>
      <c r="W965" t="s">
        <v>5759</v>
      </c>
      <c r="X965" t="s">
        <v>47</v>
      </c>
      <c r="AA965" t="s">
        <v>2652</v>
      </c>
      <c r="AC965" t="s">
        <v>2653</v>
      </c>
      <c r="AD965" t="b">
        <v>0</v>
      </c>
      <c r="AF965">
        <v>10</v>
      </c>
      <c r="AG965" t="s">
        <v>143</v>
      </c>
    </row>
    <row r="966" spans="1:33" x14ac:dyDescent="0.2">
      <c r="A966">
        <v>273</v>
      </c>
      <c r="B966" t="s">
        <v>5760</v>
      </c>
      <c r="C966" t="s">
        <v>34</v>
      </c>
      <c r="D966" t="s">
        <v>35</v>
      </c>
      <c r="E966" t="s">
        <v>2170</v>
      </c>
      <c r="F966" t="s">
        <v>2171</v>
      </c>
      <c r="G966" t="s">
        <v>503</v>
      </c>
      <c r="H966" t="s">
        <v>462</v>
      </c>
      <c r="I966" t="s">
        <v>2564</v>
      </c>
      <c r="J966" t="s">
        <v>262</v>
      </c>
      <c r="K966">
        <v>1954</v>
      </c>
      <c r="L966">
        <v>1954</v>
      </c>
      <c r="M966">
        <v>30</v>
      </c>
      <c r="N966">
        <v>186.96</v>
      </c>
      <c r="O966">
        <v>47.5</v>
      </c>
      <c r="P966">
        <v>78</v>
      </c>
      <c r="Q966">
        <v>0.107</v>
      </c>
      <c r="R966" t="s">
        <v>84</v>
      </c>
      <c r="S966" t="s">
        <v>5761</v>
      </c>
      <c r="T966" t="b">
        <v>1</v>
      </c>
      <c r="U966" t="s">
        <v>173</v>
      </c>
      <c r="V966" t="s">
        <v>2567</v>
      </c>
      <c r="W966" t="s">
        <v>5762</v>
      </c>
      <c r="X966" t="s">
        <v>47</v>
      </c>
      <c r="AA966" t="s">
        <v>583</v>
      </c>
      <c r="AB966" t="s">
        <v>225</v>
      </c>
      <c r="AC966" t="s">
        <v>585</v>
      </c>
      <c r="AD966" t="b">
        <v>0</v>
      </c>
      <c r="AF966">
        <v>3</v>
      </c>
      <c r="AG966" t="s">
        <v>332</v>
      </c>
    </row>
    <row r="967" spans="1:33" x14ac:dyDescent="0.2">
      <c r="A967">
        <v>997</v>
      </c>
      <c r="B967" t="s">
        <v>5763</v>
      </c>
      <c r="C967" t="s">
        <v>34</v>
      </c>
      <c r="D967" t="s">
        <v>35</v>
      </c>
      <c r="E967" t="s">
        <v>5764</v>
      </c>
      <c r="F967" t="s">
        <v>5765</v>
      </c>
      <c r="G967" t="s">
        <v>213</v>
      </c>
      <c r="H967" t="s">
        <v>83</v>
      </c>
      <c r="I967" t="s">
        <v>611</v>
      </c>
      <c r="J967" t="s">
        <v>612</v>
      </c>
      <c r="K967">
        <v>1997</v>
      </c>
      <c r="L967">
        <v>1997</v>
      </c>
      <c r="M967">
        <v>0.5</v>
      </c>
      <c r="N967">
        <v>2.3690000000000002</v>
      </c>
      <c r="R967" t="s">
        <v>84</v>
      </c>
      <c r="S967" t="s">
        <v>5766</v>
      </c>
      <c r="T967" t="b">
        <v>1</v>
      </c>
      <c r="U967" t="s">
        <v>111</v>
      </c>
      <c r="V967" t="s">
        <v>5767</v>
      </c>
      <c r="W967" t="s">
        <v>5768</v>
      </c>
      <c r="X967" t="s">
        <v>47</v>
      </c>
      <c r="AA967" t="s">
        <v>615</v>
      </c>
      <c r="AC967" t="s">
        <v>616</v>
      </c>
      <c r="AD967" t="b">
        <v>0</v>
      </c>
      <c r="AF967">
        <v>4</v>
      </c>
      <c r="AG967" t="s">
        <v>321</v>
      </c>
    </row>
    <row r="968" spans="1:33" x14ac:dyDescent="0.2">
      <c r="A968">
        <v>274</v>
      </c>
      <c r="B968" t="s">
        <v>5769</v>
      </c>
      <c r="C968" t="s">
        <v>34</v>
      </c>
      <c r="D968" t="s">
        <v>35</v>
      </c>
      <c r="E968" t="s">
        <v>5770</v>
      </c>
      <c r="F968" t="s">
        <v>5771</v>
      </c>
      <c r="G968" t="s">
        <v>93</v>
      </c>
      <c r="H968" t="s">
        <v>94</v>
      </c>
      <c r="I968" t="s">
        <v>5772</v>
      </c>
      <c r="J968" t="s">
        <v>462</v>
      </c>
      <c r="K968">
        <v>1990</v>
      </c>
      <c r="L968">
        <v>1990</v>
      </c>
      <c r="M968">
        <v>15</v>
      </c>
      <c r="N968">
        <v>49.215000000000003</v>
      </c>
      <c r="O968">
        <v>501</v>
      </c>
      <c r="P968">
        <v>3.5</v>
      </c>
      <c r="Q968">
        <v>1.19</v>
      </c>
      <c r="R968" t="s">
        <v>97</v>
      </c>
      <c r="S968" t="s">
        <v>5773</v>
      </c>
      <c r="T968" t="b">
        <v>1</v>
      </c>
      <c r="U968" t="s">
        <v>5774</v>
      </c>
      <c r="V968" t="s">
        <v>5775</v>
      </c>
      <c r="W968" t="s">
        <v>5776</v>
      </c>
      <c r="X968" t="s">
        <v>47</v>
      </c>
      <c r="AA968" t="s">
        <v>340</v>
      </c>
      <c r="AB968" t="s">
        <v>973</v>
      </c>
      <c r="AC968" t="s">
        <v>1063</v>
      </c>
      <c r="AD968" t="b">
        <v>0</v>
      </c>
      <c r="AF968">
        <v>1</v>
      </c>
      <c r="AG968" t="s">
        <v>104</v>
      </c>
    </row>
    <row r="969" spans="1:33" x14ac:dyDescent="0.2">
      <c r="A969">
        <v>1012</v>
      </c>
      <c r="B969" t="s">
        <v>5777</v>
      </c>
      <c r="C969" t="s">
        <v>34</v>
      </c>
      <c r="D969" t="s">
        <v>35</v>
      </c>
      <c r="G969" t="s">
        <v>213</v>
      </c>
      <c r="H969" t="s">
        <v>83</v>
      </c>
      <c r="I969" t="s">
        <v>1527</v>
      </c>
      <c r="J969" t="s">
        <v>245</v>
      </c>
      <c r="K969">
        <v>2003</v>
      </c>
      <c r="L969">
        <v>2003</v>
      </c>
      <c r="M969">
        <v>0.44</v>
      </c>
      <c r="N969">
        <v>1.6839999999999999</v>
      </c>
      <c r="O969">
        <v>130</v>
      </c>
      <c r="R969" t="s">
        <v>84</v>
      </c>
      <c r="S969" t="s">
        <v>2371</v>
      </c>
      <c r="T969" t="b">
        <v>1</v>
      </c>
      <c r="U969" t="s">
        <v>2246</v>
      </c>
      <c r="V969" t="s">
        <v>60</v>
      </c>
      <c r="W969" t="s">
        <v>5778</v>
      </c>
      <c r="X969" t="s">
        <v>47</v>
      </c>
      <c r="AA969" t="s">
        <v>114</v>
      </c>
      <c r="AC969" t="s">
        <v>63</v>
      </c>
      <c r="AD969" t="b">
        <v>0</v>
      </c>
      <c r="AF969">
        <v>3</v>
      </c>
      <c r="AG969" t="s">
        <v>332</v>
      </c>
    </row>
    <row r="970" spans="1:33" x14ac:dyDescent="0.2">
      <c r="A970">
        <v>1607</v>
      </c>
      <c r="B970" t="s">
        <v>5779</v>
      </c>
      <c r="C970" t="s">
        <v>34</v>
      </c>
      <c r="D970" t="s">
        <v>35</v>
      </c>
      <c r="E970" t="s">
        <v>5780</v>
      </c>
      <c r="F970" t="s">
        <v>5781</v>
      </c>
      <c r="G970" t="s">
        <v>503</v>
      </c>
      <c r="H970" t="s">
        <v>462</v>
      </c>
      <c r="I970" t="s">
        <v>504</v>
      </c>
      <c r="J970" t="s">
        <v>109</v>
      </c>
      <c r="K970">
        <v>2011</v>
      </c>
      <c r="L970">
        <v>2011</v>
      </c>
      <c r="M970">
        <v>1</v>
      </c>
      <c r="N970">
        <v>3.0019999999999998</v>
      </c>
      <c r="O970">
        <v>194</v>
      </c>
      <c r="P970">
        <v>0.6</v>
      </c>
      <c r="Q970">
        <v>0.46200000000000002</v>
      </c>
      <c r="R970" t="s">
        <v>84</v>
      </c>
      <c r="S970" t="s">
        <v>5782</v>
      </c>
      <c r="T970" t="b">
        <v>1</v>
      </c>
      <c r="U970" t="s">
        <v>5783</v>
      </c>
      <c r="V970" t="s">
        <v>5784</v>
      </c>
      <c r="W970" t="s">
        <v>5785</v>
      </c>
      <c r="X970" t="s">
        <v>47</v>
      </c>
      <c r="AA970" t="s">
        <v>509</v>
      </c>
      <c r="AC970" t="s">
        <v>510</v>
      </c>
      <c r="AD970" t="b">
        <v>0</v>
      </c>
      <c r="AF970">
        <v>3</v>
      </c>
      <c r="AG970" t="s">
        <v>332</v>
      </c>
    </row>
    <row r="971" spans="1:33" x14ac:dyDescent="0.2">
      <c r="A971">
        <v>1131</v>
      </c>
      <c r="B971" t="s">
        <v>5786</v>
      </c>
      <c r="C971" t="s">
        <v>34</v>
      </c>
      <c r="D971" t="s">
        <v>35</v>
      </c>
      <c r="G971" t="s">
        <v>312</v>
      </c>
      <c r="H971" t="s">
        <v>313</v>
      </c>
      <c r="I971" t="s">
        <v>2218</v>
      </c>
      <c r="J971" t="s">
        <v>1077</v>
      </c>
      <c r="K971">
        <v>2006</v>
      </c>
      <c r="L971">
        <v>2006</v>
      </c>
      <c r="M971">
        <v>0.05</v>
      </c>
      <c r="N971">
        <v>5.7000000000000002E-2</v>
      </c>
      <c r="R971" t="s">
        <v>84</v>
      </c>
      <c r="S971" t="s">
        <v>5787</v>
      </c>
      <c r="T971" t="b">
        <v>1</v>
      </c>
      <c r="U971" t="s">
        <v>1305</v>
      </c>
      <c r="V971" t="s">
        <v>274</v>
      </c>
      <c r="W971" t="s">
        <v>5788</v>
      </c>
      <c r="X971" t="s">
        <v>47</v>
      </c>
      <c r="AA971" t="s">
        <v>860</v>
      </c>
      <c r="AC971" t="s">
        <v>861</v>
      </c>
      <c r="AD971" t="b">
        <v>0</v>
      </c>
      <c r="AF971">
        <v>4</v>
      </c>
      <c r="AG971" t="s">
        <v>321</v>
      </c>
    </row>
    <row r="972" spans="1:33" x14ac:dyDescent="0.2">
      <c r="A972">
        <v>276</v>
      </c>
      <c r="B972" t="s">
        <v>5789</v>
      </c>
      <c r="C972" t="s">
        <v>574</v>
      </c>
      <c r="D972" t="s">
        <v>575</v>
      </c>
      <c r="E972" t="s">
        <v>36</v>
      </c>
      <c r="F972" t="s">
        <v>37</v>
      </c>
      <c r="G972" t="s">
        <v>68</v>
      </c>
      <c r="H972" t="s">
        <v>69</v>
      </c>
      <c r="I972" t="s">
        <v>445</v>
      </c>
      <c r="J972" t="s">
        <v>203</v>
      </c>
      <c r="K972">
        <v>1975</v>
      </c>
      <c r="L972">
        <v>1975</v>
      </c>
      <c r="M972">
        <v>-0.8</v>
      </c>
      <c r="N972">
        <v>-3.1709999999999998</v>
      </c>
      <c r="O972">
        <v>0</v>
      </c>
      <c r="P972">
        <v>1.29</v>
      </c>
      <c r="Q972">
        <v>-0.17100000000000001</v>
      </c>
      <c r="R972" t="s">
        <v>72</v>
      </c>
      <c r="S972" t="s">
        <v>5790</v>
      </c>
      <c r="T972" t="b">
        <v>1</v>
      </c>
      <c r="U972" t="s">
        <v>3070</v>
      </c>
      <c r="V972" t="s">
        <v>2998</v>
      </c>
      <c r="W972" t="s">
        <v>5568</v>
      </c>
      <c r="X972" t="s">
        <v>47</v>
      </c>
      <c r="AA972" t="s">
        <v>445</v>
      </c>
      <c r="AB972" t="s">
        <v>612</v>
      </c>
      <c r="AC972" t="s">
        <v>3000</v>
      </c>
      <c r="AD972" t="b">
        <v>0</v>
      </c>
      <c r="AF972">
        <v>8</v>
      </c>
      <c r="AG972" t="s">
        <v>78</v>
      </c>
    </row>
    <row r="973" spans="1:33" x14ac:dyDescent="0.2">
      <c r="A973">
        <v>2094</v>
      </c>
      <c r="B973" t="s">
        <v>5791</v>
      </c>
      <c r="C973" t="s">
        <v>34</v>
      </c>
      <c r="D973" t="s">
        <v>35</v>
      </c>
      <c r="E973" t="s">
        <v>5792</v>
      </c>
      <c r="F973" t="s">
        <v>5793</v>
      </c>
      <c r="G973" t="s">
        <v>53</v>
      </c>
      <c r="H973" t="s">
        <v>54</v>
      </c>
      <c r="I973" t="s">
        <v>532</v>
      </c>
      <c r="J973" t="s">
        <v>533</v>
      </c>
      <c r="K973">
        <v>2023</v>
      </c>
      <c r="L973">
        <v>2023</v>
      </c>
      <c r="M973">
        <v>5.2</v>
      </c>
      <c r="N973">
        <v>12.3</v>
      </c>
      <c r="O973">
        <v>372</v>
      </c>
      <c r="P973">
        <v>1.62</v>
      </c>
      <c r="Q973">
        <v>0.89200000000000002</v>
      </c>
      <c r="R973" t="s">
        <v>57</v>
      </c>
      <c r="S973" t="s">
        <v>5794</v>
      </c>
      <c r="T973" t="b">
        <v>1</v>
      </c>
      <c r="U973" t="s">
        <v>5795</v>
      </c>
      <c r="V973" t="s">
        <v>5796</v>
      </c>
      <c r="W973" t="s">
        <v>5797</v>
      </c>
      <c r="X973" t="s">
        <v>47</v>
      </c>
      <c r="AA973" t="s">
        <v>5798</v>
      </c>
      <c r="AB973" t="s">
        <v>49</v>
      </c>
      <c r="AC973" t="s">
        <v>5799</v>
      </c>
      <c r="AD973" t="b">
        <v>0</v>
      </c>
      <c r="AF973">
        <v>7</v>
      </c>
      <c r="AG973" t="s">
        <v>469</v>
      </c>
    </row>
    <row r="974" spans="1:33" x14ac:dyDescent="0.2">
      <c r="A974">
        <v>1985</v>
      </c>
      <c r="B974" t="s">
        <v>5800</v>
      </c>
      <c r="C974" t="s">
        <v>34</v>
      </c>
      <c r="D974" t="s">
        <v>35</v>
      </c>
      <c r="E974" t="s">
        <v>277</v>
      </c>
      <c r="F974" t="s">
        <v>278</v>
      </c>
      <c r="G974" t="s">
        <v>53</v>
      </c>
      <c r="H974" t="s">
        <v>54</v>
      </c>
      <c r="I974" t="s">
        <v>901</v>
      </c>
      <c r="J974" t="s">
        <v>313</v>
      </c>
      <c r="K974">
        <v>2022</v>
      </c>
      <c r="L974">
        <v>2022</v>
      </c>
      <c r="M974">
        <v>9.9</v>
      </c>
      <c r="N974">
        <v>42.709000000000003</v>
      </c>
      <c r="O974">
        <v>226.03</v>
      </c>
      <c r="P974">
        <v>5.3</v>
      </c>
      <c r="Q974">
        <v>0.51900000000000002</v>
      </c>
      <c r="R974" t="s">
        <v>57</v>
      </c>
      <c r="S974" t="s">
        <v>5801</v>
      </c>
      <c r="T974" t="b">
        <v>1</v>
      </c>
      <c r="U974" t="s">
        <v>5802</v>
      </c>
      <c r="V974" t="s">
        <v>5803</v>
      </c>
      <c r="W974" t="s">
        <v>5804</v>
      </c>
      <c r="X974" t="s">
        <v>47</v>
      </c>
      <c r="AA974" t="s">
        <v>5805</v>
      </c>
      <c r="AB974" t="s">
        <v>49</v>
      </c>
      <c r="AC974" t="s">
        <v>5806</v>
      </c>
      <c r="AD974" t="b">
        <v>0</v>
      </c>
      <c r="AF974">
        <v>2</v>
      </c>
      <c r="AG974" t="s">
        <v>287</v>
      </c>
    </row>
    <row r="975" spans="1:33" x14ac:dyDescent="0.2">
      <c r="A975">
        <v>277</v>
      </c>
      <c r="B975" t="s">
        <v>5807</v>
      </c>
      <c r="C975" t="s">
        <v>34</v>
      </c>
      <c r="D975" t="s">
        <v>35</v>
      </c>
      <c r="E975" t="s">
        <v>168</v>
      </c>
      <c r="F975" t="s">
        <v>169</v>
      </c>
      <c r="G975" t="s">
        <v>242</v>
      </c>
      <c r="H975" t="s">
        <v>243</v>
      </c>
      <c r="I975" t="s">
        <v>1424</v>
      </c>
      <c r="J975" t="s">
        <v>354</v>
      </c>
      <c r="K975">
        <v>1986</v>
      </c>
      <c r="L975">
        <v>1986</v>
      </c>
      <c r="M975">
        <v>2.1</v>
      </c>
      <c r="N975">
        <v>11.387</v>
      </c>
      <c r="O975">
        <v>50.5</v>
      </c>
      <c r="P975">
        <v>4.9800000000000004</v>
      </c>
      <c r="Q975">
        <v>0.11700000000000001</v>
      </c>
      <c r="R975" t="s">
        <v>72</v>
      </c>
      <c r="S975" t="s">
        <v>5808</v>
      </c>
      <c r="T975" t="b">
        <v>1</v>
      </c>
      <c r="U975" t="s">
        <v>5809</v>
      </c>
      <c r="V975" t="s">
        <v>174</v>
      </c>
      <c r="W975" t="s">
        <v>5810</v>
      </c>
      <c r="X975" t="s">
        <v>47</v>
      </c>
      <c r="AA975" t="s">
        <v>1428</v>
      </c>
      <c r="AB975" t="s">
        <v>401</v>
      </c>
      <c r="AC975" t="s">
        <v>1429</v>
      </c>
      <c r="AD975" t="b">
        <v>0</v>
      </c>
      <c r="AF975">
        <v>9</v>
      </c>
      <c r="AG975" t="s">
        <v>251</v>
      </c>
    </row>
    <row r="976" spans="1:33" x14ac:dyDescent="0.2">
      <c r="A976">
        <v>1621</v>
      </c>
      <c r="B976" t="s">
        <v>5811</v>
      </c>
      <c r="C976" t="s">
        <v>34</v>
      </c>
      <c r="D976" t="s">
        <v>35</v>
      </c>
      <c r="E976" t="s">
        <v>523</v>
      </c>
      <c r="F976" t="s">
        <v>524</v>
      </c>
      <c r="G976" t="s">
        <v>377</v>
      </c>
      <c r="H976" t="s">
        <v>378</v>
      </c>
      <c r="I976" t="s">
        <v>425</v>
      </c>
      <c r="J976" t="s">
        <v>426</v>
      </c>
      <c r="K976">
        <v>2012</v>
      </c>
      <c r="L976">
        <v>2012</v>
      </c>
      <c r="M976">
        <v>2.1</v>
      </c>
      <c r="N976">
        <v>3.9550000000000001</v>
      </c>
      <c r="O976">
        <v>295</v>
      </c>
      <c r="P976">
        <v>0.92</v>
      </c>
      <c r="Q976">
        <v>0.63400000000000001</v>
      </c>
      <c r="R976" t="s">
        <v>42</v>
      </c>
      <c r="S976" t="s">
        <v>5812</v>
      </c>
      <c r="T976" t="b">
        <v>1</v>
      </c>
      <c r="U976" t="s">
        <v>5813</v>
      </c>
      <c r="V976" t="s">
        <v>527</v>
      </c>
      <c r="W976" t="s">
        <v>5814</v>
      </c>
      <c r="X976" t="s">
        <v>47</v>
      </c>
      <c r="AA976" t="s">
        <v>5815</v>
      </c>
      <c r="AB976" t="s">
        <v>83</v>
      </c>
      <c r="AC976" t="s">
        <v>5816</v>
      </c>
      <c r="AD976" t="b">
        <v>0</v>
      </c>
      <c r="AF976">
        <v>11</v>
      </c>
      <c r="AG976" t="s">
        <v>198</v>
      </c>
    </row>
    <row r="977" spans="1:33" x14ac:dyDescent="0.2">
      <c r="A977">
        <v>1598</v>
      </c>
      <c r="B977" t="s">
        <v>5817</v>
      </c>
      <c r="C977" t="s">
        <v>34</v>
      </c>
      <c r="D977" t="s">
        <v>35</v>
      </c>
      <c r="E977" t="s">
        <v>5818</v>
      </c>
      <c r="F977" t="s">
        <v>5819</v>
      </c>
      <c r="G977" t="s">
        <v>213</v>
      </c>
      <c r="H977" t="s">
        <v>83</v>
      </c>
      <c r="I977" t="s">
        <v>1527</v>
      </c>
      <c r="J977" t="s">
        <v>245</v>
      </c>
      <c r="K977">
        <v>2010</v>
      </c>
      <c r="L977">
        <v>2024</v>
      </c>
      <c r="M977">
        <v>5.4569999999999999</v>
      </c>
      <c r="N977">
        <v>13.141</v>
      </c>
      <c r="O977">
        <v>381.5</v>
      </c>
      <c r="P977">
        <v>1.64</v>
      </c>
      <c r="Q977">
        <v>0.92400000000000004</v>
      </c>
      <c r="R977" t="s">
        <v>84</v>
      </c>
      <c r="S977" t="s">
        <v>5820</v>
      </c>
      <c r="T977" t="b">
        <v>1</v>
      </c>
      <c r="U977" t="s">
        <v>5821</v>
      </c>
      <c r="V977" t="s">
        <v>5822</v>
      </c>
      <c r="W977" t="s">
        <v>5823</v>
      </c>
      <c r="X977" t="s">
        <v>47</v>
      </c>
      <c r="AA977" t="s">
        <v>5824</v>
      </c>
      <c r="AB977" t="s">
        <v>49</v>
      </c>
      <c r="AC977" t="s">
        <v>5825</v>
      </c>
      <c r="AD977" t="b">
        <v>0</v>
      </c>
      <c r="AF977">
        <v>5</v>
      </c>
      <c r="AG977" t="s">
        <v>89</v>
      </c>
    </row>
    <row r="978" spans="1:33" x14ac:dyDescent="0.2">
      <c r="A978">
        <v>1315</v>
      </c>
      <c r="B978" t="s">
        <v>5826</v>
      </c>
      <c r="C978" t="s">
        <v>34</v>
      </c>
      <c r="D978" t="s">
        <v>35</v>
      </c>
      <c r="G978" t="s">
        <v>242</v>
      </c>
      <c r="H978" t="s">
        <v>243</v>
      </c>
      <c r="I978" t="s">
        <v>3251</v>
      </c>
      <c r="J978" t="s">
        <v>1242</v>
      </c>
      <c r="K978">
        <v>2005</v>
      </c>
      <c r="L978">
        <v>2005</v>
      </c>
      <c r="M978">
        <v>6.0000000000000001E-3</v>
      </c>
      <c r="N978">
        <v>3.2000000000000001E-2</v>
      </c>
      <c r="R978" t="s">
        <v>72</v>
      </c>
      <c r="S978" t="s">
        <v>5827</v>
      </c>
      <c r="T978" t="b">
        <v>1</v>
      </c>
      <c r="U978" t="s">
        <v>237</v>
      </c>
      <c r="V978" t="s">
        <v>274</v>
      </c>
      <c r="W978" t="s">
        <v>5828</v>
      </c>
      <c r="X978" t="s">
        <v>47</v>
      </c>
      <c r="AA978" t="s">
        <v>5829</v>
      </c>
      <c r="AC978" t="s">
        <v>63</v>
      </c>
      <c r="AD978" t="b">
        <v>0</v>
      </c>
      <c r="AF978">
        <v>8</v>
      </c>
      <c r="AG978" t="s">
        <v>78</v>
      </c>
    </row>
    <row r="979" spans="1:33" x14ac:dyDescent="0.2">
      <c r="A979">
        <v>1088</v>
      </c>
      <c r="B979" t="s">
        <v>5830</v>
      </c>
      <c r="C979" t="s">
        <v>34</v>
      </c>
      <c r="D979" t="s">
        <v>35</v>
      </c>
      <c r="G979" t="s">
        <v>134</v>
      </c>
      <c r="H979" t="s">
        <v>135</v>
      </c>
      <c r="I979" t="s">
        <v>4776</v>
      </c>
      <c r="J979" t="s">
        <v>3789</v>
      </c>
      <c r="K979">
        <v>1995</v>
      </c>
      <c r="L979">
        <v>1995</v>
      </c>
      <c r="M979">
        <v>7.4999999999999997E-2</v>
      </c>
      <c r="N979">
        <v>0.151</v>
      </c>
      <c r="R979" t="s">
        <v>42</v>
      </c>
      <c r="S979" t="s">
        <v>5831</v>
      </c>
      <c r="T979" t="b">
        <v>1</v>
      </c>
      <c r="U979" t="s">
        <v>2566</v>
      </c>
      <c r="V979" t="s">
        <v>274</v>
      </c>
      <c r="W979" t="s">
        <v>113</v>
      </c>
      <c r="X979" t="s">
        <v>47</v>
      </c>
      <c r="AA979" t="s">
        <v>114</v>
      </c>
      <c r="AC979" t="s">
        <v>63</v>
      </c>
      <c r="AD979" t="b">
        <v>0</v>
      </c>
      <c r="AF979">
        <v>11</v>
      </c>
      <c r="AG979" t="s">
        <v>198</v>
      </c>
    </row>
    <row r="980" spans="1:33" x14ac:dyDescent="0.2">
      <c r="A980">
        <v>278</v>
      </c>
      <c r="B980" t="s">
        <v>5832</v>
      </c>
      <c r="C980" t="s">
        <v>34</v>
      </c>
      <c r="D980" t="s">
        <v>35</v>
      </c>
      <c r="E980" t="s">
        <v>5833</v>
      </c>
      <c r="F980" t="s">
        <v>5834</v>
      </c>
      <c r="G980" t="s">
        <v>916</v>
      </c>
      <c r="H980" t="s">
        <v>567</v>
      </c>
      <c r="I980" t="s">
        <v>5835</v>
      </c>
      <c r="J980" t="s">
        <v>308</v>
      </c>
      <c r="K980">
        <v>1986</v>
      </c>
      <c r="L980">
        <v>1986</v>
      </c>
      <c r="M980">
        <v>3.1</v>
      </c>
      <c r="N980">
        <v>11.95</v>
      </c>
      <c r="O980">
        <v>22.4</v>
      </c>
      <c r="P980">
        <v>15</v>
      </c>
      <c r="Q980">
        <v>5.6000000000000001E-2</v>
      </c>
      <c r="R980" t="s">
        <v>97</v>
      </c>
      <c r="S980" t="s">
        <v>5836</v>
      </c>
      <c r="T980" t="b">
        <v>1</v>
      </c>
      <c r="U980" t="s">
        <v>1884</v>
      </c>
      <c r="V980" t="s">
        <v>5837</v>
      </c>
      <c r="W980" t="s">
        <v>5838</v>
      </c>
      <c r="X980" t="s">
        <v>47</v>
      </c>
      <c r="AA980" t="s">
        <v>5839</v>
      </c>
      <c r="AB980" t="s">
        <v>49</v>
      </c>
      <c r="AC980" t="s">
        <v>5840</v>
      </c>
      <c r="AD980" t="b">
        <v>0</v>
      </c>
      <c r="AF980">
        <v>1</v>
      </c>
      <c r="AG980" t="s">
        <v>104</v>
      </c>
    </row>
    <row r="981" spans="1:33" x14ac:dyDescent="0.2">
      <c r="A981">
        <v>279</v>
      </c>
      <c r="B981" t="s">
        <v>5841</v>
      </c>
      <c r="C981" t="s">
        <v>34</v>
      </c>
      <c r="D981" t="s">
        <v>35</v>
      </c>
      <c r="E981" t="s">
        <v>253</v>
      </c>
      <c r="F981" t="s">
        <v>254</v>
      </c>
      <c r="G981" t="s">
        <v>242</v>
      </c>
      <c r="H981" t="s">
        <v>243</v>
      </c>
      <c r="I981" t="s">
        <v>3688</v>
      </c>
      <c r="J981" t="s">
        <v>663</v>
      </c>
      <c r="K981">
        <v>1984</v>
      </c>
      <c r="L981">
        <v>1984</v>
      </c>
      <c r="M981">
        <v>37</v>
      </c>
      <c r="N981">
        <v>71.77</v>
      </c>
      <c r="O981">
        <v>205</v>
      </c>
      <c r="P981">
        <v>21.5</v>
      </c>
      <c r="Q981">
        <v>0.47699999999999998</v>
      </c>
      <c r="R981" t="s">
        <v>72</v>
      </c>
      <c r="S981" t="s">
        <v>5842</v>
      </c>
      <c r="T981" t="b">
        <v>1</v>
      </c>
      <c r="U981" t="s">
        <v>5843</v>
      </c>
      <c r="V981" t="s">
        <v>259</v>
      </c>
      <c r="W981" t="s">
        <v>5844</v>
      </c>
      <c r="X981" t="s">
        <v>47</v>
      </c>
      <c r="AA981" t="s">
        <v>5845</v>
      </c>
      <c r="AB981" t="s">
        <v>49</v>
      </c>
      <c r="AC981" t="s">
        <v>5846</v>
      </c>
      <c r="AD981" t="b">
        <v>0</v>
      </c>
      <c r="AF981">
        <v>9</v>
      </c>
      <c r="AG981" t="s">
        <v>251</v>
      </c>
    </row>
    <row r="982" spans="1:33" x14ac:dyDescent="0.2">
      <c r="A982">
        <v>1577</v>
      </c>
      <c r="B982" t="s">
        <v>5847</v>
      </c>
      <c r="C982" t="s">
        <v>34</v>
      </c>
      <c r="D982" t="s">
        <v>35</v>
      </c>
      <c r="E982" t="s">
        <v>5848</v>
      </c>
      <c r="F982" t="s">
        <v>5849</v>
      </c>
      <c r="G982" t="s">
        <v>68</v>
      </c>
      <c r="H982" t="s">
        <v>69</v>
      </c>
      <c r="I982" t="s">
        <v>265</v>
      </c>
      <c r="J982" t="s">
        <v>266</v>
      </c>
      <c r="K982">
        <v>2010</v>
      </c>
      <c r="L982">
        <v>2010</v>
      </c>
      <c r="M982">
        <v>0.36499999999999999</v>
      </c>
      <c r="N982">
        <v>1.0009999999999999</v>
      </c>
      <c r="O982">
        <v>110</v>
      </c>
      <c r="P982">
        <v>0.43</v>
      </c>
      <c r="R982" t="s">
        <v>72</v>
      </c>
      <c r="S982" t="s">
        <v>5850</v>
      </c>
      <c r="T982" t="b">
        <v>1</v>
      </c>
      <c r="U982" t="s">
        <v>5851</v>
      </c>
      <c r="V982" t="s">
        <v>5852</v>
      </c>
      <c r="W982" t="s">
        <v>5853</v>
      </c>
      <c r="X982" t="s">
        <v>47</v>
      </c>
      <c r="AA982" t="s">
        <v>114</v>
      </c>
      <c r="AC982" t="s">
        <v>63</v>
      </c>
      <c r="AD982" t="b">
        <v>0</v>
      </c>
      <c r="AF982">
        <v>8</v>
      </c>
      <c r="AG982" t="s">
        <v>78</v>
      </c>
    </row>
    <row r="983" spans="1:33" x14ac:dyDescent="0.2">
      <c r="A983">
        <v>2102</v>
      </c>
      <c r="B983" t="s">
        <v>5854</v>
      </c>
      <c r="C983" t="s">
        <v>34</v>
      </c>
      <c r="D983" t="s">
        <v>35</v>
      </c>
      <c r="E983" t="s">
        <v>5855</v>
      </c>
      <c r="F983" t="s">
        <v>5856</v>
      </c>
      <c r="G983" t="s">
        <v>53</v>
      </c>
      <c r="H983" t="s">
        <v>54</v>
      </c>
      <c r="I983" t="s">
        <v>461</v>
      </c>
      <c r="J983" t="s">
        <v>462</v>
      </c>
      <c r="K983">
        <v>2022</v>
      </c>
      <c r="L983">
        <v>2022</v>
      </c>
      <c r="M983">
        <v>4.3</v>
      </c>
      <c r="N983">
        <v>13.2</v>
      </c>
      <c r="O983">
        <v>229.5</v>
      </c>
      <c r="P983">
        <v>2.19</v>
      </c>
      <c r="Q983">
        <v>0.55000000000000004</v>
      </c>
      <c r="R983" t="s">
        <v>57</v>
      </c>
      <c r="S983" t="s">
        <v>5857</v>
      </c>
      <c r="T983" t="b">
        <v>1</v>
      </c>
      <c r="U983" t="s">
        <v>5858</v>
      </c>
      <c r="V983" t="s">
        <v>5859</v>
      </c>
      <c r="W983" t="s">
        <v>5860</v>
      </c>
      <c r="X983" t="s">
        <v>47</v>
      </c>
      <c r="AA983" t="s">
        <v>5854</v>
      </c>
      <c r="AC983" t="s">
        <v>63</v>
      </c>
      <c r="AD983" t="b">
        <v>0</v>
      </c>
      <c r="AF983">
        <v>7</v>
      </c>
      <c r="AG983" t="s">
        <v>469</v>
      </c>
    </row>
    <row r="984" spans="1:33" x14ac:dyDescent="0.2">
      <c r="A984">
        <v>1686</v>
      </c>
      <c r="B984" t="s">
        <v>5861</v>
      </c>
      <c r="C984" t="s">
        <v>34</v>
      </c>
      <c r="D984" t="s">
        <v>35</v>
      </c>
      <c r="E984" t="s">
        <v>5862</v>
      </c>
      <c r="F984" t="s">
        <v>5863</v>
      </c>
      <c r="G984" t="s">
        <v>134</v>
      </c>
      <c r="H984" t="s">
        <v>135</v>
      </c>
      <c r="I984" t="s">
        <v>202</v>
      </c>
      <c r="J984" t="s">
        <v>203</v>
      </c>
      <c r="K984">
        <v>2014</v>
      </c>
      <c r="L984">
        <v>2014</v>
      </c>
      <c r="M984">
        <v>5.49</v>
      </c>
      <c r="N984">
        <v>11.141</v>
      </c>
      <c r="O984">
        <v>481.5</v>
      </c>
      <c r="P984">
        <v>1.5</v>
      </c>
      <c r="Q984">
        <v>1.0169999999999999</v>
      </c>
      <c r="R984" t="s">
        <v>42</v>
      </c>
      <c r="S984" t="s">
        <v>5864</v>
      </c>
      <c r="T984" t="b">
        <v>1</v>
      </c>
      <c r="U984" t="s">
        <v>5865</v>
      </c>
      <c r="V984" t="s">
        <v>5866</v>
      </c>
      <c r="W984" t="s">
        <v>5867</v>
      </c>
      <c r="X984" t="s">
        <v>47</v>
      </c>
      <c r="AA984" t="s">
        <v>208</v>
      </c>
      <c r="AB984" t="s">
        <v>539</v>
      </c>
      <c r="AC984" t="s">
        <v>4566</v>
      </c>
      <c r="AD984" t="b">
        <v>0</v>
      </c>
      <c r="AF984">
        <v>10</v>
      </c>
      <c r="AG984" t="s">
        <v>143</v>
      </c>
    </row>
    <row r="985" spans="1:33" x14ac:dyDescent="0.2">
      <c r="A985">
        <v>281</v>
      </c>
      <c r="B985" t="s">
        <v>5868</v>
      </c>
      <c r="C985" t="s">
        <v>34</v>
      </c>
      <c r="D985" t="s">
        <v>35</v>
      </c>
      <c r="E985" t="s">
        <v>91</v>
      </c>
      <c r="F985" t="s">
        <v>92</v>
      </c>
      <c r="G985" t="s">
        <v>503</v>
      </c>
      <c r="H985" t="s">
        <v>462</v>
      </c>
      <c r="I985" t="s">
        <v>659</v>
      </c>
      <c r="J985" t="s">
        <v>41</v>
      </c>
      <c r="K985">
        <v>1959</v>
      </c>
      <c r="L985">
        <v>1959</v>
      </c>
      <c r="M985">
        <v>7</v>
      </c>
      <c r="N985">
        <v>25.75</v>
      </c>
      <c r="O985">
        <v>126</v>
      </c>
      <c r="P985">
        <v>6.4</v>
      </c>
      <c r="Q985">
        <v>0.30399999999999999</v>
      </c>
      <c r="R985" t="s">
        <v>84</v>
      </c>
      <c r="S985" t="s">
        <v>5869</v>
      </c>
      <c r="T985" t="b">
        <v>1</v>
      </c>
      <c r="U985" t="s">
        <v>5870</v>
      </c>
      <c r="V985" t="s">
        <v>100</v>
      </c>
      <c r="W985" t="s">
        <v>5871</v>
      </c>
      <c r="X985" t="s">
        <v>47</v>
      </c>
      <c r="AA985" t="s">
        <v>583</v>
      </c>
      <c r="AB985" t="s">
        <v>1166</v>
      </c>
      <c r="AC985" t="s">
        <v>585</v>
      </c>
      <c r="AD985" t="b">
        <v>0</v>
      </c>
      <c r="AF985">
        <v>3</v>
      </c>
      <c r="AG985" t="s">
        <v>332</v>
      </c>
    </row>
    <row r="986" spans="1:33" x14ac:dyDescent="0.2">
      <c r="A986">
        <v>1138</v>
      </c>
      <c r="B986" t="s">
        <v>5872</v>
      </c>
      <c r="C986" t="s">
        <v>34</v>
      </c>
      <c r="D986" t="s">
        <v>35</v>
      </c>
      <c r="E986" t="s">
        <v>5873</v>
      </c>
      <c r="F986" t="s">
        <v>5874</v>
      </c>
      <c r="G986" t="s">
        <v>312</v>
      </c>
      <c r="H986" t="s">
        <v>313</v>
      </c>
      <c r="I986" t="s">
        <v>1049</v>
      </c>
      <c r="J986" t="s">
        <v>171</v>
      </c>
      <c r="K986">
        <v>1998</v>
      </c>
      <c r="L986">
        <v>1998</v>
      </c>
      <c r="M986">
        <v>0.3</v>
      </c>
      <c r="N986">
        <v>1.413</v>
      </c>
      <c r="O986">
        <v>110</v>
      </c>
      <c r="P986">
        <v>0.35</v>
      </c>
      <c r="Q986">
        <v>0.23799999999999999</v>
      </c>
      <c r="R986" t="s">
        <v>84</v>
      </c>
      <c r="S986" t="s">
        <v>5875</v>
      </c>
      <c r="T986" t="b">
        <v>1</v>
      </c>
      <c r="U986" t="s">
        <v>455</v>
      </c>
      <c r="V986" t="s">
        <v>5876</v>
      </c>
      <c r="W986" t="s">
        <v>5877</v>
      </c>
      <c r="X986" t="s">
        <v>47</v>
      </c>
      <c r="AA986" t="s">
        <v>1791</v>
      </c>
      <c r="AC986" t="s">
        <v>5878</v>
      </c>
      <c r="AD986" t="b">
        <v>0</v>
      </c>
      <c r="AF986">
        <v>4</v>
      </c>
      <c r="AG986" t="s">
        <v>321</v>
      </c>
    </row>
    <row r="987" spans="1:33" x14ac:dyDescent="0.2">
      <c r="A987">
        <v>1888</v>
      </c>
      <c r="B987" t="s">
        <v>5879</v>
      </c>
      <c r="C987" t="s">
        <v>34</v>
      </c>
      <c r="D987" t="s">
        <v>35</v>
      </c>
      <c r="E987" t="s">
        <v>5880</v>
      </c>
      <c r="F987" t="s">
        <v>5881</v>
      </c>
      <c r="G987" t="s">
        <v>53</v>
      </c>
      <c r="H987" t="s">
        <v>54</v>
      </c>
      <c r="I987" t="s">
        <v>147</v>
      </c>
      <c r="J987" t="s">
        <v>148</v>
      </c>
      <c r="K987">
        <v>2018</v>
      </c>
      <c r="L987">
        <v>2018</v>
      </c>
      <c r="M987">
        <v>5.32</v>
      </c>
      <c r="N987">
        <v>20.308</v>
      </c>
      <c r="O987">
        <v>190</v>
      </c>
      <c r="P987">
        <v>3.4</v>
      </c>
      <c r="Q987">
        <v>0.435</v>
      </c>
      <c r="R987" t="s">
        <v>72</v>
      </c>
      <c r="S987" t="s">
        <v>5882</v>
      </c>
      <c r="T987" t="b">
        <v>1</v>
      </c>
      <c r="U987" t="s">
        <v>5883</v>
      </c>
      <c r="V987" t="s">
        <v>5884</v>
      </c>
      <c r="W987" t="s">
        <v>5885</v>
      </c>
      <c r="X987" t="s">
        <v>47</v>
      </c>
      <c r="AA987" t="s">
        <v>153</v>
      </c>
      <c r="AB987" t="s">
        <v>1975</v>
      </c>
      <c r="AC987" t="s">
        <v>154</v>
      </c>
      <c r="AD987" t="b">
        <v>0</v>
      </c>
      <c r="AF987">
        <v>13</v>
      </c>
      <c r="AG987" t="s">
        <v>155</v>
      </c>
    </row>
    <row r="988" spans="1:33" x14ac:dyDescent="0.2">
      <c r="A988">
        <v>1383</v>
      </c>
      <c r="B988" t="s">
        <v>5886</v>
      </c>
      <c r="C988" t="s">
        <v>34</v>
      </c>
      <c r="D988" t="s">
        <v>35</v>
      </c>
      <c r="E988" t="s">
        <v>5887</v>
      </c>
      <c r="F988" t="s">
        <v>5888</v>
      </c>
      <c r="G988" t="s">
        <v>68</v>
      </c>
      <c r="H988" t="s">
        <v>69</v>
      </c>
      <c r="I988" t="s">
        <v>70</v>
      </c>
      <c r="J988" t="s">
        <v>71</v>
      </c>
      <c r="K988">
        <v>2009</v>
      </c>
      <c r="L988">
        <v>2009</v>
      </c>
      <c r="M988">
        <v>2</v>
      </c>
      <c r="N988">
        <v>5.2350000000000003</v>
      </c>
      <c r="O988">
        <v>256</v>
      </c>
      <c r="P988">
        <v>0.9</v>
      </c>
      <c r="Q988">
        <v>0.61699999999999999</v>
      </c>
      <c r="R988" t="s">
        <v>72</v>
      </c>
      <c r="S988" t="s">
        <v>5074</v>
      </c>
      <c r="T988" t="b">
        <v>1</v>
      </c>
      <c r="U988" t="s">
        <v>5889</v>
      </c>
      <c r="V988" t="s">
        <v>5890</v>
      </c>
      <c r="W988" t="s">
        <v>5891</v>
      </c>
      <c r="X988" t="s">
        <v>47</v>
      </c>
      <c r="AA988" t="s">
        <v>688</v>
      </c>
      <c r="AB988" t="s">
        <v>539</v>
      </c>
      <c r="AC988" t="s">
        <v>689</v>
      </c>
      <c r="AD988" t="b">
        <v>0</v>
      </c>
      <c r="AF988">
        <v>8</v>
      </c>
      <c r="AG988" t="s">
        <v>78</v>
      </c>
    </row>
    <row r="989" spans="1:33" x14ac:dyDescent="0.2">
      <c r="A989">
        <v>1896</v>
      </c>
      <c r="B989" t="s">
        <v>5886</v>
      </c>
      <c r="C989" t="s">
        <v>34</v>
      </c>
      <c r="D989" t="s">
        <v>35</v>
      </c>
      <c r="E989" t="s">
        <v>1492</v>
      </c>
      <c r="F989" t="s">
        <v>1493</v>
      </c>
      <c r="G989" t="s">
        <v>53</v>
      </c>
      <c r="H989" t="s">
        <v>54</v>
      </c>
      <c r="I989" t="s">
        <v>1039</v>
      </c>
      <c r="J989" t="s">
        <v>243</v>
      </c>
      <c r="K989">
        <v>2017</v>
      </c>
      <c r="L989">
        <v>2017</v>
      </c>
      <c r="M989">
        <v>2.5</v>
      </c>
      <c r="N989">
        <v>6.7960000000000003</v>
      </c>
      <c r="O989">
        <v>93</v>
      </c>
      <c r="P989">
        <v>3</v>
      </c>
      <c r="Q989">
        <v>0.23100000000000001</v>
      </c>
      <c r="R989" t="s">
        <v>72</v>
      </c>
      <c r="S989" t="s">
        <v>5892</v>
      </c>
      <c r="T989" t="b">
        <v>1</v>
      </c>
      <c r="U989" t="s">
        <v>4813</v>
      </c>
      <c r="V989" t="s">
        <v>1496</v>
      </c>
      <c r="W989" t="s">
        <v>5893</v>
      </c>
      <c r="X989" t="s">
        <v>47</v>
      </c>
      <c r="AA989" t="s">
        <v>400</v>
      </c>
      <c r="AB989" t="s">
        <v>1975</v>
      </c>
      <c r="AC989" t="s">
        <v>402</v>
      </c>
      <c r="AD989" t="b">
        <v>0</v>
      </c>
      <c r="AF989">
        <v>13</v>
      </c>
      <c r="AG989" t="s">
        <v>155</v>
      </c>
    </row>
    <row r="990" spans="1:33" x14ac:dyDescent="0.2">
      <c r="A990">
        <v>1641</v>
      </c>
      <c r="B990" t="s">
        <v>5894</v>
      </c>
      <c r="C990" t="s">
        <v>34</v>
      </c>
      <c r="D990" t="s">
        <v>35</v>
      </c>
      <c r="E990" t="s">
        <v>1513</v>
      </c>
      <c r="F990" t="s">
        <v>1514</v>
      </c>
      <c r="G990" t="s">
        <v>53</v>
      </c>
      <c r="H990" t="s">
        <v>54</v>
      </c>
      <c r="I990" t="s">
        <v>118</v>
      </c>
      <c r="J990" t="s">
        <v>119</v>
      </c>
      <c r="K990">
        <v>2007</v>
      </c>
      <c r="L990">
        <v>2007</v>
      </c>
      <c r="M990">
        <v>0.22500000000000001</v>
      </c>
      <c r="N990">
        <v>0.81299999999999994</v>
      </c>
      <c r="O990">
        <v>135</v>
      </c>
      <c r="P990">
        <v>0.24</v>
      </c>
      <c r="Q990">
        <v>0.26</v>
      </c>
      <c r="R990" t="s">
        <v>84</v>
      </c>
      <c r="S990" t="s">
        <v>939</v>
      </c>
      <c r="T990" t="b">
        <v>1</v>
      </c>
      <c r="U990" t="s">
        <v>5895</v>
      </c>
      <c r="V990" t="s">
        <v>1516</v>
      </c>
      <c r="W990" t="s">
        <v>5896</v>
      </c>
      <c r="X990" t="s">
        <v>47</v>
      </c>
      <c r="AA990" t="s">
        <v>479</v>
      </c>
      <c r="AC990" t="s">
        <v>1518</v>
      </c>
      <c r="AD990" t="b">
        <v>0</v>
      </c>
      <c r="AF990">
        <v>5</v>
      </c>
      <c r="AG990" t="s">
        <v>89</v>
      </c>
    </row>
    <row r="991" spans="1:33" x14ac:dyDescent="0.2">
      <c r="A991">
        <v>282</v>
      </c>
      <c r="B991" t="s">
        <v>5897</v>
      </c>
      <c r="C991" t="s">
        <v>34</v>
      </c>
      <c r="D991" t="s">
        <v>35</v>
      </c>
      <c r="E991" t="s">
        <v>404</v>
      </c>
      <c r="F991" t="s">
        <v>405</v>
      </c>
      <c r="G991" t="s">
        <v>224</v>
      </c>
      <c r="H991" t="s">
        <v>225</v>
      </c>
      <c r="I991" t="s">
        <v>1569</v>
      </c>
      <c r="J991" t="s">
        <v>485</v>
      </c>
      <c r="K991">
        <v>1964</v>
      </c>
      <c r="L991">
        <v>1964</v>
      </c>
      <c r="M991">
        <v>48</v>
      </c>
      <c r="N991">
        <v>282.71600000000001</v>
      </c>
      <c r="O991">
        <v>61.7</v>
      </c>
      <c r="P991">
        <v>100.15</v>
      </c>
      <c r="Q991">
        <v>0.13300000000000001</v>
      </c>
      <c r="R991" t="s">
        <v>97</v>
      </c>
      <c r="S991" t="s">
        <v>5898</v>
      </c>
      <c r="T991" t="b">
        <v>1</v>
      </c>
      <c r="U991" t="s">
        <v>5899</v>
      </c>
      <c r="V991" t="s">
        <v>408</v>
      </c>
      <c r="W991" t="s">
        <v>5900</v>
      </c>
      <c r="X991" t="s">
        <v>47</v>
      </c>
      <c r="AA991" t="s">
        <v>1548</v>
      </c>
      <c r="AB991" t="s">
        <v>135</v>
      </c>
      <c r="AC991" t="s">
        <v>1549</v>
      </c>
      <c r="AD991" t="b">
        <v>0</v>
      </c>
      <c r="AF991">
        <v>1</v>
      </c>
      <c r="AG991" t="s">
        <v>104</v>
      </c>
    </row>
    <row r="992" spans="1:33" x14ac:dyDescent="0.2">
      <c r="A992">
        <v>603</v>
      </c>
      <c r="B992" t="s">
        <v>5901</v>
      </c>
      <c r="C992" t="s">
        <v>34</v>
      </c>
      <c r="D992" t="s">
        <v>35</v>
      </c>
      <c r="E992" t="s">
        <v>1200</v>
      </c>
      <c r="F992" t="s">
        <v>1201</v>
      </c>
      <c r="G992" t="s">
        <v>53</v>
      </c>
      <c r="H992" t="s">
        <v>54</v>
      </c>
      <c r="I992" t="s">
        <v>1723</v>
      </c>
      <c r="J992" t="s">
        <v>1697</v>
      </c>
      <c r="K992">
        <v>1988</v>
      </c>
      <c r="L992">
        <v>1988</v>
      </c>
      <c r="M992">
        <v>3.7</v>
      </c>
      <c r="N992">
        <v>12.894</v>
      </c>
      <c r="O992">
        <v>18.2</v>
      </c>
      <c r="P992">
        <v>20</v>
      </c>
      <c r="Q992">
        <v>5.0999999999999997E-2</v>
      </c>
      <c r="R992" t="s">
        <v>57</v>
      </c>
      <c r="S992" t="s">
        <v>5902</v>
      </c>
      <c r="T992" t="b">
        <v>1</v>
      </c>
      <c r="U992" t="s">
        <v>5903</v>
      </c>
      <c r="V992" t="s">
        <v>1204</v>
      </c>
      <c r="W992" t="s">
        <v>5904</v>
      </c>
      <c r="X992" t="s">
        <v>47</v>
      </c>
      <c r="AA992" t="s">
        <v>1727</v>
      </c>
      <c r="AB992" t="s">
        <v>83</v>
      </c>
      <c r="AC992" t="s">
        <v>1728</v>
      </c>
      <c r="AD992" t="b">
        <v>0</v>
      </c>
      <c r="AF992">
        <v>6</v>
      </c>
      <c r="AG992" t="s">
        <v>64</v>
      </c>
    </row>
    <row r="993" spans="1:33" x14ac:dyDescent="0.2">
      <c r="A993">
        <v>1305</v>
      </c>
      <c r="B993" t="s">
        <v>5905</v>
      </c>
      <c r="C993" t="s">
        <v>34</v>
      </c>
      <c r="D993" t="s">
        <v>35</v>
      </c>
      <c r="G993" t="s">
        <v>53</v>
      </c>
      <c r="H993" t="s">
        <v>54</v>
      </c>
      <c r="I993" t="s">
        <v>147</v>
      </c>
      <c r="J993" t="s">
        <v>148</v>
      </c>
      <c r="K993">
        <v>2007</v>
      </c>
      <c r="L993">
        <v>2007</v>
      </c>
      <c r="M993">
        <v>7.4999999999999997E-2</v>
      </c>
      <c r="N993">
        <v>0.19900000000000001</v>
      </c>
      <c r="R993" t="s">
        <v>72</v>
      </c>
      <c r="S993" t="s">
        <v>5906</v>
      </c>
      <c r="T993" t="b">
        <v>1</v>
      </c>
      <c r="U993" t="s">
        <v>59</v>
      </c>
      <c r="V993" t="s">
        <v>60</v>
      </c>
      <c r="W993" t="s">
        <v>5907</v>
      </c>
      <c r="X993" t="s">
        <v>47</v>
      </c>
      <c r="AA993" t="s">
        <v>114</v>
      </c>
      <c r="AC993" t="s">
        <v>63</v>
      </c>
      <c r="AD993" t="b">
        <v>0</v>
      </c>
      <c r="AF993">
        <v>13</v>
      </c>
      <c r="AG993" t="s">
        <v>155</v>
      </c>
    </row>
    <row r="994" spans="1:33" x14ac:dyDescent="0.2">
      <c r="A994">
        <v>893</v>
      </c>
      <c r="B994" t="s">
        <v>5908</v>
      </c>
      <c r="C994" t="s">
        <v>34</v>
      </c>
      <c r="D994" t="s">
        <v>35</v>
      </c>
      <c r="E994" t="s">
        <v>5909</v>
      </c>
      <c r="F994" t="s">
        <v>5910</v>
      </c>
      <c r="G994" t="s">
        <v>213</v>
      </c>
      <c r="H994" t="s">
        <v>83</v>
      </c>
      <c r="I994" t="s">
        <v>635</v>
      </c>
      <c r="J994" t="s">
        <v>94</v>
      </c>
      <c r="K994">
        <v>2005</v>
      </c>
      <c r="L994">
        <v>2005</v>
      </c>
      <c r="M994">
        <v>0.2</v>
      </c>
      <c r="N994">
        <v>0.69199999999999995</v>
      </c>
      <c r="R994" t="s">
        <v>84</v>
      </c>
      <c r="S994" t="s">
        <v>5911</v>
      </c>
      <c r="T994" t="b">
        <v>1</v>
      </c>
      <c r="U994" t="s">
        <v>5912</v>
      </c>
      <c r="V994" t="s">
        <v>5913</v>
      </c>
      <c r="W994" t="s">
        <v>5914</v>
      </c>
      <c r="X994" t="s">
        <v>47</v>
      </c>
      <c r="AA994" t="s">
        <v>958</v>
      </c>
      <c r="AC994" t="s">
        <v>959</v>
      </c>
      <c r="AD994" t="b">
        <v>0</v>
      </c>
      <c r="AF994">
        <v>3</v>
      </c>
      <c r="AG994" t="s">
        <v>332</v>
      </c>
    </row>
    <row r="995" spans="1:33" x14ac:dyDescent="0.2">
      <c r="A995">
        <v>1984</v>
      </c>
      <c r="B995" t="s">
        <v>5915</v>
      </c>
      <c r="C995" t="s">
        <v>34</v>
      </c>
      <c r="D995" t="s">
        <v>35</v>
      </c>
      <c r="E995" t="s">
        <v>1492</v>
      </c>
      <c r="F995" t="s">
        <v>1493</v>
      </c>
      <c r="G995" t="s">
        <v>68</v>
      </c>
      <c r="H995" t="s">
        <v>69</v>
      </c>
      <c r="I995" t="s">
        <v>413</v>
      </c>
      <c r="J995" t="s">
        <v>414</v>
      </c>
      <c r="K995">
        <v>2021</v>
      </c>
      <c r="L995">
        <v>2021</v>
      </c>
      <c r="M995">
        <v>1.93</v>
      </c>
      <c r="N995">
        <v>4.6879999999999997</v>
      </c>
      <c r="O995">
        <v>324.7</v>
      </c>
      <c r="P995">
        <v>0.75</v>
      </c>
      <c r="Q995">
        <v>0.71499999999999997</v>
      </c>
      <c r="R995" t="s">
        <v>72</v>
      </c>
      <c r="S995" t="s">
        <v>5916</v>
      </c>
      <c r="T995" t="b">
        <v>1</v>
      </c>
      <c r="U995" t="s">
        <v>5917</v>
      </c>
      <c r="V995" t="s">
        <v>1496</v>
      </c>
      <c r="W995" t="s">
        <v>5918</v>
      </c>
      <c r="X995" t="s">
        <v>47</v>
      </c>
      <c r="AA995" t="s">
        <v>787</v>
      </c>
      <c r="AB995" t="s">
        <v>177</v>
      </c>
      <c r="AC995" t="s">
        <v>5919</v>
      </c>
      <c r="AD995" t="b">
        <v>0</v>
      </c>
      <c r="AF995">
        <v>8</v>
      </c>
      <c r="AG995" t="s">
        <v>78</v>
      </c>
    </row>
    <row r="996" spans="1:33" x14ac:dyDescent="0.2">
      <c r="A996">
        <v>283</v>
      </c>
      <c r="B996" t="s">
        <v>5920</v>
      </c>
      <c r="C996" t="s">
        <v>34</v>
      </c>
      <c r="D996" t="s">
        <v>35</v>
      </c>
      <c r="E996" t="s">
        <v>1200</v>
      </c>
      <c r="F996" t="s">
        <v>1201</v>
      </c>
      <c r="G996" t="s">
        <v>53</v>
      </c>
      <c r="H996" t="s">
        <v>54</v>
      </c>
      <c r="I996" t="s">
        <v>170</v>
      </c>
      <c r="J996" t="s">
        <v>171</v>
      </c>
      <c r="K996">
        <v>1987</v>
      </c>
      <c r="L996">
        <v>1987</v>
      </c>
      <c r="M996">
        <v>107</v>
      </c>
      <c r="N996">
        <v>296.06599999999997</v>
      </c>
      <c r="O996">
        <v>248.8</v>
      </c>
      <c r="P996">
        <v>50</v>
      </c>
      <c r="Q996">
        <v>0.59399999999999997</v>
      </c>
      <c r="R996" t="s">
        <v>57</v>
      </c>
      <c r="S996" t="s">
        <v>5921</v>
      </c>
      <c r="T996" t="b">
        <v>1</v>
      </c>
      <c r="U996" t="s">
        <v>5922</v>
      </c>
      <c r="V996" t="s">
        <v>1204</v>
      </c>
      <c r="W996" t="s">
        <v>5923</v>
      </c>
      <c r="X996" t="s">
        <v>47</v>
      </c>
      <c r="AA996" t="s">
        <v>949</v>
      </c>
      <c r="AB996" t="s">
        <v>49</v>
      </c>
      <c r="AC996" t="s">
        <v>950</v>
      </c>
      <c r="AD996" t="b">
        <v>0</v>
      </c>
      <c r="AF996">
        <v>6</v>
      </c>
      <c r="AG996" t="s">
        <v>64</v>
      </c>
    </row>
    <row r="997" spans="1:33" x14ac:dyDescent="0.2">
      <c r="A997">
        <v>284</v>
      </c>
      <c r="B997" t="s">
        <v>5924</v>
      </c>
      <c r="C997" t="s">
        <v>34</v>
      </c>
      <c r="D997" t="s">
        <v>35</v>
      </c>
      <c r="E997" t="s">
        <v>2170</v>
      </c>
      <c r="F997" t="s">
        <v>2171</v>
      </c>
      <c r="G997" t="s">
        <v>503</v>
      </c>
      <c r="H997" t="s">
        <v>462</v>
      </c>
      <c r="I997" t="s">
        <v>2564</v>
      </c>
      <c r="J997" t="s">
        <v>262</v>
      </c>
      <c r="K997">
        <v>1957</v>
      </c>
      <c r="L997">
        <v>1957</v>
      </c>
      <c r="M997">
        <v>37.5</v>
      </c>
      <c r="N997">
        <v>231.75200000000001</v>
      </c>
      <c r="O997">
        <v>44.79</v>
      </c>
      <c r="P997">
        <v>94</v>
      </c>
      <c r="Q997">
        <v>0.111</v>
      </c>
      <c r="R997" t="s">
        <v>84</v>
      </c>
      <c r="S997" t="s">
        <v>5925</v>
      </c>
      <c r="T997" t="b">
        <v>1</v>
      </c>
      <c r="U997" t="s">
        <v>1583</v>
      </c>
      <c r="V997" t="s">
        <v>2567</v>
      </c>
      <c r="W997" t="s">
        <v>5926</v>
      </c>
      <c r="X997" t="s">
        <v>47</v>
      </c>
      <c r="AA997" t="s">
        <v>583</v>
      </c>
      <c r="AB997" t="s">
        <v>409</v>
      </c>
      <c r="AC997" t="s">
        <v>585</v>
      </c>
      <c r="AD997" t="b">
        <v>0</v>
      </c>
      <c r="AF997">
        <v>3</v>
      </c>
      <c r="AG997" t="s">
        <v>332</v>
      </c>
    </row>
    <row r="998" spans="1:33" x14ac:dyDescent="0.2">
      <c r="A998">
        <v>1395</v>
      </c>
      <c r="B998" t="s">
        <v>5927</v>
      </c>
      <c r="C998" t="s">
        <v>34</v>
      </c>
      <c r="D998" t="s">
        <v>35</v>
      </c>
      <c r="E998" t="s">
        <v>501</v>
      </c>
      <c r="F998" t="s">
        <v>502</v>
      </c>
      <c r="G998" t="s">
        <v>242</v>
      </c>
      <c r="H998" t="s">
        <v>243</v>
      </c>
      <c r="I998" t="s">
        <v>244</v>
      </c>
      <c r="J998" t="s">
        <v>245</v>
      </c>
      <c r="K998">
        <v>1918</v>
      </c>
      <c r="L998">
        <v>1918</v>
      </c>
      <c r="M998">
        <v>0.94</v>
      </c>
      <c r="N998">
        <v>2.9710000000000001</v>
      </c>
      <c r="O998">
        <v>38</v>
      </c>
      <c r="P998">
        <v>2.6</v>
      </c>
      <c r="R998" t="s">
        <v>72</v>
      </c>
      <c r="S998" t="s">
        <v>5928</v>
      </c>
      <c r="T998" t="b">
        <v>1</v>
      </c>
      <c r="U998" t="s">
        <v>5929</v>
      </c>
      <c r="V998" t="s">
        <v>507</v>
      </c>
      <c r="W998" t="s">
        <v>5930</v>
      </c>
      <c r="X998" t="s">
        <v>47</v>
      </c>
      <c r="AA998" t="s">
        <v>5931</v>
      </c>
      <c r="AC998" t="s">
        <v>63</v>
      </c>
      <c r="AD998" t="b">
        <v>0</v>
      </c>
      <c r="AF998">
        <v>9</v>
      </c>
      <c r="AG998" t="s">
        <v>251</v>
      </c>
    </row>
    <row r="999" spans="1:33" x14ac:dyDescent="0.2">
      <c r="A999">
        <v>1657</v>
      </c>
      <c r="B999" t="s">
        <v>5932</v>
      </c>
      <c r="C999" t="s">
        <v>34</v>
      </c>
      <c r="D999" t="s">
        <v>35</v>
      </c>
      <c r="E999" t="s">
        <v>2236</v>
      </c>
      <c r="F999" t="s">
        <v>2237</v>
      </c>
      <c r="G999" t="s">
        <v>503</v>
      </c>
      <c r="H999" t="s">
        <v>462</v>
      </c>
      <c r="I999" t="s">
        <v>2238</v>
      </c>
      <c r="J999" t="s">
        <v>171</v>
      </c>
      <c r="K999">
        <v>2008</v>
      </c>
      <c r="L999">
        <v>2008</v>
      </c>
      <c r="M999">
        <v>0.4</v>
      </c>
      <c r="N999">
        <v>1</v>
      </c>
      <c r="O999">
        <v>279</v>
      </c>
      <c r="P999">
        <v>0.17</v>
      </c>
      <c r="Q999">
        <v>0.65400000000000003</v>
      </c>
      <c r="R999" t="s">
        <v>84</v>
      </c>
      <c r="S999" t="s">
        <v>3491</v>
      </c>
      <c r="T999" t="b">
        <v>1</v>
      </c>
      <c r="U999" t="s">
        <v>5933</v>
      </c>
      <c r="V999" t="s">
        <v>2241</v>
      </c>
      <c r="W999" t="s">
        <v>5934</v>
      </c>
      <c r="X999" t="s">
        <v>47</v>
      </c>
      <c r="AA999" t="s">
        <v>509</v>
      </c>
      <c r="AC999" t="s">
        <v>510</v>
      </c>
      <c r="AD999" t="b">
        <v>0</v>
      </c>
      <c r="AF999">
        <v>3</v>
      </c>
      <c r="AG999" t="s">
        <v>332</v>
      </c>
    </row>
    <row r="1000" spans="1:33" x14ac:dyDescent="0.2">
      <c r="A1000">
        <v>1928</v>
      </c>
      <c r="B1000" t="s">
        <v>5935</v>
      </c>
      <c r="C1000" t="s">
        <v>34</v>
      </c>
      <c r="D1000" t="s">
        <v>35</v>
      </c>
      <c r="E1000" t="s">
        <v>3228</v>
      </c>
      <c r="F1000" t="s">
        <v>3229</v>
      </c>
      <c r="G1000" t="s">
        <v>38</v>
      </c>
      <c r="H1000" t="s">
        <v>39</v>
      </c>
      <c r="I1000" t="s">
        <v>125</v>
      </c>
      <c r="J1000" t="s">
        <v>49</v>
      </c>
      <c r="K1000">
        <v>2018</v>
      </c>
      <c r="L1000">
        <v>2018</v>
      </c>
      <c r="M1000">
        <v>4.5</v>
      </c>
      <c r="N1000">
        <v>12.532999999999999</v>
      </c>
      <c r="O1000">
        <v>395.64</v>
      </c>
      <c r="P1000">
        <v>1.42</v>
      </c>
      <c r="Q1000">
        <v>0.88</v>
      </c>
      <c r="R1000" t="s">
        <v>42</v>
      </c>
      <c r="S1000" t="s">
        <v>5936</v>
      </c>
      <c r="T1000" t="b">
        <v>1</v>
      </c>
      <c r="U1000" t="s">
        <v>2699</v>
      </c>
      <c r="V1000" t="s">
        <v>3231</v>
      </c>
      <c r="W1000" t="s">
        <v>5937</v>
      </c>
      <c r="X1000" t="s">
        <v>47</v>
      </c>
      <c r="AA1000" t="s">
        <v>5935</v>
      </c>
      <c r="AB1000" t="s">
        <v>49</v>
      </c>
      <c r="AC1000" t="s">
        <v>5938</v>
      </c>
      <c r="AD1000" t="b">
        <v>0</v>
      </c>
      <c r="AF1000">
        <v>12</v>
      </c>
      <c r="AG1000" t="s">
        <v>51</v>
      </c>
    </row>
    <row r="1001" spans="1:33" x14ac:dyDescent="0.2">
      <c r="A1001">
        <v>599</v>
      </c>
      <c r="B1001" t="s">
        <v>5939</v>
      </c>
      <c r="C1001" t="s">
        <v>34</v>
      </c>
      <c r="D1001" t="s">
        <v>35</v>
      </c>
      <c r="E1001" t="s">
        <v>168</v>
      </c>
      <c r="F1001" t="s">
        <v>169</v>
      </c>
      <c r="G1001" t="s">
        <v>53</v>
      </c>
      <c r="H1001" t="s">
        <v>54</v>
      </c>
      <c r="I1001" t="s">
        <v>3644</v>
      </c>
      <c r="J1001" t="s">
        <v>515</v>
      </c>
      <c r="K1001">
        <v>1991</v>
      </c>
      <c r="L1001">
        <v>1991</v>
      </c>
      <c r="M1001">
        <v>0.95</v>
      </c>
      <c r="N1001">
        <v>2.7610000000000001</v>
      </c>
      <c r="O1001">
        <v>9.5</v>
      </c>
      <c r="P1001">
        <v>12</v>
      </c>
      <c r="Q1001">
        <v>2.1999999999999999E-2</v>
      </c>
      <c r="R1001" t="s">
        <v>57</v>
      </c>
      <c r="S1001" t="s">
        <v>5940</v>
      </c>
      <c r="T1001" t="b">
        <v>1</v>
      </c>
      <c r="U1001" t="s">
        <v>5941</v>
      </c>
      <c r="V1001" t="s">
        <v>174</v>
      </c>
      <c r="W1001" t="s">
        <v>5942</v>
      </c>
      <c r="X1001" t="s">
        <v>47</v>
      </c>
      <c r="AA1001" t="s">
        <v>3648</v>
      </c>
      <c r="AB1001" t="s">
        <v>49</v>
      </c>
      <c r="AC1001" t="s">
        <v>3649</v>
      </c>
      <c r="AD1001" t="b">
        <v>0</v>
      </c>
      <c r="AF1001">
        <v>6</v>
      </c>
      <c r="AG1001" t="s">
        <v>64</v>
      </c>
    </row>
    <row r="1002" spans="1:33" x14ac:dyDescent="0.2">
      <c r="A1002">
        <v>485</v>
      </c>
      <c r="B1002" t="s">
        <v>5943</v>
      </c>
      <c r="C1002" t="s">
        <v>34</v>
      </c>
      <c r="D1002" t="s">
        <v>35</v>
      </c>
      <c r="E1002" t="s">
        <v>168</v>
      </c>
      <c r="F1002" t="s">
        <v>169</v>
      </c>
      <c r="G1002" t="s">
        <v>53</v>
      </c>
      <c r="H1002" t="s">
        <v>54</v>
      </c>
      <c r="I1002" t="s">
        <v>170</v>
      </c>
      <c r="J1002" t="s">
        <v>171</v>
      </c>
      <c r="K1002">
        <v>1977</v>
      </c>
      <c r="L1002">
        <v>1977</v>
      </c>
      <c r="M1002">
        <v>2</v>
      </c>
      <c r="N1002">
        <v>9.4459999999999997</v>
      </c>
      <c r="O1002">
        <v>80</v>
      </c>
      <c r="P1002">
        <v>3.3</v>
      </c>
      <c r="Q1002">
        <v>0.17899999999999999</v>
      </c>
      <c r="R1002" t="s">
        <v>57</v>
      </c>
      <c r="S1002" t="s">
        <v>5944</v>
      </c>
      <c r="T1002" t="b">
        <v>1</v>
      </c>
      <c r="U1002" t="s">
        <v>5945</v>
      </c>
      <c r="V1002" t="s">
        <v>174</v>
      </c>
      <c r="W1002" t="s">
        <v>113</v>
      </c>
      <c r="X1002" t="s">
        <v>47</v>
      </c>
      <c r="AA1002" t="s">
        <v>176</v>
      </c>
      <c r="AB1002" t="s">
        <v>49</v>
      </c>
      <c r="AC1002" t="s">
        <v>178</v>
      </c>
      <c r="AD1002" t="b">
        <v>0</v>
      </c>
      <c r="AF1002">
        <v>6</v>
      </c>
      <c r="AG1002" t="s">
        <v>64</v>
      </c>
    </row>
    <row r="1003" spans="1:33" x14ac:dyDescent="0.2">
      <c r="A1003">
        <v>1830</v>
      </c>
      <c r="B1003" t="s">
        <v>5946</v>
      </c>
      <c r="C1003" t="s">
        <v>34</v>
      </c>
      <c r="D1003" t="s">
        <v>35</v>
      </c>
      <c r="E1003" t="s">
        <v>3206</v>
      </c>
      <c r="F1003" t="s">
        <v>3207</v>
      </c>
      <c r="G1003" t="s">
        <v>134</v>
      </c>
      <c r="H1003" t="s">
        <v>135</v>
      </c>
      <c r="I1003" t="s">
        <v>641</v>
      </c>
      <c r="J1003" t="s">
        <v>109</v>
      </c>
      <c r="K1003">
        <v>2015</v>
      </c>
      <c r="L1003">
        <v>2015</v>
      </c>
      <c r="M1003">
        <v>1.55</v>
      </c>
      <c r="N1003">
        <v>5.0540000000000003</v>
      </c>
      <c r="O1003">
        <v>148.26</v>
      </c>
      <c r="P1003">
        <v>1.45</v>
      </c>
      <c r="Q1003">
        <v>0.29699999999999999</v>
      </c>
      <c r="R1003" t="s">
        <v>42</v>
      </c>
      <c r="S1003" t="s">
        <v>5947</v>
      </c>
      <c r="T1003" t="b">
        <v>1</v>
      </c>
      <c r="U1003" t="s">
        <v>5948</v>
      </c>
      <c r="V1003" t="s">
        <v>3210</v>
      </c>
      <c r="W1003" t="s">
        <v>5949</v>
      </c>
      <c r="X1003" t="s">
        <v>47</v>
      </c>
      <c r="AA1003" t="s">
        <v>645</v>
      </c>
      <c r="AB1003" t="s">
        <v>192</v>
      </c>
      <c r="AC1003" t="s">
        <v>3212</v>
      </c>
      <c r="AD1003" t="b">
        <v>0</v>
      </c>
      <c r="AF1003">
        <v>10</v>
      </c>
      <c r="AG1003" t="s">
        <v>143</v>
      </c>
    </row>
    <row r="1004" spans="1:33" x14ac:dyDescent="0.2">
      <c r="A1004">
        <v>1403</v>
      </c>
      <c r="B1004" t="s">
        <v>5950</v>
      </c>
      <c r="C1004" t="s">
        <v>34</v>
      </c>
      <c r="D1004" t="s">
        <v>35</v>
      </c>
      <c r="E1004" t="s">
        <v>5951</v>
      </c>
      <c r="F1004" t="s">
        <v>5952</v>
      </c>
      <c r="G1004" t="s">
        <v>377</v>
      </c>
      <c r="H1004" t="s">
        <v>378</v>
      </c>
      <c r="I1004" t="s">
        <v>5953</v>
      </c>
      <c r="J1004" t="s">
        <v>171</v>
      </c>
      <c r="K1004">
        <v>2008</v>
      </c>
      <c r="L1004">
        <v>2008</v>
      </c>
      <c r="M1004">
        <v>1.2</v>
      </c>
      <c r="N1004">
        <v>3.778</v>
      </c>
      <c r="O1004">
        <v>99</v>
      </c>
      <c r="P1004">
        <v>1.5</v>
      </c>
      <c r="Q1004">
        <v>0.23300000000000001</v>
      </c>
      <c r="R1004" t="s">
        <v>42</v>
      </c>
      <c r="S1004" t="s">
        <v>5954</v>
      </c>
      <c r="T1004" t="b">
        <v>1</v>
      </c>
      <c r="U1004" t="s">
        <v>5955</v>
      </c>
      <c r="V1004" t="s">
        <v>5956</v>
      </c>
      <c r="W1004" t="s">
        <v>5957</v>
      </c>
      <c r="X1004" t="s">
        <v>47</v>
      </c>
      <c r="AA1004" t="s">
        <v>5958</v>
      </c>
      <c r="AB1004" t="s">
        <v>49</v>
      </c>
      <c r="AC1004" t="s">
        <v>5959</v>
      </c>
      <c r="AD1004" t="b">
        <v>0</v>
      </c>
      <c r="AF1004">
        <v>11</v>
      </c>
      <c r="AG1004" t="s">
        <v>198</v>
      </c>
    </row>
    <row r="1005" spans="1:33" x14ac:dyDescent="0.2">
      <c r="A1005">
        <v>2145</v>
      </c>
      <c r="B1005" t="s">
        <v>5960</v>
      </c>
      <c r="C1005" t="s">
        <v>34</v>
      </c>
      <c r="D1005" t="s">
        <v>35</v>
      </c>
      <c r="E1005" t="s">
        <v>5961</v>
      </c>
      <c r="F1005" t="s">
        <v>5962</v>
      </c>
      <c r="G1005" t="s">
        <v>134</v>
      </c>
      <c r="H1005" t="s">
        <v>135</v>
      </c>
      <c r="I1005" t="s">
        <v>4790</v>
      </c>
      <c r="J1005" t="s">
        <v>262</v>
      </c>
      <c r="K1005">
        <v>2025</v>
      </c>
      <c r="L1005">
        <v>2025</v>
      </c>
      <c r="M1005">
        <v>7</v>
      </c>
      <c r="N1005">
        <v>19</v>
      </c>
      <c r="O1005">
        <v>71.7</v>
      </c>
      <c r="P1005">
        <v>11.6</v>
      </c>
      <c r="Q1005">
        <v>0.16800000000000001</v>
      </c>
      <c r="R1005" t="s">
        <v>42</v>
      </c>
      <c r="S1005" t="s">
        <v>5963</v>
      </c>
      <c r="T1005" t="b">
        <v>1</v>
      </c>
      <c r="U1005" t="s">
        <v>5964</v>
      </c>
      <c r="V1005" t="s">
        <v>5965</v>
      </c>
      <c r="W1005" t="s">
        <v>5966</v>
      </c>
      <c r="X1005" t="s">
        <v>47</v>
      </c>
      <c r="AA1005" t="s">
        <v>645</v>
      </c>
      <c r="AC1005" t="s">
        <v>3212</v>
      </c>
      <c r="AD1005" t="b">
        <v>0</v>
      </c>
      <c r="AF1005">
        <v>10</v>
      </c>
      <c r="AG1005" t="s">
        <v>143</v>
      </c>
    </row>
    <row r="1006" spans="1:33" x14ac:dyDescent="0.2">
      <c r="A1006">
        <v>2005</v>
      </c>
      <c r="B1006" t="s">
        <v>5967</v>
      </c>
      <c r="C1006" t="s">
        <v>34</v>
      </c>
      <c r="D1006" t="s">
        <v>35</v>
      </c>
      <c r="E1006" t="s">
        <v>4313</v>
      </c>
      <c r="F1006" t="s">
        <v>4314</v>
      </c>
      <c r="G1006" t="s">
        <v>242</v>
      </c>
      <c r="H1006" t="s">
        <v>243</v>
      </c>
      <c r="I1006" t="s">
        <v>3245</v>
      </c>
      <c r="J1006" t="s">
        <v>109</v>
      </c>
      <c r="K1006">
        <v>2020</v>
      </c>
      <c r="L1006">
        <v>2020</v>
      </c>
      <c r="M1006">
        <v>1.5</v>
      </c>
      <c r="N1006">
        <v>4.1689999999999996</v>
      </c>
      <c r="O1006">
        <v>131.65</v>
      </c>
      <c r="P1006">
        <v>1.4</v>
      </c>
      <c r="Q1006">
        <v>0.29799999999999999</v>
      </c>
      <c r="R1006" t="s">
        <v>72</v>
      </c>
      <c r="S1006" t="s">
        <v>5968</v>
      </c>
      <c r="T1006" t="b">
        <v>1</v>
      </c>
      <c r="U1006" t="s">
        <v>5969</v>
      </c>
      <c r="V1006" t="s">
        <v>4317</v>
      </c>
      <c r="W1006" t="s">
        <v>5970</v>
      </c>
      <c r="X1006" t="s">
        <v>47</v>
      </c>
      <c r="AA1006" t="s">
        <v>982</v>
      </c>
      <c r="AC1006" t="s">
        <v>983</v>
      </c>
      <c r="AD1006" t="b">
        <v>0</v>
      </c>
      <c r="AF1006">
        <v>9</v>
      </c>
      <c r="AG1006" t="s">
        <v>251</v>
      </c>
    </row>
    <row r="1007" spans="1:33" x14ac:dyDescent="0.2">
      <c r="A1007">
        <v>2123</v>
      </c>
      <c r="B1007" t="s">
        <v>5971</v>
      </c>
      <c r="C1007" t="s">
        <v>574</v>
      </c>
      <c r="D1007" t="s">
        <v>575</v>
      </c>
      <c r="E1007" t="s">
        <v>899</v>
      </c>
      <c r="F1007" t="s">
        <v>900</v>
      </c>
      <c r="G1007" t="s">
        <v>53</v>
      </c>
      <c r="H1007" t="s">
        <v>54</v>
      </c>
      <c r="I1007" t="s">
        <v>901</v>
      </c>
      <c r="J1007" t="s">
        <v>313</v>
      </c>
      <c r="K1007">
        <v>2023</v>
      </c>
      <c r="L1007">
        <v>2023</v>
      </c>
      <c r="M1007">
        <v>-7</v>
      </c>
      <c r="N1007">
        <v>-21.9</v>
      </c>
      <c r="O1007">
        <v>-270</v>
      </c>
      <c r="P1007">
        <v>2</v>
      </c>
      <c r="Q1007">
        <v>-0.97199999999999998</v>
      </c>
      <c r="R1007" t="s">
        <v>57</v>
      </c>
      <c r="S1007" t="s">
        <v>5972</v>
      </c>
      <c r="T1007" t="b">
        <v>1</v>
      </c>
      <c r="U1007" t="s">
        <v>5973</v>
      </c>
      <c r="V1007" t="s">
        <v>904</v>
      </c>
      <c r="W1007" t="s">
        <v>5974</v>
      </c>
      <c r="X1007" t="s">
        <v>47</v>
      </c>
      <c r="AA1007" t="s">
        <v>906</v>
      </c>
      <c r="AB1007" t="s">
        <v>83</v>
      </c>
      <c r="AC1007" t="s">
        <v>907</v>
      </c>
      <c r="AD1007" t="b">
        <v>0</v>
      </c>
      <c r="AF1007">
        <v>2</v>
      </c>
      <c r="AG1007" t="s">
        <v>287</v>
      </c>
    </row>
    <row r="1008" spans="1:33" x14ac:dyDescent="0.2">
      <c r="A1008">
        <v>1107</v>
      </c>
      <c r="B1008" t="s">
        <v>5975</v>
      </c>
      <c r="C1008" t="s">
        <v>34</v>
      </c>
      <c r="D1008" t="s">
        <v>35</v>
      </c>
      <c r="G1008" t="s">
        <v>134</v>
      </c>
      <c r="H1008" t="s">
        <v>135</v>
      </c>
      <c r="I1008" t="s">
        <v>5976</v>
      </c>
      <c r="J1008" t="s">
        <v>1975</v>
      </c>
      <c r="K1008">
        <v>1998</v>
      </c>
      <c r="L1008">
        <v>1998</v>
      </c>
      <c r="M1008">
        <v>3.5999999999999997E-2</v>
      </c>
      <c r="N1008">
        <v>9.1999999999999998E-2</v>
      </c>
      <c r="R1008" t="s">
        <v>42</v>
      </c>
      <c r="S1008" t="s">
        <v>5977</v>
      </c>
      <c r="T1008" t="b">
        <v>1</v>
      </c>
      <c r="U1008" t="s">
        <v>455</v>
      </c>
      <c r="V1008" t="s">
        <v>274</v>
      </c>
      <c r="W1008" t="s">
        <v>5978</v>
      </c>
      <c r="X1008" t="s">
        <v>47</v>
      </c>
      <c r="AA1008" t="s">
        <v>141</v>
      </c>
      <c r="AC1008" t="s">
        <v>209</v>
      </c>
      <c r="AD1008" t="b">
        <v>0</v>
      </c>
      <c r="AF1008">
        <v>10</v>
      </c>
      <c r="AG1008" t="s">
        <v>143</v>
      </c>
    </row>
    <row r="1009" spans="1:33" x14ac:dyDescent="0.2">
      <c r="A1009">
        <v>285</v>
      </c>
      <c r="B1009" t="s">
        <v>5979</v>
      </c>
      <c r="C1009" t="s">
        <v>34</v>
      </c>
      <c r="D1009" t="s">
        <v>35</v>
      </c>
      <c r="E1009" t="s">
        <v>4112</v>
      </c>
      <c r="F1009" t="s">
        <v>4113</v>
      </c>
      <c r="G1009" t="s">
        <v>242</v>
      </c>
      <c r="H1009" t="s">
        <v>243</v>
      </c>
      <c r="I1009" t="s">
        <v>436</v>
      </c>
      <c r="J1009" t="s">
        <v>437</v>
      </c>
      <c r="K1009">
        <v>1977</v>
      </c>
      <c r="L1009">
        <v>1977</v>
      </c>
      <c r="M1009">
        <v>13.6</v>
      </c>
      <c r="N1009">
        <v>54.811</v>
      </c>
      <c r="O1009">
        <v>81.3</v>
      </c>
      <c r="P1009">
        <v>19.98</v>
      </c>
      <c r="Q1009">
        <v>0.188</v>
      </c>
      <c r="R1009" t="s">
        <v>72</v>
      </c>
      <c r="S1009" t="s">
        <v>5980</v>
      </c>
      <c r="T1009" t="b">
        <v>1</v>
      </c>
      <c r="U1009" t="s">
        <v>5981</v>
      </c>
      <c r="V1009" t="s">
        <v>4116</v>
      </c>
      <c r="W1009" t="s">
        <v>5982</v>
      </c>
      <c r="X1009" t="s">
        <v>47</v>
      </c>
      <c r="AA1009" t="s">
        <v>1106</v>
      </c>
      <c r="AB1009" t="s">
        <v>49</v>
      </c>
      <c r="AC1009" t="s">
        <v>1107</v>
      </c>
      <c r="AD1009" t="b">
        <v>0</v>
      </c>
      <c r="AF1009">
        <v>9</v>
      </c>
      <c r="AG1009" t="s">
        <v>251</v>
      </c>
    </row>
    <row r="1010" spans="1:33" x14ac:dyDescent="0.2">
      <c r="A1010">
        <v>1531</v>
      </c>
      <c r="B1010" t="s">
        <v>5983</v>
      </c>
      <c r="C1010" t="s">
        <v>34</v>
      </c>
      <c r="D1010" t="s">
        <v>35</v>
      </c>
      <c r="E1010" t="s">
        <v>5984</v>
      </c>
      <c r="F1010" t="s">
        <v>5985</v>
      </c>
      <c r="G1010" t="s">
        <v>53</v>
      </c>
      <c r="H1010" t="s">
        <v>54</v>
      </c>
      <c r="I1010" t="s">
        <v>325</v>
      </c>
      <c r="J1010" t="s">
        <v>135</v>
      </c>
      <c r="K1010">
        <v>2009</v>
      </c>
      <c r="L1010">
        <v>2009</v>
      </c>
      <c r="M1010">
        <v>0.55000000000000004</v>
      </c>
      <c r="N1010">
        <v>1.1200000000000001</v>
      </c>
      <c r="O1010">
        <v>135</v>
      </c>
      <c r="R1010" t="s">
        <v>57</v>
      </c>
      <c r="S1010" t="s">
        <v>5986</v>
      </c>
      <c r="T1010" t="b">
        <v>1</v>
      </c>
      <c r="U1010" t="s">
        <v>656</v>
      </c>
      <c r="V1010" t="s">
        <v>5987</v>
      </c>
      <c r="W1010" t="s">
        <v>5988</v>
      </c>
      <c r="X1010" t="s">
        <v>47</v>
      </c>
      <c r="AA1010" t="s">
        <v>5989</v>
      </c>
      <c r="AC1010" t="s">
        <v>63</v>
      </c>
      <c r="AD1010" t="b">
        <v>0</v>
      </c>
      <c r="AF1010">
        <v>6</v>
      </c>
      <c r="AG1010" t="s">
        <v>64</v>
      </c>
    </row>
    <row r="1011" spans="1:33" x14ac:dyDescent="0.2">
      <c r="A1011">
        <v>286</v>
      </c>
      <c r="B1011" t="s">
        <v>5990</v>
      </c>
      <c r="C1011" t="s">
        <v>34</v>
      </c>
      <c r="D1011" t="s">
        <v>35</v>
      </c>
      <c r="E1011" t="s">
        <v>36</v>
      </c>
      <c r="F1011" t="s">
        <v>37</v>
      </c>
      <c r="G1011" t="s">
        <v>53</v>
      </c>
      <c r="H1011" t="s">
        <v>54</v>
      </c>
      <c r="I1011" t="s">
        <v>325</v>
      </c>
      <c r="J1011" t="s">
        <v>135</v>
      </c>
      <c r="K1011">
        <v>1956</v>
      </c>
      <c r="L1011">
        <v>1956</v>
      </c>
      <c r="M1011">
        <v>29</v>
      </c>
      <c r="N1011">
        <v>190.767</v>
      </c>
      <c r="O1011">
        <v>610</v>
      </c>
      <c r="P1011">
        <v>5.8</v>
      </c>
      <c r="Q1011">
        <v>1.389</v>
      </c>
      <c r="R1011" t="s">
        <v>84</v>
      </c>
      <c r="S1011" t="s">
        <v>5991</v>
      </c>
      <c r="T1011" t="b">
        <v>1</v>
      </c>
      <c r="U1011" t="s">
        <v>1854</v>
      </c>
      <c r="V1011" t="s">
        <v>45</v>
      </c>
      <c r="W1011" t="s">
        <v>5992</v>
      </c>
      <c r="X1011" t="s">
        <v>47</v>
      </c>
      <c r="AA1011" t="s">
        <v>4161</v>
      </c>
      <c r="AB1011" t="s">
        <v>836</v>
      </c>
      <c r="AC1011" t="s">
        <v>4162</v>
      </c>
      <c r="AD1011" t="b">
        <v>0</v>
      </c>
      <c r="AF1011">
        <v>3</v>
      </c>
      <c r="AG1011" t="s">
        <v>332</v>
      </c>
    </row>
    <row r="1012" spans="1:33" x14ac:dyDescent="0.2">
      <c r="A1012">
        <v>287</v>
      </c>
      <c r="B1012" t="s">
        <v>5993</v>
      </c>
      <c r="C1012" t="s">
        <v>34</v>
      </c>
      <c r="D1012" t="s">
        <v>35</v>
      </c>
      <c r="E1012" t="s">
        <v>36</v>
      </c>
      <c r="F1012" t="s">
        <v>37</v>
      </c>
      <c r="G1012" t="s">
        <v>53</v>
      </c>
      <c r="H1012" t="s">
        <v>54</v>
      </c>
      <c r="I1012" t="s">
        <v>2104</v>
      </c>
      <c r="J1012" t="s">
        <v>203</v>
      </c>
      <c r="K1012">
        <v>1967</v>
      </c>
      <c r="L1012">
        <v>1967</v>
      </c>
      <c r="M1012">
        <v>20</v>
      </c>
      <c r="N1012">
        <v>72.225999999999999</v>
      </c>
      <c r="O1012">
        <v>175</v>
      </c>
      <c r="P1012">
        <v>13.98</v>
      </c>
      <c r="Q1012">
        <v>0.39700000000000002</v>
      </c>
      <c r="R1012" t="s">
        <v>57</v>
      </c>
      <c r="S1012" t="s">
        <v>5994</v>
      </c>
      <c r="T1012" t="b">
        <v>1</v>
      </c>
      <c r="U1012" t="s">
        <v>5995</v>
      </c>
      <c r="V1012" t="s">
        <v>3949</v>
      </c>
      <c r="W1012" t="s">
        <v>3950</v>
      </c>
      <c r="X1012" t="s">
        <v>47</v>
      </c>
      <c r="AA1012" t="s">
        <v>5579</v>
      </c>
      <c r="AB1012" t="s">
        <v>401</v>
      </c>
      <c r="AC1012" t="s">
        <v>3952</v>
      </c>
      <c r="AD1012" t="b">
        <v>0</v>
      </c>
      <c r="AF1012">
        <v>7</v>
      </c>
      <c r="AG1012" t="s">
        <v>469</v>
      </c>
    </row>
    <row r="1013" spans="1:33" x14ac:dyDescent="0.2">
      <c r="A1013">
        <v>288</v>
      </c>
      <c r="B1013" t="s">
        <v>5996</v>
      </c>
      <c r="C1013" t="s">
        <v>34</v>
      </c>
      <c r="D1013" t="s">
        <v>35</v>
      </c>
      <c r="E1013" t="s">
        <v>36</v>
      </c>
      <c r="F1013" t="s">
        <v>37</v>
      </c>
      <c r="G1013" t="s">
        <v>503</v>
      </c>
      <c r="H1013" t="s">
        <v>462</v>
      </c>
      <c r="I1013" t="s">
        <v>2564</v>
      </c>
      <c r="J1013" t="s">
        <v>262</v>
      </c>
      <c r="K1013">
        <v>1948</v>
      </c>
      <c r="L1013">
        <v>1948</v>
      </c>
      <c r="M1013">
        <v>180</v>
      </c>
      <c r="N1013">
        <v>1146.08</v>
      </c>
      <c r="O1013">
        <v>823</v>
      </c>
      <c r="P1013">
        <v>27.5</v>
      </c>
      <c r="Q1013">
        <v>1.8180000000000001</v>
      </c>
      <c r="R1013" t="s">
        <v>84</v>
      </c>
      <c r="S1013" t="s">
        <v>5997</v>
      </c>
      <c r="T1013" t="b">
        <v>1</v>
      </c>
      <c r="U1013" t="s">
        <v>5998</v>
      </c>
      <c r="V1013" t="s">
        <v>45</v>
      </c>
      <c r="W1013" t="s">
        <v>5999</v>
      </c>
      <c r="X1013" t="s">
        <v>47</v>
      </c>
      <c r="AA1013" t="s">
        <v>583</v>
      </c>
      <c r="AB1013" t="s">
        <v>171</v>
      </c>
      <c r="AC1013" t="s">
        <v>585</v>
      </c>
      <c r="AD1013" t="b">
        <v>0</v>
      </c>
      <c r="AF1013">
        <v>3</v>
      </c>
      <c r="AG1013" t="s">
        <v>332</v>
      </c>
    </row>
    <row r="1014" spans="1:33" x14ac:dyDescent="0.2">
      <c r="A1014">
        <v>1545</v>
      </c>
      <c r="B1014" t="s">
        <v>6000</v>
      </c>
      <c r="C1014" t="s">
        <v>34</v>
      </c>
      <c r="D1014" t="s">
        <v>35</v>
      </c>
      <c r="E1014" t="s">
        <v>168</v>
      </c>
      <c r="F1014" t="s">
        <v>169</v>
      </c>
      <c r="G1014" t="s">
        <v>53</v>
      </c>
      <c r="H1014" t="s">
        <v>54</v>
      </c>
      <c r="I1014" t="s">
        <v>604</v>
      </c>
      <c r="J1014" t="s">
        <v>426</v>
      </c>
      <c r="K1014">
        <v>2010</v>
      </c>
      <c r="L1014">
        <v>2010</v>
      </c>
      <c r="M1014">
        <v>5</v>
      </c>
      <c r="N1014">
        <v>17.736000000000001</v>
      </c>
      <c r="O1014">
        <v>292.5</v>
      </c>
      <c r="P1014">
        <v>2.5</v>
      </c>
      <c r="Q1014">
        <v>0.55600000000000005</v>
      </c>
      <c r="R1014" t="s">
        <v>72</v>
      </c>
      <c r="S1014" t="s">
        <v>6001</v>
      </c>
      <c r="T1014" t="b">
        <v>1</v>
      </c>
      <c r="U1014" t="s">
        <v>6002</v>
      </c>
      <c r="V1014" t="s">
        <v>174</v>
      </c>
      <c r="W1014" t="s">
        <v>6003</v>
      </c>
      <c r="X1014" t="s">
        <v>47</v>
      </c>
      <c r="AA1014" t="s">
        <v>3629</v>
      </c>
      <c r="AB1014" t="s">
        <v>49</v>
      </c>
      <c r="AC1014" t="s">
        <v>6004</v>
      </c>
      <c r="AD1014" t="b">
        <v>0</v>
      </c>
      <c r="AF1014">
        <v>13</v>
      </c>
      <c r="AG1014" t="s">
        <v>155</v>
      </c>
    </row>
    <row r="1015" spans="1:33" x14ac:dyDescent="0.2">
      <c r="A1015">
        <v>289</v>
      </c>
      <c r="B1015" t="s">
        <v>6005</v>
      </c>
      <c r="C1015" t="s">
        <v>34</v>
      </c>
      <c r="D1015" t="s">
        <v>35</v>
      </c>
      <c r="E1015" t="s">
        <v>6006</v>
      </c>
      <c r="F1015" t="s">
        <v>6007</v>
      </c>
      <c r="G1015" t="s">
        <v>38</v>
      </c>
      <c r="H1015" t="s">
        <v>39</v>
      </c>
      <c r="I1015" t="s">
        <v>40</v>
      </c>
      <c r="J1015" t="s">
        <v>41</v>
      </c>
      <c r="K1015">
        <v>1956</v>
      </c>
      <c r="L1015">
        <v>1956</v>
      </c>
      <c r="M1015">
        <v>4.4000000000000004</v>
      </c>
      <c r="N1015">
        <v>29.759</v>
      </c>
      <c r="O1015">
        <v>225.3</v>
      </c>
      <c r="P1015">
        <v>2.5</v>
      </c>
      <c r="Q1015">
        <v>0.48899999999999999</v>
      </c>
      <c r="R1015" t="s">
        <v>42</v>
      </c>
      <c r="S1015" t="s">
        <v>6008</v>
      </c>
      <c r="T1015" t="b">
        <v>1</v>
      </c>
      <c r="U1015" t="s">
        <v>6009</v>
      </c>
      <c r="V1015" t="s">
        <v>6010</v>
      </c>
      <c r="W1015" t="s">
        <v>6011</v>
      </c>
      <c r="X1015" t="s">
        <v>47</v>
      </c>
      <c r="AA1015" t="s">
        <v>6012</v>
      </c>
      <c r="AB1015" t="s">
        <v>49</v>
      </c>
      <c r="AC1015" t="s">
        <v>6013</v>
      </c>
      <c r="AD1015" t="b">
        <v>0</v>
      </c>
      <c r="AF1015">
        <v>12</v>
      </c>
      <c r="AG1015" t="s">
        <v>51</v>
      </c>
    </row>
    <row r="1016" spans="1:33" x14ac:dyDescent="0.2">
      <c r="A1016">
        <v>2111</v>
      </c>
      <c r="B1016" t="s">
        <v>6014</v>
      </c>
      <c r="C1016" t="s">
        <v>34</v>
      </c>
      <c r="D1016" t="s">
        <v>35</v>
      </c>
      <c r="E1016" t="s">
        <v>6015</v>
      </c>
      <c r="F1016" t="s">
        <v>6016</v>
      </c>
      <c r="G1016" t="s">
        <v>93</v>
      </c>
      <c r="H1016" t="s">
        <v>94</v>
      </c>
      <c r="I1016" t="s">
        <v>2518</v>
      </c>
      <c r="J1016" t="s">
        <v>225</v>
      </c>
      <c r="K1016">
        <v>2024</v>
      </c>
      <c r="L1016">
        <v>2024</v>
      </c>
      <c r="M1016">
        <v>0.5</v>
      </c>
      <c r="N1016">
        <v>1.8</v>
      </c>
      <c r="O1016">
        <v>20</v>
      </c>
      <c r="P1016">
        <v>3</v>
      </c>
      <c r="Q1016">
        <v>4.5999999999999999E-2</v>
      </c>
      <c r="R1016" t="s">
        <v>72</v>
      </c>
      <c r="S1016" t="s">
        <v>6017</v>
      </c>
      <c r="T1016" t="b">
        <v>1</v>
      </c>
      <c r="U1016" t="s">
        <v>6018</v>
      </c>
      <c r="V1016" t="s">
        <v>6019</v>
      </c>
      <c r="W1016" t="s">
        <v>6020</v>
      </c>
      <c r="X1016" t="s">
        <v>47</v>
      </c>
      <c r="AA1016" t="s">
        <v>340</v>
      </c>
      <c r="AC1016" t="s">
        <v>1063</v>
      </c>
      <c r="AD1016" t="b">
        <v>0</v>
      </c>
      <c r="AF1016">
        <v>8</v>
      </c>
      <c r="AG1016" t="s">
        <v>78</v>
      </c>
    </row>
    <row r="1017" spans="1:33" x14ac:dyDescent="0.2">
      <c r="A1017">
        <v>290</v>
      </c>
      <c r="B1017" t="s">
        <v>6021</v>
      </c>
      <c r="C1017" t="s">
        <v>34</v>
      </c>
      <c r="D1017" t="s">
        <v>35</v>
      </c>
      <c r="E1017" t="s">
        <v>899</v>
      </c>
      <c r="F1017" t="s">
        <v>900</v>
      </c>
      <c r="G1017" t="s">
        <v>53</v>
      </c>
      <c r="H1017" t="s">
        <v>54</v>
      </c>
      <c r="I1017" t="s">
        <v>2383</v>
      </c>
      <c r="J1017" t="s">
        <v>1072</v>
      </c>
      <c r="K1017">
        <v>1987</v>
      </c>
      <c r="L1017">
        <v>1987</v>
      </c>
      <c r="M1017">
        <v>112</v>
      </c>
      <c r="N1017">
        <v>446.39800000000002</v>
      </c>
      <c r="O1017">
        <v>969</v>
      </c>
      <c r="P1017">
        <v>13</v>
      </c>
      <c r="Q1017">
        <v>2.3929999999999998</v>
      </c>
      <c r="R1017" t="s">
        <v>57</v>
      </c>
      <c r="S1017" t="s">
        <v>6022</v>
      </c>
      <c r="T1017" t="b">
        <v>1</v>
      </c>
      <c r="U1017" t="s">
        <v>6023</v>
      </c>
      <c r="V1017" t="s">
        <v>904</v>
      </c>
      <c r="W1017" t="s">
        <v>6024</v>
      </c>
      <c r="X1017" t="s">
        <v>47</v>
      </c>
      <c r="AA1017" t="s">
        <v>6025</v>
      </c>
      <c r="AB1017" t="s">
        <v>49</v>
      </c>
      <c r="AC1017" t="s">
        <v>2387</v>
      </c>
      <c r="AD1017" t="b">
        <v>0</v>
      </c>
      <c r="AF1017">
        <v>7</v>
      </c>
      <c r="AG1017" t="s">
        <v>469</v>
      </c>
    </row>
    <row r="1018" spans="1:33" x14ac:dyDescent="0.2">
      <c r="A1018">
        <v>1741</v>
      </c>
      <c r="B1018" t="s">
        <v>6026</v>
      </c>
      <c r="C1018" t="s">
        <v>34</v>
      </c>
      <c r="D1018" t="s">
        <v>35</v>
      </c>
      <c r="E1018" t="s">
        <v>6027</v>
      </c>
      <c r="F1018" t="s">
        <v>6028</v>
      </c>
      <c r="G1018" t="s">
        <v>503</v>
      </c>
      <c r="H1018" t="s">
        <v>462</v>
      </c>
      <c r="I1018" t="s">
        <v>504</v>
      </c>
      <c r="J1018" t="s">
        <v>109</v>
      </c>
      <c r="K1018">
        <v>2013</v>
      </c>
      <c r="L1018">
        <v>2013</v>
      </c>
      <c r="M1018">
        <v>1.925</v>
      </c>
      <c r="N1018">
        <v>8.7240000000000002</v>
      </c>
      <c r="O1018">
        <v>145</v>
      </c>
      <c r="P1018">
        <v>1.6</v>
      </c>
      <c r="Q1018">
        <v>0.33400000000000002</v>
      </c>
      <c r="R1018" t="s">
        <v>84</v>
      </c>
      <c r="S1018" t="s">
        <v>6029</v>
      </c>
      <c r="T1018" t="b">
        <v>1</v>
      </c>
      <c r="U1018" t="s">
        <v>6030</v>
      </c>
      <c r="V1018" t="s">
        <v>6031</v>
      </c>
      <c r="W1018" t="s">
        <v>6032</v>
      </c>
      <c r="X1018" t="s">
        <v>47</v>
      </c>
      <c r="AA1018" t="s">
        <v>509</v>
      </c>
      <c r="AB1018" t="s">
        <v>676</v>
      </c>
      <c r="AC1018" t="s">
        <v>510</v>
      </c>
      <c r="AD1018" t="b">
        <v>0</v>
      </c>
      <c r="AF1018">
        <v>3</v>
      </c>
      <c r="AG1018" t="s">
        <v>332</v>
      </c>
    </row>
    <row r="1019" spans="1:33" x14ac:dyDescent="0.2">
      <c r="A1019">
        <v>1432</v>
      </c>
      <c r="B1019" t="s">
        <v>6033</v>
      </c>
      <c r="C1019" t="s">
        <v>34</v>
      </c>
      <c r="D1019" t="s">
        <v>35</v>
      </c>
      <c r="E1019" t="s">
        <v>6034</v>
      </c>
      <c r="F1019" t="s">
        <v>6035</v>
      </c>
      <c r="G1019" t="s">
        <v>312</v>
      </c>
      <c r="H1019" t="s">
        <v>313</v>
      </c>
      <c r="I1019" t="s">
        <v>2224</v>
      </c>
      <c r="J1019" t="s">
        <v>119</v>
      </c>
      <c r="K1019">
        <v>2008</v>
      </c>
      <c r="L1019">
        <v>2008</v>
      </c>
      <c r="M1019">
        <v>0.99</v>
      </c>
      <c r="N1019">
        <v>7.1959999999999997</v>
      </c>
      <c r="O1019">
        <v>386</v>
      </c>
      <c r="P1019">
        <v>0.28000000000000003</v>
      </c>
      <c r="R1019" t="s">
        <v>84</v>
      </c>
      <c r="S1019" t="s">
        <v>6036</v>
      </c>
      <c r="T1019" t="b">
        <v>1</v>
      </c>
      <c r="U1019" t="s">
        <v>6037</v>
      </c>
      <c r="V1019" t="s">
        <v>6038</v>
      </c>
      <c r="W1019" t="s">
        <v>6039</v>
      </c>
      <c r="X1019" t="s">
        <v>47</v>
      </c>
      <c r="AA1019" t="s">
        <v>860</v>
      </c>
      <c r="AC1019" t="s">
        <v>861</v>
      </c>
      <c r="AD1019" t="b">
        <v>0</v>
      </c>
      <c r="AF1019">
        <v>4</v>
      </c>
      <c r="AG1019" t="s">
        <v>321</v>
      </c>
    </row>
    <row r="1020" spans="1:33" x14ac:dyDescent="0.2">
      <c r="A1020">
        <v>1033</v>
      </c>
      <c r="B1020" t="s">
        <v>6040</v>
      </c>
      <c r="C1020" t="s">
        <v>34</v>
      </c>
      <c r="D1020" t="s">
        <v>35</v>
      </c>
      <c r="E1020" t="s">
        <v>6041</v>
      </c>
      <c r="F1020" t="s">
        <v>6042</v>
      </c>
      <c r="G1020" t="s">
        <v>503</v>
      </c>
      <c r="H1020" t="s">
        <v>462</v>
      </c>
      <c r="I1020" t="s">
        <v>564</v>
      </c>
      <c r="J1020" t="s">
        <v>515</v>
      </c>
      <c r="K1020">
        <v>2000</v>
      </c>
      <c r="L1020">
        <v>2000</v>
      </c>
      <c r="M1020">
        <v>0.44500000000000001</v>
      </c>
      <c r="N1020">
        <v>0.67400000000000004</v>
      </c>
      <c r="R1020" t="s">
        <v>84</v>
      </c>
      <c r="S1020" t="s">
        <v>6043</v>
      </c>
      <c r="T1020" t="b">
        <v>1</v>
      </c>
      <c r="U1020" t="s">
        <v>6044</v>
      </c>
      <c r="V1020" t="s">
        <v>6045</v>
      </c>
      <c r="W1020" t="s">
        <v>6046</v>
      </c>
      <c r="X1020" t="s">
        <v>47</v>
      </c>
      <c r="AA1020" t="s">
        <v>509</v>
      </c>
      <c r="AC1020" t="s">
        <v>63</v>
      </c>
      <c r="AD1020" t="b">
        <v>0</v>
      </c>
      <c r="AF1020">
        <v>3</v>
      </c>
      <c r="AG1020" t="s">
        <v>332</v>
      </c>
    </row>
    <row r="1021" spans="1:33" x14ac:dyDescent="0.2">
      <c r="A1021">
        <v>291</v>
      </c>
      <c r="B1021" t="s">
        <v>6047</v>
      </c>
      <c r="C1021" t="s">
        <v>34</v>
      </c>
      <c r="D1021" t="s">
        <v>35</v>
      </c>
      <c r="E1021" t="s">
        <v>36</v>
      </c>
      <c r="F1021" t="s">
        <v>37</v>
      </c>
      <c r="G1021" t="s">
        <v>242</v>
      </c>
      <c r="H1021" t="s">
        <v>243</v>
      </c>
      <c r="I1021" t="s">
        <v>2348</v>
      </c>
      <c r="J1021" t="s">
        <v>225</v>
      </c>
      <c r="K1021">
        <v>1960</v>
      </c>
      <c r="L1021">
        <v>1960</v>
      </c>
      <c r="M1021">
        <v>175</v>
      </c>
      <c r="N1021">
        <v>662.76599999999996</v>
      </c>
      <c r="O1021">
        <v>375</v>
      </c>
      <c r="P1021">
        <v>55</v>
      </c>
      <c r="Q1021">
        <v>0.88400000000000001</v>
      </c>
      <c r="R1021" t="s">
        <v>72</v>
      </c>
      <c r="S1021" t="s">
        <v>6048</v>
      </c>
      <c r="T1021" t="b">
        <v>1</v>
      </c>
      <c r="U1021" t="s">
        <v>6049</v>
      </c>
      <c r="V1021" t="s">
        <v>45</v>
      </c>
      <c r="W1021" t="s">
        <v>6050</v>
      </c>
      <c r="X1021" t="s">
        <v>47</v>
      </c>
      <c r="AA1021" t="s">
        <v>982</v>
      </c>
      <c r="AB1021" t="s">
        <v>41</v>
      </c>
      <c r="AC1021" t="s">
        <v>983</v>
      </c>
      <c r="AD1021" t="b">
        <v>0</v>
      </c>
      <c r="AF1021">
        <v>9</v>
      </c>
      <c r="AG1021" t="s">
        <v>251</v>
      </c>
    </row>
    <row r="1022" spans="1:33" x14ac:dyDescent="0.2">
      <c r="A1022">
        <v>292</v>
      </c>
      <c r="B1022" t="s">
        <v>6051</v>
      </c>
      <c r="C1022" t="s">
        <v>34</v>
      </c>
      <c r="D1022" t="s">
        <v>35</v>
      </c>
      <c r="E1022" t="s">
        <v>36</v>
      </c>
      <c r="F1022" t="s">
        <v>37</v>
      </c>
      <c r="G1022" t="s">
        <v>242</v>
      </c>
      <c r="H1022" t="s">
        <v>243</v>
      </c>
      <c r="I1022" t="s">
        <v>2348</v>
      </c>
      <c r="J1022" t="s">
        <v>225</v>
      </c>
      <c r="K1022">
        <v>1974</v>
      </c>
      <c r="L1022">
        <v>1974</v>
      </c>
      <c r="M1022">
        <v>25</v>
      </c>
      <c r="N1022">
        <v>77.659000000000006</v>
      </c>
      <c r="O1022">
        <v>96</v>
      </c>
      <c r="P1022">
        <v>30.05</v>
      </c>
      <c r="Q1022">
        <v>0.23100000000000001</v>
      </c>
      <c r="R1022" t="s">
        <v>72</v>
      </c>
      <c r="S1022" t="s">
        <v>6052</v>
      </c>
      <c r="T1022" t="b">
        <v>1</v>
      </c>
      <c r="U1022" t="s">
        <v>620</v>
      </c>
      <c r="V1022" t="s">
        <v>45</v>
      </c>
      <c r="W1022" t="s">
        <v>6053</v>
      </c>
      <c r="X1022" t="s">
        <v>47</v>
      </c>
      <c r="AA1022" t="s">
        <v>982</v>
      </c>
      <c r="AB1022" t="s">
        <v>409</v>
      </c>
      <c r="AC1022" t="s">
        <v>983</v>
      </c>
      <c r="AD1022" t="b">
        <v>0</v>
      </c>
      <c r="AF1022">
        <v>9</v>
      </c>
      <c r="AG1022" t="s">
        <v>251</v>
      </c>
    </row>
    <row r="1023" spans="1:33" x14ac:dyDescent="0.2">
      <c r="A1023">
        <v>810</v>
      </c>
      <c r="B1023" t="s">
        <v>6054</v>
      </c>
      <c r="C1023" t="s">
        <v>34</v>
      </c>
      <c r="D1023" t="s">
        <v>35</v>
      </c>
      <c r="E1023" t="s">
        <v>36</v>
      </c>
      <c r="F1023" t="s">
        <v>37</v>
      </c>
      <c r="G1023" t="s">
        <v>53</v>
      </c>
      <c r="H1023" t="s">
        <v>54</v>
      </c>
      <c r="I1023" t="s">
        <v>325</v>
      </c>
      <c r="J1023" t="s">
        <v>135</v>
      </c>
      <c r="K1023">
        <v>2004</v>
      </c>
      <c r="L1023">
        <v>2004</v>
      </c>
      <c r="M1023">
        <v>4.0999999999999996</v>
      </c>
      <c r="N1023">
        <v>18.693000000000001</v>
      </c>
      <c r="O1023">
        <v>65</v>
      </c>
      <c r="P1023">
        <v>7.5</v>
      </c>
      <c r="Q1023">
        <v>0.152</v>
      </c>
      <c r="R1023" t="s">
        <v>84</v>
      </c>
      <c r="S1023" t="s">
        <v>6055</v>
      </c>
      <c r="T1023" t="b">
        <v>1</v>
      </c>
      <c r="U1023" t="s">
        <v>6056</v>
      </c>
      <c r="V1023" t="s">
        <v>45</v>
      </c>
      <c r="W1023" t="s">
        <v>6057</v>
      </c>
      <c r="X1023" t="s">
        <v>47</v>
      </c>
      <c r="AA1023" t="s">
        <v>4161</v>
      </c>
      <c r="AB1023" t="s">
        <v>231</v>
      </c>
      <c r="AC1023" t="s">
        <v>4162</v>
      </c>
      <c r="AD1023" t="b">
        <v>0</v>
      </c>
      <c r="AF1023">
        <v>3</v>
      </c>
      <c r="AG1023" t="s">
        <v>332</v>
      </c>
    </row>
    <row r="1024" spans="1:33" x14ac:dyDescent="0.2">
      <c r="A1024">
        <v>1128</v>
      </c>
      <c r="B1024" t="s">
        <v>6058</v>
      </c>
      <c r="C1024" t="s">
        <v>34</v>
      </c>
      <c r="D1024" t="s">
        <v>35</v>
      </c>
      <c r="G1024" t="s">
        <v>213</v>
      </c>
      <c r="H1024" t="s">
        <v>83</v>
      </c>
      <c r="I1024" t="s">
        <v>1672</v>
      </c>
      <c r="J1024" t="s">
        <v>231</v>
      </c>
      <c r="K1024">
        <v>2002</v>
      </c>
      <c r="L1024">
        <v>2002</v>
      </c>
      <c r="M1024">
        <v>0.04</v>
      </c>
      <c r="N1024">
        <v>8.4000000000000005E-2</v>
      </c>
      <c r="R1024" t="s">
        <v>84</v>
      </c>
      <c r="S1024" t="s">
        <v>6059</v>
      </c>
      <c r="T1024" t="b">
        <v>1</v>
      </c>
      <c r="U1024" t="s">
        <v>247</v>
      </c>
      <c r="V1024" t="s">
        <v>274</v>
      </c>
      <c r="W1024" t="s">
        <v>6060</v>
      </c>
      <c r="X1024" t="s">
        <v>47</v>
      </c>
      <c r="AA1024" t="s">
        <v>114</v>
      </c>
      <c r="AC1024" t="s">
        <v>63</v>
      </c>
      <c r="AD1024" t="b">
        <v>0</v>
      </c>
      <c r="AF1024">
        <v>4</v>
      </c>
      <c r="AG1024" t="s">
        <v>321</v>
      </c>
    </row>
    <row r="1025" spans="1:33" x14ac:dyDescent="0.2">
      <c r="A1025">
        <v>1171</v>
      </c>
      <c r="B1025" t="s">
        <v>6061</v>
      </c>
      <c r="C1025" t="s">
        <v>34</v>
      </c>
      <c r="D1025" t="s">
        <v>35</v>
      </c>
      <c r="E1025" t="s">
        <v>3286</v>
      </c>
      <c r="F1025" t="s">
        <v>3287</v>
      </c>
      <c r="G1025" t="s">
        <v>93</v>
      </c>
      <c r="H1025" t="s">
        <v>94</v>
      </c>
      <c r="I1025" t="s">
        <v>3288</v>
      </c>
      <c r="J1025" t="s">
        <v>41</v>
      </c>
      <c r="K1025">
        <v>2003</v>
      </c>
      <c r="L1025">
        <v>2003</v>
      </c>
      <c r="M1025">
        <v>0.93</v>
      </c>
      <c r="N1025">
        <v>3.3450000000000002</v>
      </c>
      <c r="O1025">
        <v>165</v>
      </c>
      <c r="P1025">
        <v>0.7</v>
      </c>
      <c r="Q1025">
        <v>0.36899999999999999</v>
      </c>
      <c r="R1025" t="s">
        <v>97</v>
      </c>
      <c r="S1025" t="s">
        <v>6062</v>
      </c>
      <c r="T1025" t="b">
        <v>1</v>
      </c>
      <c r="U1025" t="s">
        <v>6063</v>
      </c>
      <c r="V1025" t="s">
        <v>3291</v>
      </c>
      <c r="W1025" t="s">
        <v>6064</v>
      </c>
      <c r="X1025" t="s">
        <v>47</v>
      </c>
      <c r="AA1025" t="s">
        <v>340</v>
      </c>
      <c r="AC1025" t="s">
        <v>341</v>
      </c>
      <c r="AD1025" t="b">
        <v>0</v>
      </c>
      <c r="AF1025">
        <v>1</v>
      </c>
      <c r="AG1025" t="s">
        <v>104</v>
      </c>
    </row>
    <row r="1026" spans="1:33" x14ac:dyDescent="0.2">
      <c r="A1026">
        <v>295</v>
      </c>
      <c r="B1026" t="s">
        <v>6065</v>
      </c>
      <c r="C1026" t="s">
        <v>34</v>
      </c>
      <c r="D1026" t="s">
        <v>35</v>
      </c>
      <c r="E1026" t="s">
        <v>36</v>
      </c>
      <c r="F1026" t="s">
        <v>37</v>
      </c>
      <c r="G1026" t="s">
        <v>242</v>
      </c>
      <c r="H1026" t="s">
        <v>243</v>
      </c>
      <c r="I1026" t="s">
        <v>978</v>
      </c>
      <c r="J1026" t="s">
        <v>49</v>
      </c>
      <c r="K1026">
        <v>1910</v>
      </c>
      <c r="L1026">
        <v>2014</v>
      </c>
      <c r="M1026">
        <v>2.4</v>
      </c>
      <c r="N1026">
        <v>19.033000000000001</v>
      </c>
      <c r="O1026">
        <v>27</v>
      </c>
      <c r="P1026">
        <v>10</v>
      </c>
      <c r="Q1026">
        <v>6.7000000000000004E-2</v>
      </c>
      <c r="R1026" t="s">
        <v>72</v>
      </c>
      <c r="S1026" t="s">
        <v>6066</v>
      </c>
      <c r="T1026" t="b">
        <v>1</v>
      </c>
      <c r="U1026" t="s">
        <v>6067</v>
      </c>
      <c r="V1026" t="s">
        <v>45</v>
      </c>
      <c r="W1026" t="s">
        <v>5251</v>
      </c>
      <c r="X1026" t="s">
        <v>47</v>
      </c>
      <c r="AA1026" t="s">
        <v>982</v>
      </c>
      <c r="AB1026" t="s">
        <v>49</v>
      </c>
      <c r="AC1026" t="s">
        <v>983</v>
      </c>
      <c r="AD1026" t="b">
        <v>0</v>
      </c>
      <c r="AF1026">
        <v>9</v>
      </c>
      <c r="AG1026" t="s">
        <v>251</v>
      </c>
    </row>
    <row r="1027" spans="1:33" x14ac:dyDescent="0.2">
      <c r="A1027">
        <v>1983</v>
      </c>
      <c r="B1027" t="s">
        <v>6068</v>
      </c>
      <c r="C1027" t="s">
        <v>34</v>
      </c>
      <c r="D1027" t="s">
        <v>35</v>
      </c>
      <c r="E1027" t="s">
        <v>6069</v>
      </c>
      <c r="F1027" t="s">
        <v>6070</v>
      </c>
      <c r="G1027" t="s">
        <v>134</v>
      </c>
      <c r="H1027" t="s">
        <v>135</v>
      </c>
      <c r="I1027" t="s">
        <v>2074</v>
      </c>
      <c r="J1027" t="s">
        <v>225</v>
      </c>
      <c r="K1027">
        <v>2020</v>
      </c>
      <c r="L1027">
        <v>2020</v>
      </c>
      <c r="M1027">
        <v>3.15</v>
      </c>
      <c r="N1027">
        <v>8.6460000000000008</v>
      </c>
      <c r="O1027">
        <v>34.65</v>
      </c>
      <c r="P1027">
        <v>10.5</v>
      </c>
      <c r="Q1027">
        <v>8.3000000000000004E-2</v>
      </c>
      <c r="R1027" t="s">
        <v>42</v>
      </c>
      <c r="S1027" t="s">
        <v>6071</v>
      </c>
      <c r="T1027" t="b">
        <v>1</v>
      </c>
      <c r="U1027" t="s">
        <v>6072</v>
      </c>
      <c r="V1027" t="s">
        <v>6073</v>
      </c>
      <c r="W1027" t="s">
        <v>6074</v>
      </c>
      <c r="X1027" t="s">
        <v>47</v>
      </c>
      <c r="AA1027" t="s">
        <v>2652</v>
      </c>
      <c r="AB1027" t="s">
        <v>612</v>
      </c>
      <c r="AC1027" t="s">
        <v>2653</v>
      </c>
      <c r="AD1027" t="b">
        <v>0</v>
      </c>
      <c r="AF1027">
        <v>10</v>
      </c>
      <c r="AG1027" t="s">
        <v>143</v>
      </c>
    </row>
    <row r="1028" spans="1:33" x14ac:dyDescent="0.2">
      <c r="A1028">
        <v>296</v>
      </c>
      <c r="B1028" t="s">
        <v>6075</v>
      </c>
      <c r="C1028" t="s">
        <v>34</v>
      </c>
      <c r="D1028" t="s">
        <v>35</v>
      </c>
      <c r="E1028" t="s">
        <v>728</v>
      </c>
      <c r="F1028" t="s">
        <v>729</v>
      </c>
      <c r="G1028" t="s">
        <v>53</v>
      </c>
      <c r="H1028" t="s">
        <v>54</v>
      </c>
      <c r="I1028" t="s">
        <v>362</v>
      </c>
      <c r="J1028" t="s">
        <v>256</v>
      </c>
      <c r="K1028">
        <v>1954</v>
      </c>
      <c r="L1028">
        <v>1954</v>
      </c>
      <c r="M1028">
        <v>2.8</v>
      </c>
      <c r="N1028">
        <v>12.148</v>
      </c>
      <c r="O1028">
        <v>42</v>
      </c>
      <c r="P1028">
        <v>8.35</v>
      </c>
      <c r="Q1028">
        <v>9.2999999999999999E-2</v>
      </c>
      <c r="R1028" t="s">
        <v>72</v>
      </c>
      <c r="S1028" t="s">
        <v>6076</v>
      </c>
      <c r="T1028" t="b">
        <v>1</v>
      </c>
      <c r="U1028" t="s">
        <v>173</v>
      </c>
      <c r="V1028" t="s">
        <v>2923</v>
      </c>
      <c r="W1028" t="s">
        <v>6077</v>
      </c>
      <c r="X1028" t="s">
        <v>47</v>
      </c>
      <c r="AA1028" t="s">
        <v>2925</v>
      </c>
      <c r="AB1028" t="s">
        <v>49</v>
      </c>
      <c r="AC1028" t="s">
        <v>2926</v>
      </c>
      <c r="AD1028" t="b">
        <v>0</v>
      </c>
      <c r="AF1028">
        <v>13</v>
      </c>
      <c r="AG1028" t="s">
        <v>155</v>
      </c>
    </row>
    <row r="1029" spans="1:33" x14ac:dyDescent="0.2">
      <c r="A1029">
        <v>1158</v>
      </c>
      <c r="B1029" t="s">
        <v>6078</v>
      </c>
      <c r="C1029" t="s">
        <v>34</v>
      </c>
      <c r="D1029" t="s">
        <v>35</v>
      </c>
      <c r="G1029" t="s">
        <v>38</v>
      </c>
      <c r="H1029" t="s">
        <v>39</v>
      </c>
      <c r="I1029" t="s">
        <v>6079</v>
      </c>
      <c r="J1029" t="s">
        <v>539</v>
      </c>
      <c r="K1029">
        <v>1988</v>
      </c>
      <c r="L1029">
        <v>1988</v>
      </c>
      <c r="M1029">
        <v>0.02</v>
      </c>
      <c r="N1029">
        <v>8.2000000000000003E-2</v>
      </c>
      <c r="R1029" t="s">
        <v>42</v>
      </c>
      <c r="S1029" t="s">
        <v>6080</v>
      </c>
      <c r="T1029" t="b">
        <v>1</v>
      </c>
      <c r="U1029" t="s">
        <v>1059</v>
      </c>
      <c r="V1029" t="s">
        <v>274</v>
      </c>
      <c r="W1029" t="s">
        <v>113</v>
      </c>
      <c r="X1029" t="s">
        <v>47</v>
      </c>
      <c r="AA1029" t="s">
        <v>6081</v>
      </c>
      <c r="AC1029" t="s">
        <v>6082</v>
      </c>
      <c r="AD1029" t="b">
        <v>0</v>
      </c>
      <c r="AF1029">
        <v>12</v>
      </c>
      <c r="AG1029" t="s">
        <v>51</v>
      </c>
    </row>
    <row r="1030" spans="1:33" x14ac:dyDescent="0.2">
      <c r="A1030">
        <v>551</v>
      </c>
      <c r="B1030" t="s">
        <v>6083</v>
      </c>
      <c r="C1030" t="s">
        <v>34</v>
      </c>
      <c r="D1030" t="s">
        <v>35</v>
      </c>
      <c r="E1030" t="s">
        <v>36</v>
      </c>
      <c r="F1030" t="s">
        <v>37</v>
      </c>
      <c r="G1030" t="s">
        <v>242</v>
      </c>
      <c r="H1030" t="s">
        <v>243</v>
      </c>
      <c r="I1030" t="s">
        <v>3245</v>
      </c>
      <c r="J1030" t="s">
        <v>109</v>
      </c>
      <c r="K1030">
        <v>1989</v>
      </c>
      <c r="L1030">
        <v>1989</v>
      </c>
      <c r="M1030">
        <v>66.7</v>
      </c>
      <c r="N1030">
        <v>374.2</v>
      </c>
      <c r="O1030">
        <v>96</v>
      </c>
      <c r="P1030">
        <v>79.86</v>
      </c>
      <c r="Q1030">
        <v>0.23100000000000001</v>
      </c>
      <c r="R1030" t="s">
        <v>72</v>
      </c>
      <c r="S1030" t="s">
        <v>3447</v>
      </c>
      <c r="T1030" t="b">
        <v>1</v>
      </c>
      <c r="U1030" t="s">
        <v>4075</v>
      </c>
      <c r="V1030" t="s">
        <v>45</v>
      </c>
      <c r="W1030" t="s">
        <v>6084</v>
      </c>
      <c r="X1030" t="s">
        <v>47</v>
      </c>
      <c r="AA1030" t="s">
        <v>982</v>
      </c>
      <c r="AB1030" t="s">
        <v>71</v>
      </c>
      <c r="AC1030" t="s">
        <v>983</v>
      </c>
      <c r="AD1030" t="b">
        <v>0</v>
      </c>
      <c r="AF1030">
        <v>9</v>
      </c>
      <c r="AG1030" t="s">
        <v>251</v>
      </c>
    </row>
    <row r="1031" spans="1:33" x14ac:dyDescent="0.2">
      <c r="A1031">
        <v>1660</v>
      </c>
      <c r="B1031" t="s">
        <v>6085</v>
      </c>
      <c r="C1031" t="s">
        <v>34</v>
      </c>
      <c r="D1031" t="s">
        <v>35</v>
      </c>
      <c r="E1031" t="s">
        <v>6086</v>
      </c>
      <c r="F1031" t="s">
        <v>6087</v>
      </c>
      <c r="G1031" t="s">
        <v>213</v>
      </c>
      <c r="H1031" t="s">
        <v>83</v>
      </c>
      <c r="I1031" t="s">
        <v>611</v>
      </c>
      <c r="J1031" t="s">
        <v>612</v>
      </c>
      <c r="K1031">
        <v>2012</v>
      </c>
      <c r="L1031">
        <v>2012</v>
      </c>
      <c r="M1031">
        <v>2.56</v>
      </c>
      <c r="N1031">
        <v>7.282</v>
      </c>
      <c r="O1031">
        <v>117.8</v>
      </c>
      <c r="P1031">
        <v>2.5499999999999998</v>
      </c>
      <c r="Q1031">
        <v>0.27900000000000003</v>
      </c>
      <c r="R1031" t="s">
        <v>84</v>
      </c>
      <c r="S1031" t="s">
        <v>6088</v>
      </c>
      <c r="T1031" t="b">
        <v>1</v>
      </c>
      <c r="U1031" t="s">
        <v>6089</v>
      </c>
      <c r="V1031" t="s">
        <v>6090</v>
      </c>
      <c r="W1031" t="s">
        <v>6091</v>
      </c>
      <c r="X1031" t="s">
        <v>47</v>
      </c>
      <c r="AA1031" t="s">
        <v>615</v>
      </c>
      <c r="AB1031" t="s">
        <v>266</v>
      </c>
      <c r="AC1031" t="s">
        <v>616</v>
      </c>
      <c r="AD1031" t="b">
        <v>0</v>
      </c>
      <c r="AF1031">
        <v>4</v>
      </c>
      <c r="AG1031" t="s">
        <v>321</v>
      </c>
    </row>
    <row r="1032" spans="1:33" x14ac:dyDescent="0.2">
      <c r="A1032">
        <v>1889</v>
      </c>
      <c r="B1032" t="s">
        <v>6092</v>
      </c>
      <c r="C1032" t="s">
        <v>34</v>
      </c>
      <c r="D1032" t="s">
        <v>35</v>
      </c>
      <c r="E1032" t="s">
        <v>277</v>
      </c>
      <c r="F1032" t="s">
        <v>278</v>
      </c>
      <c r="G1032" t="s">
        <v>93</v>
      </c>
      <c r="H1032" t="s">
        <v>94</v>
      </c>
      <c r="I1032" t="s">
        <v>6093</v>
      </c>
      <c r="J1032" t="s">
        <v>1303</v>
      </c>
      <c r="K1032">
        <v>2020</v>
      </c>
      <c r="L1032">
        <v>2020</v>
      </c>
      <c r="M1032">
        <v>78</v>
      </c>
      <c r="N1032">
        <v>293.90100000000001</v>
      </c>
      <c r="O1032">
        <v>55.5</v>
      </c>
      <c r="P1032">
        <v>180</v>
      </c>
      <c r="Q1032">
        <v>0.12</v>
      </c>
      <c r="R1032" t="s">
        <v>72</v>
      </c>
      <c r="S1032" t="s">
        <v>6094</v>
      </c>
      <c r="T1032" t="b">
        <v>1</v>
      </c>
      <c r="U1032" t="s">
        <v>6095</v>
      </c>
      <c r="V1032" t="s">
        <v>6096</v>
      </c>
      <c r="W1032" t="s">
        <v>6097</v>
      </c>
      <c r="X1032" t="s">
        <v>47</v>
      </c>
      <c r="AA1032" t="s">
        <v>340</v>
      </c>
      <c r="AB1032" t="s">
        <v>203</v>
      </c>
      <c r="AC1032" t="s">
        <v>1063</v>
      </c>
      <c r="AD1032" t="b">
        <v>0</v>
      </c>
      <c r="AF1032">
        <v>8</v>
      </c>
      <c r="AG1032" t="s">
        <v>78</v>
      </c>
    </row>
    <row r="1033" spans="1:33" x14ac:dyDescent="0.2">
      <c r="A1033">
        <v>297</v>
      </c>
      <c r="B1033" t="s">
        <v>6098</v>
      </c>
      <c r="C1033" t="s">
        <v>34</v>
      </c>
      <c r="D1033" t="s">
        <v>35</v>
      </c>
      <c r="E1033" t="s">
        <v>6099</v>
      </c>
      <c r="F1033" t="s">
        <v>6100</v>
      </c>
      <c r="G1033" t="s">
        <v>38</v>
      </c>
      <c r="H1033" t="s">
        <v>39</v>
      </c>
      <c r="I1033" t="s">
        <v>3267</v>
      </c>
      <c r="J1033" t="s">
        <v>308</v>
      </c>
      <c r="K1033">
        <v>1959</v>
      </c>
      <c r="L1033">
        <v>1959</v>
      </c>
      <c r="M1033">
        <v>12.8</v>
      </c>
      <c r="N1033">
        <v>52.191000000000003</v>
      </c>
      <c r="O1033">
        <v>215</v>
      </c>
      <c r="P1033">
        <v>7.69</v>
      </c>
      <c r="Q1033">
        <v>0.46200000000000002</v>
      </c>
      <c r="R1033" t="s">
        <v>42</v>
      </c>
      <c r="S1033" t="s">
        <v>6101</v>
      </c>
      <c r="T1033" t="b">
        <v>1</v>
      </c>
      <c r="U1033" t="s">
        <v>6102</v>
      </c>
      <c r="V1033" t="s">
        <v>6103</v>
      </c>
      <c r="W1033" t="s">
        <v>6104</v>
      </c>
      <c r="X1033" t="s">
        <v>47</v>
      </c>
      <c r="AA1033" t="s">
        <v>6105</v>
      </c>
      <c r="AB1033" t="s">
        <v>49</v>
      </c>
      <c r="AC1033" t="s">
        <v>6106</v>
      </c>
      <c r="AD1033" t="b">
        <v>0</v>
      </c>
      <c r="AF1033">
        <v>12</v>
      </c>
      <c r="AG1033" t="s">
        <v>51</v>
      </c>
    </row>
    <row r="1034" spans="1:33" x14ac:dyDescent="0.2">
      <c r="A1034">
        <v>2049</v>
      </c>
      <c r="B1034" t="s">
        <v>6107</v>
      </c>
      <c r="C1034" t="s">
        <v>34</v>
      </c>
      <c r="D1034" t="s">
        <v>35</v>
      </c>
      <c r="E1034" t="s">
        <v>1320</v>
      </c>
      <c r="F1034" t="s">
        <v>1321</v>
      </c>
      <c r="G1034" t="s">
        <v>134</v>
      </c>
      <c r="H1034" t="s">
        <v>135</v>
      </c>
      <c r="I1034" t="s">
        <v>191</v>
      </c>
      <c r="J1034" t="s">
        <v>192</v>
      </c>
      <c r="K1034">
        <v>2021</v>
      </c>
      <c r="L1034">
        <v>2021</v>
      </c>
      <c r="M1034">
        <v>2.8</v>
      </c>
      <c r="N1034">
        <v>7.141</v>
      </c>
      <c r="O1034">
        <v>100.2</v>
      </c>
      <c r="P1034">
        <v>3.36</v>
      </c>
      <c r="Q1034">
        <v>0.23100000000000001</v>
      </c>
      <c r="R1034" t="s">
        <v>42</v>
      </c>
      <c r="S1034" t="s">
        <v>6108</v>
      </c>
      <c r="T1034" t="b">
        <v>1</v>
      </c>
      <c r="U1034" t="s">
        <v>6109</v>
      </c>
      <c r="V1034" t="s">
        <v>1324</v>
      </c>
      <c r="W1034" t="s">
        <v>6110</v>
      </c>
      <c r="X1034" t="s">
        <v>47</v>
      </c>
      <c r="AA1034" t="s">
        <v>6111</v>
      </c>
      <c r="AB1034" t="s">
        <v>49</v>
      </c>
      <c r="AC1034" t="s">
        <v>6112</v>
      </c>
      <c r="AD1034" t="b">
        <v>0</v>
      </c>
      <c r="AF1034">
        <v>11</v>
      </c>
      <c r="AG1034" t="s">
        <v>198</v>
      </c>
    </row>
    <row r="1035" spans="1:33" x14ac:dyDescent="0.2">
      <c r="A1035">
        <v>298</v>
      </c>
      <c r="B1035" t="s">
        <v>6113</v>
      </c>
      <c r="C1035" t="s">
        <v>34</v>
      </c>
      <c r="D1035" t="s">
        <v>35</v>
      </c>
      <c r="E1035" t="s">
        <v>36</v>
      </c>
      <c r="F1035" t="s">
        <v>37</v>
      </c>
      <c r="G1035" t="s">
        <v>134</v>
      </c>
      <c r="H1035" t="s">
        <v>135</v>
      </c>
      <c r="I1035" t="s">
        <v>641</v>
      </c>
      <c r="J1035" t="s">
        <v>109</v>
      </c>
      <c r="K1035">
        <v>1955</v>
      </c>
      <c r="L1035">
        <v>1955</v>
      </c>
      <c r="M1035">
        <v>350</v>
      </c>
      <c r="N1035">
        <v>2050.2469999999998</v>
      </c>
      <c r="O1035">
        <v>244.4</v>
      </c>
      <c r="P1035">
        <v>165</v>
      </c>
      <c r="Q1035">
        <v>0.58899999999999997</v>
      </c>
      <c r="R1035" t="s">
        <v>42</v>
      </c>
      <c r="S1035" t="s">
        <v>6114</v>
      </c>
      <c r="T1035" t="b">
        <v>1</v>
      </c>
      <c r="U1035" t="s">
        <v>6115</v>
      </c>
      <c r="V1035" t="s">
        <v>45</v>
      </c>
      <c r="W1035" t="s">
        <v>6116</v>
      </c>
      <c r="X1035" t="s">
        <v>47</v>
      </c>
      <c r="AA1035" t="s">
        <v>645</v>
      </c>
      <c r="AB1035" t="s">
        <v>49</v>
      </c>
      <c r="AC1035" t="s">
        <v>3212</v>
      </c>
      <c r="AD1035" t="b">
        <v>0</v>
      </c>
      <c r="AF1035">
        <v>10</v>
      </c>
      <c r="AG1035" t="s">
        <v>143</v>
      </c>
    </row>
    <row r="1036" spans="1:33" x14ac:dyDescent="0.2">
      <c r="A1036">
        <v>2135</v>
      </c>
      <c r="B1036" t="s">
        <v>6117</v>
      </c>
      <c r="C1036" t="s">
        <v>34</v>
      </c>
      <c r="D1036" t="s">
        <v>35</v>
      </c>
      <c r="E1036" t="s">
        <v>6118</v>
      </c>
      <c r="F1036" t="s">
        <v>6119</v>
      </c>
      <c r="G1036" t="s">
        <v>242</v>
      </c>
      <c r="H1036" t="s">
        <v>243</v>
      </c>
      <c r="I1036" t="s">
        <v>2193</v>
      </c>
      <c r="J1036" t="s">
        <v>378</v>
      </c>
      <c r="K1036">
        <v>2024</v>
      </c>
      <c r="L1036">
        <v>2024</v>
      </c>
      <c r="M1036">
        <v>2.1</v>
      </c>
      <c r="N1036">
        <v>5.5</v>
      </c>
      <c r="O1036">
        <v>49</v>
      </c>
      <c r="P1036">
        <v>5.2</v>
      </c>
      <c r="Q1036">
        <v>0.112</v>
      </c>
      <c r="R1036" t="s">
        <v>72</v>
      </c>
      <c r="S1036" t="s">
        <v>6120</v>
      </c>
      <c r="T1036" t="b">
        <v>1</v>
      </c>
      <c r="U1036" t="s">
        <v>6121</v>
      </c>
      <c r="V1036" t="s">
        <v>6122</v>
      </c>
      <c r="W1036" t="s">
        <v>6123</v>
      </c>
      <c r="X1036" t="s">
        <v>47</v>
      </c>
      <c r="AA1036" t="s">
        <v>6124</v>
      </c>
      <c r="AB1036" t="s">
        <v>49</v>
      </c>
      <c r="AC1036" t="s">
        <v>6125</v>
      </c>
      <c r="AD1036" t="b">
        <v>0</v>
      </c>
      <c r="AF1036">
        <v>8</v>
      </c>
      <c r="AG1036" t="s">
        <v>78</v>
      </c>
    </row>
    <row r="1037" spans="1:33" x14ac:dyDescent="0.2">
      <c r="A1037">
        <v>299</v>
      </c>
      <c r="B1037" t="s">
        <v>6126</v>
      </c>
      <c r="C1037" t="s">
        <v>34</v>
      </c>
      <c r="D1037" t="s">
        <v>35</v>
      </c>
      <c r="E1037" t="s">
        <v>1200</v>
      </c>
      <c r="F1037" t="s">
        <v>1201</v>
      </c>
      <c r="G1037" t="s">
        <v>53</v>
      </c>
      <c r="H1037" t="s">
        <v>54</v>
      </c>
      <c r="I1037" t="s">
        <v>2033</v>
      </c>
      <c r="J1037" t="s">
        <v>1303</v>
      </c>
      <c r="K1037">
        <v>1965</v>
      </c>
      <c r="L1037">
        <v>1965</v>
      </c>
      <c r="M1037">
        <v>8.8000000000000007</v>
      </c>
      <c r="N1037">
        <v>36.683</v>
      </c>
      <c r="O1037">
        <v>68</v>
      </c>
      <c r="P1037">
        <v>17</v>
      </c>
      <c r="Q1037">
        <v>0.13700000000000001</v>
      </c>
      <c r="R1037" t="s">
        <v>72</v>
      </c>
      <c r="S1037" t="s">
        <v>6127</v>
      </c>
      <c r="T1037" t="b">
        <v>1</v>
      </c>
      <c r="U1037" t="s">
        <v>6128</v>
      </c>
      <c r="V1037" t="s">
        <v>1204</v>
      </c>
      <c r="W1037" t="s">
        <v>6129</v>
      </c>
      <c r="X1037" t="s">
        <v>47</v>
      </c>
      <c r="AA1037" t="s">
        <v>2038</v>
      </c>
      <c r="AB1037" t="s">
        <v>177</v>
      </c>
      <c r="AC1037" t="s">
        <v>2039</v>
      </c>
      <c r="AD1037" t="b">
        <v>0</v>
      </c>
      <c r="AF1037">
        <v>13</v>
      </c>
      <c r="AG1037" t="s">
        <v>155</v>
      </c>
    </row>
    <row r="1038" spans="1:33" x14ac:dyDescent="0.2">
      <c r="A1038">
        <v>300</v>
      </c>
      <c r="B1038" t="s">
        <v>6130</v>
      </c>
      <c r="C1038" t="s">
        <v>34</v>
      </c>
      <c r="D1038" t="s">
        <v>35</v>
      </c>
      <c r="E1038" t="s">
        <v>1814</v>
      </c>
      <c r="F1038" t="s">
        <v>1815</v>
      </c>
      <c r="G1038" t="s">
        <v>93</v>
      </c>
      <c r="H1038" t="s">
        <v>94</v>
      </c>
      <c r="I1038" t="s">
        <v>569</v>
      </c>
      <c r="J1038" t="s">
        <v>245</v>
      </c>
      <c r="K1038">
        <v>1942</v>
      </c>
      <c r="L1038">
        <v>2021</v>
      </c>
      <c r="M1038">
        <v>9.4</v>
      </c>
      <c r="N1038">
        <v>56.215000000000003</v>
      </c>
      <c r="O1038">
        <v>151</v>
      </c>
      <c r="P1038">
        <v>7.5</v>
      </c>
      <c r="Q1038">
        <v>0.32600000000000001</v>
      </c>
      <c r="R1038" t="s">
        <v>72</v>
      </c>
      <c r="S1038" t="s">
        <v>6131</v>
      </c>
      <c r="T1038" t="b">
        <v>1</v>
      </c>
      <c r="U1038" t="s">
        <v>6132</v>
      </c>
      <c r="V1038" t="s">
        <v>1818</v>
      </c>
      <c r="W1038" t="s">
        <v>6133</v>
      </c>
      <c r="X1038" t="s">
        <v>47</v>
      </c>
      <c r="AA1038" t="s">
        <v>340</v>
      </c>
      <c r="AB1038" t="s">
        <v>96</v>
      </c>
      <c r="AC1038" t="s">
        <v>1063</v>
      </c>
      <c r="AD1038" t="b">
        <v>0</v>
      </c>
      <c r="AF1038">
        <v>8</v>
      </c>
      <c r="AG1038" t="s">
        <v>78</v>
      </c>
    </row>
    <row r="1039" spans="1:33" x14ac:dyDescent="0.2">
      <c r="A1039">
        <v>301</v>
      </c>
      <c r="B1039" t="s">
        <v>6134</v>
      </c>
      <c r="C1039" t="s">
        <v>34</v>
      </c>
      <c r="D1039" t="s">
        <v>35</v>
      </c>
      <c r="E1039" t="s">
        <v>1814</v>
      </c>
      <c r="F1039" t="s">
        <v>1815</v>
      </c>
      <c r="G1039" t="s">
        <v>93</v>
      </c>
      <c r="H1039" t="s">
        <v>94</v>
      </c>
      <c r="I1039" t="s">
        <v>569</v>
      </c>
      <c r="J1039" t="s">
        <v>245</v>
      </c>
      <c r="K1039">
        <v>1963</v>
      </c>
      <c r="L1039">
        <v>1963</v>
      </c>
      <c r="M1039">
        <v>16</v>
      </c>
      <c r="N1039">
        <v>119.453</v>
      </c>
      <c r="O1039">
        <v>310.7</v>
      </c>
      <c r="P1039">
        <v>5.59</v>
      </c>
      <c r="Q1039">
        <v>0.79400000000000004</v>
      </c>
      <c r="R1039" t="s">
        <v>72</v>
      </c>
      <c r="S1039" t="s">
        <v>6131</v>
      </c>
      <c r="T1039" t="b">
        <v>1</v>
      </c>
      <c r="U1039" t="s">
        <v>6135</v>
      </c>
      <c r="V1039" t="s">
        <v>1818</v>
      </c>
      <c r="W1039" t="s">
        <v>6136</v>
      </c>
      <c r="X1039" t="s">
        <v>47</v>
      </c>
      <c r="AA1039" t="s">
        <v>340</v>
      </c>
      <c r="AB1039" t="s">
        <v>378</v>
      </c>
      <c r="AC1039" t="s">
        <v>1063</v>
      </c>
      <c r="AD1039" t="b">
        <v>0</v>
      </c>
      <c r="AF1039">
        <v>8</v>
      </c>
      <c r="AG1039" t="s">
        <v>78</v>
      </c>
    </row>
    <row r="1040" spans="1:33" x14ac:dyDescent="0.2">
      <c r="A1040">
        <v>1897</v>
      </c>
      <c r="B1040" t="s">
        <v>6137</v>
      </c>
      <c r="C1040" t="s">
        <v>34</v>
      </c>
      <c r="D1040" t="s">
        <v>35</v>
      </c>
      <c r="E1040" t="s">
        <v>6138</v>
      </c>
      <c r="F1040" t="s">
        <v>6139</v>
      </c>
      <c r="G1040" t="s">
        <v>503</v>
      </c>
      <c r="H1040" t="s">
        <v>462</v>
      </c>
      <c r="I1040" t="s">
        <v>2564</v>
      </c>
      <c r="J1040" t="s">
        <v>262</v>
      </c>
      <c r="K1040">
        <v>2017</v>
      </c>
      <c r="L1040">
        <v>2017</v>
      </c>
      <c r="M1040">
        <v>0.74</v>
      </c>
      <c r="N1040">
        <v>1.575</v>
      </c>
      <c r="O1040">
        <v>82</v>
      </c>
      <c r="P1040">
        <v>1.06</v>
      </c>
      <c r="Q1040">
        <v>0.19400000000000001</v>
      </c>
      <c r="R1040" t="s">
        <v>84</v>
      </c>
      <c r="S1040" t="s">
        <v>6140</v>
      </c>
      <c r="T1040" t="b">
        <v>1</v>
      </c>
      <c r="U1040" t="s">
        <v>6141</v>
      </c>
      <c r="V1040" t="s">
        <v>6142</v>
      </c>
      <c r="W1040" t="s">
        <v>6143</v>
      </c>
      <c r="X1040" t="s">
        <v>47</v>
      </c>
      <c r="AA1040" t="s">
        <v>583</v>
      </c>
      <c r="AC1040" t="s">
        <v>585</v>
      </c>
      <c r="AD1040" t="b">
        <v>0</v>
      </c>
      <c r="AF1040">
        <v>3</v>
      </c>
      <c r="AG1040" t="s">
        <v>332</v>
      </c>
    </row>
    <row r="1041" spans="1:33" x14ac:dyDescent="0.2">
      <c r="A1041">
        <v>302</v>
      </c>
      <c r="B1041" t="s">
        <v>6144</v>
      </c>
      <c r="C1041" t="s">
        <v>34</v>
      </c>
      <c r="D1041" t="s">
        <v>35</v>
      </c>
      <c r="E1041" t="s">
        <v>277</v>
      </c>
      <c r="F1041" t="s">
        <v>278</v>
      </c>
      <c r="G1041" t="s">
        <v>93</v>
      </c>
      <c r="H1041" t="s">
        <v>94</v>
      </c>
      <c r="I1041" t="s">
        <v>3695</v>
      </c>
      <c r="J1041" t="s">
        <v>485</v>
      </c>
      <c r="K1041">
        <v>1953</v>
      </c>
      <c r="L1041">
        <v>1953</v>
      </c>
      <c r="M1041">
        <v>308</v>
      </c>
      <c r="N1041">
        <v>1176.982</v>
      </c>
      <c r="O1041">
        <v>443.2</v>
      </c>
      <c r="P1041">
        <v>80.02</v>
      </c>
      <c r="Q1041">
        <v>1.069</v>
      </c>
      <c r="R1041" t="s">
        <v>97</v>
      </c>
      <c r="S1041" t="s">
        <v>6145</v>
      </c>
      <c r="T1041" t="b">
        <v>1</v>
      </c>
      <c r="U1041" t="s">
        <v>6146</v>
      </c>
      <c r="V1041" t="s">
        <v>6147</v>
      </c>
      <c r="W1041" t="s">
        <v>6148</v>
      </c>
      <c r="X1041" t="s">
        <v>47</v>
      </c>
      <c r="AA1041" t="s">
        <v>340</v>
      </c>
      <c r="AB1041" t="s">
        <v>215</v>
      </c>
      <c r="AC1041" t="s">
        <v>1063</v>
      </c>
      <c r="AD1041" t="b">
        <v>0</v>
      </c>
      <c r="AF1041">
        <v>1</v>
      </c>
      <c r="AG1041" t="s">
        <v>104</v>
      </c>
    </row>
    <row r="1042" spans="1:33" x14ac:dyDescent="0.2">
      <c r="A1042">
        <v>2069</v>
      </c>
      <c r="B1042" t="s">
        <v>6149</v>
      </c>
      <c r="C1042" t="s">
        <v>34</v>
      </c>
      <c r="D1042" t="s">
        <v>35</v>
      </c>
      <c r="E1042" t="s">
        <v>6150</v>
      </c>
      <c r="F1042" t="s">
        <v>6151</v>
      </c>
      <c r="G1042" t="s">
        <v>224</v>
      </c>
      <c r="H1042" t="s">
        <v>225</v>
      </c>
      <c r="I1042" t="s">
        <v>6152</v>
      </c>
      <c r="J1042" t="s">
        <v>49</v>
      </c>
      <c r="K1042">
        <v>2021</v>
      </c>
      <c r="L1042">
        <v>2021</v>
      </c>
      <c r="M1042">
        <v>0.17</v>
      </c>
      <c r="N1042">
        <v>1.4</v>
      </c>
      <c r="O1042">
        <v>98</v>
      </c>
      <c r="P1042">
        <v>0.2</v>
      </c>
      <c r="Q1042">
        <v>0.23599999999999999</v>
      </c>
      <c r="R1042" t="s">
        <v>97</v>
      </c>
      <c r="S1042" t="s">
        <v>6153</v>
      </c>
      <c r="T1042" t="b">
        <v>1</v>
      </c>
      <c r="U1042" t="s">
        <v>6154</v>
      </c>
      <c r="V1042" t="s">
        <v>6155</v>
      </c>
      <c r="W1042" t="s">
        <v>6156</v>
      </c>
      <c r="X1042" t="s">
        <v>47</v>
      </c>
      <c r="AA1042" t="s">
        <v>102</v>
      </c>
      <c r="AC1042" t="s">
        <v>103</v>
      </c>
      <c r="AD1042" t="b">
        <v>0</v>
      </c>
      <c r="AF1042">
        <v>1</v>
      </c>
      <c r="AG1042" t="s">
        <v>104</v>
      </c>
    </row>
    <row r="1043" spans="1:33" x14ac:dyDescent="0.2">
      <c r="A1043">
        <v>999</v>
      </c>
      <c r="B1043" t="s">
        <v>6157</v>
      </c>
      <c r="C1043" t="s">
        <v>34</v>
      </c>
      <c r="D1043" t="s">
        <v>35</v>
      </c>
      <c r="G1043" t="s">
        <v>213</v>
      </c>
      <c r="H1043" t="s">
        <v>83</v>
      </c>
      <c r="I1043" t="s">
        <v>2487</v>
      </c>
      <c r="J1043" t="s">
        <v>337</v>
      </c>
      <c r="K1043">
        <v>2000</v>
      </c>
      <c r="L1043">
        <v>2000</v>
      </c>
      <c r="M1043">
        <v>0.1</v>
      </c>
      <c r="N1043">
        <v>0.318</v>
      </c>
      <c r="R1043" t="s">
        <v>84</v>
      </c>
      <c r="S1043" t="s">
        <v>6158</v>
      </c>
      <c r="T1043" t="b">
        <v>1</v>
      </c>
      <c r="U1043" t="s">
        <v>754</v>
      </c>
      <c r="V1043" t="s">
        <v>274</v>
      </c>
      <c r="W1043" t="s">
        <v>113</v>
      </c>
      <c r="X1043" t="s">
        <v>47</v>
      </c>
      <c r="AA1043" t="s">
        <v>2492</v>
      </c>
      <c r="AC1043" t="s">
        <v>2493</v>
      </c>
      <c r="AD1043" t="b">
        <v>0</v>
      </c>
      <c r="AF1043">
        <v>4</v>
      </c>
      <c r="AG1043" t="s">
        <v>321</v>
      </c>
    </row>
    <row r="1044" spans="1:33" x14ac:dyDescent="0.2">
      <c r="A1044">
        <v>1661</v>
      </c>
      <c r="B1044" t="s">
        <v>6157</v>
      </c>
      <c r="C1044" t="s">
        <v>34</v>
      </c>
      <c r="D1044" t="s">
        <v>35</v>
      </c>
      <c r="E1044" t="s">
        <v>6159</v>
      </c>
      <c r="F1044" t="s">
        <v>6160</v>
      </c>
      <c r="G1044" t="s">
        <v>53</v>
      </c>
      <c r="H1044" t="s">
        <v>54</v>
      </c>
      <c r="I1044" t="s">
        <v>147</v>
      </c>
      <c r="J1044" t="s">
        <v>148</v>
      </c>
      <c r="K1044">
        <v>2012</v>
      </c>
      <c r="L1044">
        <v>2012</v>
      </c>
      <c r="M1044">
        <v>1.42</v>
      </c>
      <c r="N1044">
        <v>4.8230000000000004</v>
      </c>
      <c r="O1044">
        <v>129.30000000000001</v>
      </c>
      <c r="P1044">
        <v>1.24</v>
      </c>
      <c r="Q1044">
        <v>0.318</v>
      </c>
      <c r="R1044" t="s">
        <v>72</v>
      </c>
      <c r="S1044" t="s">
        <v>6161</v>
      </c>
      <c r="T1044" t="b">
        <v>1</v>
      </c>
      <c r="U1044" t="s">
        <v>6162</v>
      </c>
      <c r="V1044" t="s">
        <v>6163</v>
      </c>
      <c r="W1044" t="s">
        <v>6164</v>
      </c>
      <c r="X1044" t="s">
        <v>47</v>
      </c>
      <c r="AA1044" t="s">
        <v>153</v>
      </c>
      <c r="AB1044" t="s">
        <v>584</v>
      </c>
      <c r="AC1044" t="s">
        <v>154</v>
      </c>
      <c r="AD1044" t="b">
        <v>0</v>
      </c>
      <c r="AF1044">
        <v>13</v>
      </c>
      <c r="AG1044" t="s">
        <v>155</v>
      </c>
    </row>
    <row r="1045" spans="1:33" x14ac:dyDescent="0.2">
      <c r="A1045">
        <v>106</v>
      </c>
      <c r="B1045" t="s">
        <v>6165</v>
      </c>
      <c r="C1045" t="s">
        <v>34</v>
      </c>
      <c r="D1045" t="s">
        <v>35</v>
      </c>
      <c r="E1045" t="s">
        <v>2350</v>
      </c>
      <c r="F1045" t="s">
        <v>2351</v>
      </c>
      <c r="G1045" t="s">
        <v>377</v>
      </c>
      <c r="H1045" t="s">
        <v>378</v>
      </c>
      <c r="I1045" t="s">
        <v>6166</v>
      </c>
      <c r="J1045" t="s">
        <v>308</v>
      </c>
      <c r="K1045">
        <v>1910</v>
      </c>
      <c r="L1045">
        <v>2004</v>
      </c>
      <c r="M1045">
        <v>3.54</v>
      </c>
      <c r="N1045">
        <v>17.515000000000001</v>
      </c>
      <c r="O1045">
        <v>79</v>
      </c>
      <c r="P1045">
        <v>5</v>
      </c>
      <c r="Q1045">
        <v>0.19700000000000001</v>
      </c>
      <c r="R1045" t="s">
        <v>42</v>
      </c>
      <c r="S1045" t="s">
        <v>6167</v>
      </c>
      <c r="T1045" t="b">
        <v>1</v>
      </c>
      <c r="U1045" t="s">
        <v>6168</v>
      </c>
      <c r="V1045" t="s">
        <v>2355</v>
      </c>
      <c r="W1045" t="s">
        <v>6169</v>
      </c>
      <c r="X1045" t="s">
        <v>47</v>
      </c>
      <c r="AA1045" t="s">
        <v>554</v>
      </c>
      <c r="AB1045" t="s">
        <v>49</v>
      </c>
      <c r="AC1045" t="s">
        <v>6170</v>
      </c>
      <c r="AD1045" t="b">
        <v>0</v>
      </c>
      <c r="AF1045">
        <v>11</v>
      </c>
      <c r="AG1045" t="s">
        <v>198</v>
      </c>
    </row>
    <row r="1046" spans="1:33" x14ac:dyDescent="0.2">
      <c r="A1046">
        <v>303</v>
      </c>
      <c r="B1046" t="s">
        <v>2587</v>
      </c>
      <c r="C1046" t="s">
        <v>34</v>
      </c>
      <c r="D1046" t="s">
        <v>35</v>
      </c>
      <c r="E1046" t="s">
        <v>277</v>
      </c>
      <c r="F1046" t="s">
        <v>278</v>
      </c>
      <c r="G1046" t="s">
        <v>224</v>
      </c>
      <c r="H1046" t="s">
        <v>225</v>
      </c>
      <c r="I1046" t="s">
        <v>2137</v>
      </c>
      <c r="J1046" t="s">
        <v>676</v>
      </c>
      <c r="K1046">
        <v>1967</v>
      </c>
      <c r="L1046">
        <v>1967</v>
      </c>
      <c r="M1046">
        <v>250</v>
      </c>
      <c r="N1046">
        <v>1421.242</v>
      </c>
      <c r="O1046">
        <v>285</v>
      </c>
      <c r="P1046">
        <v>110.05</v>
      </c>
      <c r="Q1046">
        <v>0.63</v>
      </c>
      <c r="R1046" t="s">
        <v>57</v>
      </c>
      <c r="S1046" t="s">
        <v>6171</v>
      </c>
      <c r="T1046" t="b">
        <v>1</v>
      </c>
      <c r="U1046" t="s">
        <v>6172</v>
      </c>
      <c r="V1046" t="s">
        <v>6173</v>
      </c>
      <c r="W1046" t="s">
        <v>6174</v>
      </c>
      <c r="X1046" t="s">
        <v>47</v>
      </c>
      <c r="AA1046" t="s">
        <v>102</v>
      </c>
      <c r="AB1046" t="s">
        <v>6175</v>
      </c>
      <c r="AC1046" t="s">
        <v>103</v>
      </c>
      <c r="AD1046" t="b">
        <v>0</v>
      </c>
      <c r="AF1046">
        <v>2</v>
      </c>
      <c r="AG1046" t="s">
        <v>287</v>
      </c>
    </row>
    <row r="1047" spans="1:33" x14ac:dyDescent="0.2">
      <c r="A1047">
        <v>803</v>
      </c>
      <c r="B1047" t="s">
        <v>6176</v>
      </c>
      <c r="C1047" t="s">
        <v>34</v>
      </c>
      <c r="D1047" t="s">
        <v>35</v>
      </c>
      <c r="E1047" t="s">
        <v>6177</v>
      </c>
      <c r="F1047" t="s">
        <v>6178</v>
      </c>
      <c r="G1047" t="s">
        <v>53</v>
      </c>
      <c r="H1047" t="s">
        <v>54</v>
      </c>
      <c r="I1047" t="s">
        <v>1039</v>
      </c>
      <c r="J1047" t="s">
        <v>243</v>
      </c>
      <c r="K1047">
        <v>2004</v>
      </c>
      <c r="L1047">
        <v>2004</v>
      </c>
      <c r="M1047">
        <v>4.9000000000000004</v>
      </c>
      <c r="N1047">
        <v>17.251999999999999</v>
      </c>
      <c r="O1047">
        <v>132</v>
      </c>
      <c r="P1047">
        <v>4.4000000000000004</v>
      </c>
      <c r="Q1047">
        <v>0.309</v>
      </c>
      <c r="R1047" t="s">
        <v>72</v>
      </c>
      <c r="S1047" t="s">
        <v>6179</v>
      </c>
      <c r="T1047" t="b">
        <v>1</v>
      </c>
      <c r="U1047" t="s">
        <v>6180</v>
      </c>
      <c r="V1047" t="s">
        <v>6181</v>
      </c>
      <c r="W1047" t="s">
        <v>6182</v>
      </c>
      <c r="X1047" t="s">
        <v>47</v>
      </c>
      <c r="AA1047" t="s">
        <v>400</v>
      </c>
      <c r="AB1047" t="s">
        <v>227</v>
      </c>
      <c r="AC1047" t="s">
        <v>402</v>
      </c>
      <c r="AD1047" t="b">
        <v>0</v>
      </c>
      <c r="AF1047">
        <v>13</v>
      </c>
      <c r="AG1047" t="s">
        <v>155</v>
      </c>
    </row>
    <row r="1048" spans="1:33" x14ac:dyDescent="0.2">
      <c r="A1048">
        <v>952</v>
      </c>
      <c r="B1048" t="s">
        <v>6176</v>
      </c>
      <c r="C1048" t="s">
        <v>34</v>
      </c>
      <c r="D1048" t="s">
        <v>35</v>
      </c>
      <c r="E1048" t="s">
        <v>6183</v>
      </c>
      <c r="F1048" t="s">
        <v>6184</v>
      </c>
      <c r="G1048" t="s">
        <v>53</v>
      </c>
      <c r="H1048" t="s">
        <v>54</v>
      </c>
      <c r="I1048" t="s">
        <v>147</v>
      </c>
      <c r="J1048" t="s">
        <v>148</v>
      </c>
      <c r="K1048">
        <v>2004</v>
      </c>
      <c r="L1048">
        <v>2004</v>
      </c>
      <c r="M1048">
        <v>0.27</v>
      </c>
      <c r="N1048">
        <v>1.44</v>
      </c>
      <c r="R1048" t="s">
        <v>72</v>
      </c>
      <c r="S1048" t="s">
        <v>4466</v>
      </c>
      <c r="T1048" t="b">
        <v>1</v>
      </c>
      <c r="U1048" t="s">
        <v>637</v>
      </c>
      <c r="V1048" t="s">
        <v>6185</v>
      </c>
      <c r="W1048" t="s">
        <v>6186</v>
      </c>
      <c r="X1048" t="s">
        <v>47</v>
      </c>
      <c r="AA1048" t="s">
        <v>374</v>
      </c>
      <c r="AC1048" t="s">
        <v>2483</v>
      </c>
      <c r="AD1048" t="b">
        <v>0</v>
      </c>
      <c r="AF1048">
        <v>13</v>
      </c>
      <c r="AG1048" t="s">
        <v>155</v>
      </c>
    </row>
    <row r="1049" spans="1:33" x14ac:dyDescent="0.2">
      <c r="A1049">
        <v>1525</v>
      </c>
      <c r="B1049" t="s">
        <v>6187</v>
      </c>
      <c r="C1049" t="s">
        <v>34</v>
      </c>
      <c r="D1049" t="s">
        <v>35</v>
      </c>
      <c r="E1049" t="s">
        <v>6188</v>
      </c>
      <c r="F1049" t="s">
        <v>6189</v>
      </c>
      <c r="G1049" t="s">
        <v>213</v>
      </c>
      <c r="H1049" t="s">
        <v>83</v>
      </c>
      <c r="I1049" t="s">
        <v>1029</v>
      </c>
      <c r="J1049" t="s">
        <v>225</v>
      </c>
      <c r="K1049">
        <v>2008</v>
      </c>
      <c r="L1049">
        <v>2008</v>
      </c>
      <c r="M1049">
        <v>0.06</v>
      </c>
      <c r="N1049">
        <v>0.32100000000000001</v>
      </c>
      <c r="R1049" t="s">
        <v>84</v>
      </c>
      <c r="S1049" t="s">
        <v>6190</v>
      </c>
      <c r="T1049" t="b">
        <v>1</v>
      </c>
      <c r="U1049" t="s">
        <v>74</v>
      </c>
      <c r="V1049" t="s">
        <v>6191</v>
      </c>
      <c r="W1049" t="s">
        <v>6192</v>
      </c>
      <c r="X1049" t="s">
        <v>47</v>
      </c>
      <c r="AA1049" t="s">
        <v>114</v>
      </c>
      <c r="AC1049" t="s">
        <v>63</v>
      </c>
      <c r="AD1049" t="b">
        <v>0</v>
      </c>
      <c r="AF1049">
        <v>4</v>
      </c>
      <c r="AG1049" t="s">
        <v>321</v>
      </c>
    </row>
    <row r="1050" spans="1:33" x14ac:dyDescent="0.2">
      <c r="A1050">
        <v>2003</v>
      </c>
      <c r="B1050" t="s">
        <v>6193</v>
      </c>
      <c r="C1050" t="s">
        <v>34</v>
      </c>
      <c r="D1050" t="s">
        <v>35</v>
      </c>
      <c r="E1050" t="s">
        <v>6194</v>
      </c>
      <c r="F1050" t="s">
        <v>6195</v>
      </c>
      <c r="G1050" t="s">
        <v>53</v>
      </c>
      <c r="H1050" t="s">
        <v>54</v>
      </c>
      <c r="I1050" t="s">
        <v>604</v>
      </c>
      <c r="J1050" t="s">
        <v>426</v>
      </c>
      <c r="K1050">
        <v>2020</v>
      </c>
      <c r="L1050">
        <v>2020</v>
      </c>
      <c r="M1050">
        <v>8.6</v>
      </c>
      <c r="N1050">
        <v>29.776</v>
      </c>
      <c r="O1050">
        <v>263.2</v>
      </c>
      <c r="P1050">
        <v>4.3</v>
      </c>
      <c r="Q1050">
        <v>0.55600000000000005</v>
      </c>
      <c r="R1050" t="s">
        <v>57</v>
      </c>
      <c r="S1050" t="s">
        <v>6196</v>
      </c>
      <c r="T1050" t="b">
        <v>1</v>
      </c>
      <c r="U1050" t="s">
        <v>6197</v>
      </c>
      <c r="V1050" t="s">
        <v>6198</v>
      </c>
      <c r="W1050" t="s">
        <v>6199</v>
      </c>
      <c r="X1050" t="s">
        <v>47</v>
      </c>
      <c r="AA1050" t="s">
        <v>6200</v>
      </c>
      <c r="AC1050" t="s">
        <v>63</v>
      </c>
      <c r="AD1050" t="b">
        <v>0</v>
      </c>
      <c r="AF1050">
        <v>7</v>
      </c>
      <c r="AG1050" t="s">
        <v>469</v>
      </c>
    </row>
    <row r="1051" spans="1:33" x14ac:dyDescent="0.2">
      <c r="A1051">
        <v>929</v>
      </c>
      <c r="B1051" t="s">
        <v>6201</v>
      </c>
      <c r="C1051" t="s">
        <v>34</v>
      </c>
      <c r="D1051" t="s">
        <v>35</v>
      </c>
      <c r="E1051" t="s">
        <v>682</v>
      </c>
      <c r="F1051" t="s">
        <v>683</v>
      </c>
      <c r="G1051" t="s">
        <v>68</v>
      </c>
      <c r="H1051" t="s">
        <v>69</v>
      </c>
      <c r="I1051" t="s">
        <v>6202</v>
      </c>
      <c r="J1051" t="s">
        <v>119</v>
      </c>
      <c r="K1051">
        <v>1947</v>
      </c>
      <c r="L1051">
        <v>1947</v>
      </c>
      <c r="M1051">
        <v>0.4</v>
      </c>
      <c r="N1051">
        <v>2.2450000000000001</v>
      </c>
      <c r="O1051">
        <v>197.66</v>
      </c>
      <c r="P1051">
        <v>0.3</v>
      </c>
      <c r="Q1051">
        <v>0.37</v>
      </c>
      <c r="R1051" t="s">
        <v>72</v>
      </c>
      <c r="S1051" t="s">
        <v>6203</v>
      </c>
      <c r="T1051" t="b">
        <v>1</v>
      </c>
      <c r="U1051" t="s">
        <v>6204</v>
      </c>
      <c r="V1051" t="s">
        <v>686</v>
      </c>
      <c r="W1051" t="s">
        <v>113</v>
      </c>
      <c r="X1051" t="s">
        <v>47</v>
      </c>
      <c r="AA1051" t="s">
        <v>6205</v>
      </c>
      <c r="AC1051" t="s">
        <v>63</v>
      </c>
      <c r="AD1051" t="b">
        <v>0</v>
      </c>
      <c r="AF1051">
        <v>8</v>
      </c>
      <c r="AG1051" t="s">
        <v>78</v>
      </c>
    </row>
    <row r="1052" spans="1:33" x14ac:dyDescent="0.2">
      <c r="A1052">
        <v>304</v>
      </c>
      <c r="B1052" t="s">
        <v>6206</v>
      </c>
      <c r="C1052" t="s">
        <v>34</v>
      </c>
      <c r="D1052" t="s">
        <v>35</v>
      </c>
      <c r="E1052" t="s">
        <v>36</v>
      </c>
      <c r="F1052" t="s">
        <v>37</v>
      </c>
      <c r="G1052" t="s">
        <v>134</v>
      </c>
      <c r="H1052" t="s">
        <v>135</v>
      </c>
      <c r="I1052" t="s">
        <v>2605</v>
      </c>
      <c r="J1052" t="s">
        <v>1303</v>
      </c>
      <c r="K1052">
        <v>1955</v>
      </c>
      <c r="L1052">
        <v>1955</v>
      </c>
      <c r="M1052">
        <v>2.1</v>
      </c>
      <c r="N1052">
        <v>11.243</v>
      </c>
      <c r="O1052">
        <v>213</v>
      </c>
      <c r="P1052">
        <v>1.39</v>
      </c>
      <c r="Q1052">
        <v>0.41599999999999998</v>
      </c>
      <c r="R1052" t="s">
        <v>42</v>
      </c>
      <c r="S1052" t="s">
        <v>6207</v>
      </c>
      <c r="T1052" t="b">
        <v>1</v>
      </c>
      <c r="U1052" t="s">
        <v>4534</v>
      </c>
      <c r="V1052" t="s">
        <v>45</v>
      </c>
      <c r="W1052" t="s">
        <v>6208</v>
      </c>
      <c r="X1052" t="s">
        <v>47</v>
      </c>
      <c r="AA1052" t="s">
        <v>6206</v>
      </c>
      <c r="AB1052" t="s">
        <v>49</v>
      </c>
      <c r="AC1052" t="s">
        <v>6209</v>
      </c>
      <c r="AD1052" t="b">
        <v>0</v>
      </c>
      <c r="AF1052">
        <v>10</v>
      </c>
      <c r="AG1052" t="s">
        <v>143</v>
      </c>
    </row>
    <row r="1053" spans="1:33" x14ac:dyDescent="0.2">
      <c r="A1053">
        <v>1517</v>
      </c>
      <c r="B1053" t="s">
        <v>6210</v>
      </c>
      <c r="C1053" t="s">
        <v>34</v>
      </c>
      <c r="D1053" t="s">
        <v>35</v>
      </c>
      <c r="E1053" t="s">
        <v>5118</v>
      </c>
      <c r="F1053" t="s">
        <v>5119</v>
      </c>
      <c r="G1053" t="s">
        <v>68</v>
      </c>
      <c r="H1053" t="s">
        <v>69</v>
      </c>
      <c r="I1053" t="s">
        <v>1974</v>
      </c>
      <c r="J1053" t="s">
        <v>1975</v>
      </c>
      <c r="K1053">
        <v>2011</v>
      </c>
      <c r="L1053">
        <v>2011</v>
      </c>
      <c r="M1053">
        <v>1.7</v>
      </c>
      <c r="N1053">
        <v>3.8780000000000001</v>
      </c>
      <c r="O1053">
        <v>62</v>
      </c>
      <c r="P1053">
        <v>3</v>
      </c>
      <c r="Q1053">
        <v>0.157</v>
      </c>
      <c r="R1053" t="s">
        <v>72</v>
      </c>
      <c r="S1053" t="s">
        <v>6211</v>
      </c>
      <c r="T1053" t="b">
        <v>1</v>
      </c>
      <c r="U1053" t="s">
        <v>6212</v>
      </c>
      <c r="V1053" t="s">
        <v>5122</v>
      </c>
      <c r="W1053" t="s">
        <v>5123</v>
      </c>
      <c r="X1053" t="s">
        <v>47</v>
      </c>
      <c r="AA1053" t="s">
        <v>5124</v>
      </c>
      <c r="AB1053" t="s">
        <v>177</v>
      </c>
      <c r="AC1053" t="s">
        <v>5125</v>
      </c>
      <c r="AD1053" t="b">
        <v>0</v>
      </c>
      <c r="AF1053">
        <v>8</v>
      </c>
      <c r="AG1053" t="s">
        <v>78</v>
      </c>
    </row>
    <row r="1054" spans="1:33" x14ac:dyDescent="0.2">
      <c r="A1054">
        <v>305</v>
      </c>
      <c r="B1054" t="s">
        <v>6213</v>
      </c>
      <c r="C1054" t="s">
        <v>34</v>
      </c>
      <c r="D1054" t="s">
        <v>35</v>
      </c>
      <c r="E1054" t="s">
        <v>2350</v>
      </c>
      <c r="F1054" t="s">
        <v>2351</v>
      </c>
      <c r="G1054" t="s">
        <v>134</v>
      </c>
      <c r="H1054" t="s">
        <v>135</v>
      </c>
      <c r="I1054" t="s">
        <v>6214</v>
      </c>
      <c r="J1054" t="s">
        <v>663</v>
      </c>
      <c r="K1054">
        <v>1954</v>
      </c>
      <c r="L1054">
        <v>1954</v>
      </c>
      <c r="M1054">
        <v>17</v>
      </c>
      <c r="N1054">
        <v>69.792000000000002</v>
      </c>
      <c r="O1054">
        <v>501.7</v>
      </c>
      <c r="P1054">
        <v>4.08</v>
      </c>
      <c r="Q1054">
        <v>1.157</v>
      </c>
      <c r="R1054" t="s">
        <v>42</v>
      </c>
      <c r="S1054" t="s">
        <v>6215</v>
      </c>
      <c r="T1054" t="b">
        <v>1</v>
      </c>
      <c r="U1054" t="s">
        <v>6216</v>
      </c>
      <c r="V1054" t="s">
        <v>2355</v>
      </c>
      <c r="W1054" t="s">
        <v>6217</v>
      </c>
      <c r="X1054" t="s">
        <v>47</v>
      </c>
      <c r="AA1054" t="s">
        <v>6218</v>
      </c>
      <c r="AB1054" t="s">
        <v>49</v>
      </c>
      <c r="AC1054" t="s">
        <v>6219</v>
      </c>
      <c r="AD1054" t="b">
        <v>0</v>
      </c>
      <c r="AF1054">
        <v>11</v>
      </c>
      <c r="AG1054" t="s">
        <v>198</v>
      </c>
    </row>
    <row r="1055" spans="1:33" x14ac:dyDescent="0.2">
      <c r="A1055">
        <v>1216</v>
      </c>
      <c r="B1055" t="s">
        <v>6220</v>
      </c>
      <c r="C1055" t="s">
        <v>34</v>
      </c>
      <c r="D1055" t="s">
        <v>35</v>
      </c>
      <c r="E1055" t="s">
        <v>4555</v>
      </c>
      <c r="F1055" t="s">
        <v>4556</v>
      </c>
      <c r="G1055" t="s">
        <v>53</v>
      </c>
      <c r="H1055" t="s">
        <v>54</v>
      </c>
      <c r="I1055" t="s">
        <v>774</v>
      </c>
      <c r="J1055" t="s">
        <v>567</v>
      </c>
      <c r="K1055">
        <v>2000</v>
      </c>
      <c r="L1055">
        <v>2000</v>
      </c>
      <c r="M1055">
        <v>0.95</v>
      </c>
      <c r="N1055">
        <v>3.7959999999999998</v>
      </c>
      <c r="R1055" t="s">
        <v>57</v>
      </c>
      <c r="S1055" t="s">
        <v>1732</v>
      </c>
      <c r="T1055" t="b">
        <v>1</v>
      </c>
      <c r="U1055" t="s">
        <v>754</v>
      </c>
      <c r="V1055" t="s">
        <v>4557</v>
      </c>
      <c r="W1055" t="s">
        <v>4558</v>
      </c>
      <c r="X1055" t="s">
        <v>47</v>
      </c>
      <c r="AA1055" t="s">
        <v>1736</v>
      </c>
      <c r="AC1055" t="s">
        <v>1737</v>
      </c>
      <c r="AD1055" t="b">
        <v>0</v>
      </c>
      <c r="AF1055">
        <v>6</v>
      </c>
      <c r="AG1055" t="s">
        <v>64</v>
      </c>
    </row>
    <row r="1056" spans="1:33" x14ac:dyDescent="0.2">
      <c r="A1056">
        <v>306</v>
      </c>
      <c r="B1056" t="s">
        <v>6221</v>
      </c>
      <c r="C1056" t="s">
        <v>34</v>
      </c>
      <c r="D1056" t="s">
        <v>35</v>
      </c>
      <c r="E1056" t="s">
        <v>404</v>
      </c>
      <c r="F1056" t="s">
        <v>405</v>
      </c>
      <c r="G1056" t="s">
        <v>503</v>
      </c>
      <c r="H1056" t="s">
        <v>462</v>
      </c>
      <c r="I1056" t="s">
        <v>564</v>
      </c>
      <c r="J1056" t="s">
        <v>515</v>
      </c>
      <c r="K1056">
        <v>1985</v>
      </c>
      <c r="L1056">
        <v>1985</v>
      </c>
      <c r="M1056">
        <v>1.8</v>
      </c>
      <c r="N1056">
        <v>10.355</v>
      </c>
      <c r="O1056">
        <v>6.9</v>
      </c>
      <c r="P1056">
        <v>38.450000000000003</v>
      </c>
      <c r="Q1056">
        <v>1.2999999999999999E-2</v>
      </c>
      <c r="R1056" t="s">
        <v>84</v>
      </c>
      <c r="S1056" t="s">
        <v>6222</v>
      </c>
      <c r="T1056" t="b">
        <v>1</v>
      </c>
      <c r="U1056" t="s">
        <v>517</v>
      </c>
      <c r="V1056" t="s">
        <v>408</v>
      </c>
      <c r="W1056" t="s">
        <v>113</v>
      </c>
      <c r="X1056" t="s">
        <v>47</v>
      </c>
      <c r="AA1056" t="s">
        <v>509</v>
      </c>
      <c r="AB1056" t="s">
        <v>337</v>
      </c>
      <c r="AC1056" t="s">
        <v>510</v>
      </c>
      <c r="AD1056" t="b">
        <v>0</v>
      </c>
      <c r="AF1056">
        <v>3</v>
      </c>
      <c r="AG1056" t="s">
        <v>332</v>
      </c>
    </row>
    <row r="1057" spans="1:33" x14ac:dyDescent="0.2">
      <c r="A1057">
        <v>1798</v>
      </c>
      <c r="B1057" t="s">
        <v>6223</v>
      </c>
      <c r="C1057" t="s">
        <v>34</v>
      </c>
      <c r="D1057" t="s">
        <v>35</v>
      </c>
      <c r="E1057" t="s">
        <v>6224</v>
      </c>
      <c r="F1057" t="s">
        <v>6225</v>
      </c>
      <c r="G1057" t="s">
        <v>53</v>
      </c>
      <c r="H1057" t="s">
        <v>54</v>
      </c>
      <c r="I1057" t="s">
        <v>901</v>
      </c>
      <c r="J1057" t="s">
        <v>313</v>
      </c>
      <c r="K1057">
        <v>2016</v>
      </c>
      <c r="L1057">
        <v>2016</v>
      </c>
      <c r="M1057">
        <v>4.72</v>
      </c>
      <c r="N1057">
        <v>11.734</v>
      </c>
      <c r="O1057">
        <v>184.9</v>
      </c>
      <c r="P1057">
        <v>3.3</v>
      </c>
      <c r="Q1057">
        <v>0.39700000000000002</v>
      </c>
      <c r="R1057" t="s">
        <v>57</v>
      </c>
      <c r="S1057" t="s">
        <v>6226</v>
      </c>
      <c r="T1057" t="b">
        <v>1</v>
      </c>
      <c r="U1057" t="s">
        <v>6227</v>
      </c>
      <c r="V1057" t="s">
        <v>6228</v>
      </c>
      <c r="W1057" t="s">
        <v>6229</v>
      </c>
      <c r="X1057" t="s">
        <v>47</v>
      </c>
      <c r="AA1057" t="s">
        <v>906</v>
      </c>
      <c r="AB1057" t="s">
        <v>401</v>
      </c>
      <c r="AC1057" t="s">
        <v>907</v>
      </c>
      <c r="AD1057" t="b">
        <v>0</v>
      </c>
      <c r="AF1057">
        <v>2</v>
      </c>
      <c r="AG1057" t="s">
        <v>287</v>
      </c>
    </row>
    <row r="1058" spans="1:33" x14ac:dyDescent="0.2">
      <c r="A1058">
        <v>307</v>
      </c>
      <c r="B1058" t="s">
        <v>6230</v>
      </c>
      <c r="C1058" t="s">
        <v>34</v>
      </c>
      <c r="D1058" t="s">
        <v>35</v>
      </c>
      <c r="E1058" t="s">
        <v>404</v>
      </c>
      <c r="F1058" t="s">
        <v>405</v>
      </c>
      <c r="G1058" t="s">
        <v>312</v>
      </c>
      <c r="H1058" t="s">
        <v>313</v>
      </c>
      <c r="I1058" t="s">
        <v>1190</v>
      </c>
      <c r="J1058" t="s">
        <v>135</v>
      </c>
      <c r="K1058">
        <v>1920</v>
      </c>
      <c r="L1058">
        <v>1920</v>
      </c>
      <c r="M1058">
        <v>28.7</v>
      </c>
      <c r="N1058">
        <v>175.70400000000001</v>
      </c>
      <c r="O1058">
        <v>20.39</v>
      </c>
      <c r="P1058">
        <v>181.19</v>
      </c>
      <c r="Q1058">
        <v>4.2999999999999997E-2</v>
      </c>
      <c r="R1058" t="s">
        <v>84</v>
      </c>
      <c r="S1058" t="s">
        <v>6231</v>
      </c>
      <c r="T1058" t="b">
        <v>1</v>
      </c>
      <c r="U1058" t="s">
        <v>4091</v>
      </c>
      <c r="V1058" t="s">
        <v>408</v>
      </c>
      <c r="W1058" t="s">
        <v>113</v>
      </c>
      <c r="X1058" t="s">
        <v>47</v>
      </c>
      <c r="AA1058" t="s">
        <v>319</v>
      </c>
      <c r="AB1058" t="s">
        <v>401</v>
      </c>
      <c r="AC1058" t="s">
        <v>320</v>
      </c>
      <c r="AD1058" t="b">
        <v>0</v>
      </c>
      <c r="AF1058">
        <v>4</v>
      </c>
      <c r="AG1058" t="s">
        <v>321</v>
      </c>
    </row>
    <row r="1059" spans="1:33" x14ac:dyDescent="0.2">
      <c r="A1059">
        <v>1017</v>
      </c>
      <c r="B1059" t="s">
        <v>6232</v>
      </c>
      <c r="C1059" t="s">
        <v>34</v>
      </c>
      <c r="D1059" t="s">
        <v>35</v>
      </c>
      <c r="G1059" t="s">
        <v>213</v>
      </c>
      <c r="H1059" t="s">
        <v>83</v>
      </c>
      <c r="I1059" t="s">
        <v>214</v>
      </c>
      <c r="J1059" t="s">
        <v>215</v>
      </c>
      <c r="K1059">
        <v>2000</v>
      </c>
      <c r="L1059">
        <v>2000</v>
      </c>
      <c r="M1059">
        <v>2.5000000000000001E-2</v>
      </c>
      <c r="N1059">
        <v>0.107</v>
      </c>
      <c r="R1059" t="s">
        <v>84</v>
      </c>
      <c r="S1059" t="s">
        <v>6233</v>
      </c>
      <c r="T1059" t="b">
        <v>1</v>
      </c>
      <c r="U1059" t="s">
        <v>754</v>
      </c>
      <c r="V1059" t="s">
        <v>274</v>
      </c>
      <c r="W1059" t="s">
        <v>6234</v>
      </c>
      <c r="X1059" t="s">
        <v>47</v>
      </c>
      <c r="AA1059" t="s">
        <v>4036</v>
      </c>
      <c r="AC1059" t="s">
        <v>4037</v>
      </c>
      <c r="AD1059" t="b">
        <v>0</v>
      </c>
      <c r="AF1059">
        <v>5</v>
      </c>
      <c r="AG1059" t="s">
        <v>89</v>
      </c>
    </row>
    <row r="1060" spans="1:33" x14ac:dyDescent="0.2">
      <c r="A1060">
        <v>1679</v>
      </c>
      <c r="B1060" t="s">
        <v>6235</v>
      </c>
      <c r="C1060" t="s">
        <v>34</v>
      </c>
      <c r="D1060" t="s">
        <v>35</v>
      </c>
      <c r="E1060" t="s">
        <v>6236</v>
      </c>
      <c r="F1060" t="s">
        <v>6237</v>
      </c>
      <c r="G1060" t="s">
        <v>503</v>
      </c>
      <c r="H1060" t="s">
        <v>462</v>
      </c>
      <c r="I1060" t="s">
        <v>564</v>
      </c>
      <c r="J1060" t="s">
        <v>515</v>
      </c>
      <c r="K1060">
        <v>2012</v>
      </c>
      <c r="L1060">
        <v>2012</v>
      </c>
      <c r="M1060">
        <v>1.6</v>
      </c>
      <c r="N1060">
        <v>3.4849999999999999</v>
      </c>
      <c r="O1060">
        <v>193</v>
      </c>
      <c r="P1060">
        <v>1</v>
      </c>
      <c r="Q1060">
        <v>0.45</v>
      </c>
      <c r="R1060" t="s">
        <v>84</v>
      </c>
      <c r="S1060" t="s">
        <v>6238</v>
      </c>
      <c r="T1060" t="b">
        <v>1</v>
      </c>
      <c r="U1060" t="s">
        <v>6239</v>
      </c>
      <c r="V1060" t="s">
        <v>6240</v>
      </c>
      <c r="W1060" t="s">
        <v>6241</v>
      </c>
      <c r="X1060" t="s">
        <v>47</v>
      </c>
      <c r="AA1060" t="s">
        <v>509</v>
      </c>
      <c r="AB1060" t="s">
        <v>262</v>
      </c>
      <c r="AC1060" t="s">
        <v>510</v>
      </c>
      <c r="AD1060" t="b">
        <v>0</v>
      </c>
      <c r="AF1060">
        <v>3</v>
      </c>
      <c r="AG1060" t="s">
        <v>332</v>
      </c>
    </row>
    <row r="1061" spans="1:33" x14ac:dyDescent="0.2">
      <c r="A1061">
        <v>309</v>
      </c>
      <c r="B1061" t="s">
        <v>6242</v>
      </c>
      <c r="C1061" t="s">
        <v>34</v>
      </c>
      <c r="D1061" t="s">
        <v>35</v>
      </c>
      <c r="E1061" t="s">
        <v>36</v>
      </c>
      <c r="F1061" t="s">
        <v>37</v>
      </c>
      <c r="G1061" t="s">
        <v>134</v>
      </c>
      <c r="H1061" t="s">
        <v>135</v>
      </c>
      <c r="I1061" t="s">
        <v>191</v>
      </c>
      <c r="J1061" t="s">
        <v>192</v>
      </c>
      <c r="K1061">
        <v>1983</v>
      </c>
      <c r="L1061">
        <v>1983</v>
      </c>
      <c r="M1061">
        <v>7.5</v>
      </c>
      <c r="N1061">
        <v>37.470999999999997</v>
      </c>
      <c r="O1061">
        <v>80.33</v>
      </c>
      <c r="P1061">
        <v>15</v>
      </c>
      <c r="Q1061">
        <v>0.16800000000000001</v>
      </c>
      <c r="R1061" t="s">
        <v>42</v>
      </c>
      <c r="S1061" t="s">
        <v>6243</v>
      </c>
      <c r="T1061" t="b">
        <v>1</v>
      </c>
      <c r="U1061" t="s">
        <v>3994</v>
      </c>
      <c r="V1061" t="s">
        <v>45</v>
      </c>
      <c r="W1061" t="s">
        <v>6244</v>
      </c>
      <c r="X1061" t="s">
        <v>47</v>
      </c>
      <c r="AA1061" t="s">
        <v>1394</v>
      </c>
      <c r="AB1061" t="s">
        <v>227</v>
      </c>
      <c r="AC1061" t="s">
        <v>1395</v>
      </c>
      <c r="AD1061" t="b">
        <v>0</v>
      </c>
      <c r="AF1061">
        <v>11</v>
      </c>
      <c r="AG1061" t="s">
        <v>198</v>
      </c>
    </row>
    <row r="1062" spans="1:33" x14ac:dyDescent="0.2">
      <c r="A1062">
        <v>1780</v>
      </c>
      <c r="B1062" t="s">
        <v>6245</v>
      </c>
      <c r="C1062" t="s">
        <v>34</v>
      </c>
      <c r="D1062" t="s">
        <v>35</v>
      </c>
      <c r="E1062" t="s">
        <v>6246</v>
      </c>
      <c r="F1062" t="s">
        <v>6247</v>
      </c>
      <c r="G1062" t="s">
        <v>377</v>
      </c>
      <c r="H1062" t="s">
        <v>378</v>
      </c>
      <c r="I1062" t="s">
        <v>1958</v>
      </c>
      <c r="J1062" t="s">
        <v>49</v>
      </c>
      <c r="K1062">
        <v>2008</v>
      </c>
      <c r="L1062">
        <v>2008</v>
      </c>
      <c r="M1062">
        <v>0.11</v>
      </c>
      <c r="N1062">
        <v>0.501</v>
      </c>
      <c r="R1062" t="s">
        <v>42</v>
      </c>
      <c r="S1062" t="s">
        <v>6248</v>
      </c>
      <c r="T1062" t="b">
        <v>1</v>
      </c>
      <c r="U1062" t="s">
        <v>74</v>
      </c>
      <c r="V1062" t="s">
        <v>6249</v>
      </c>
      <c r="W1062" t="s">
        <v>6250</v>
      </c>
      <c r="X1062" t="s">
        <v>47</v>
      </c>
      <c r="AA1062" t="s">
        <v>114</v>
      </c>
      <c r="AC1062" t="s">
        <v>63</v>
      </c>
      <c r="AD1062" t="b">
        <v>0</v>
      </c>
      <c r="AF1062">
        <v>11</v>
      </c>
      <c r="AG1062" t="s">
        <v>198</v>
      </c>
    </row>
    <row r="1063" spans="1:33" x14ac:dyDescent="0.2">
      <c r="A1063">
        <v>1656</v>
      </c>
      <c r="B1063" t="s">
        <v>6251</v>
      </c>
      <c r="C1063" t="s">
        <v>34</v>
      </c>
      <c r="D1063" t="s">
        <v>35</v>
      </c>
      <c r="E1063" t="s">
        <v>6252</v>
      </c>
      <c r="F1063" t="s">
        <v>6253</v>
      </c>
      <c r="G1063" t="s">
        <v>134</v>
      </c>
      <c r="H1063" t="s">
        <v>135</v>
      </c>
      <c r="I1063" t="s">
        <v>2074</v>
      </c>
      <c r="J1063" t="s">
        <v>225</v>
      </c>
      <c r="K1063">
        <v>2007</v>
      </c>
      <c r="L1063">
        <v>2007</v>
      </c>
      <c r="M1063">
        <v>0.21</v>
      </c>
      <c r="N1063">
        <v>0.48299999999999998</v>
      </c>
      <c r="O1063">
        <v>148</v>
      </c>
      <c r="P1063">
        <v>0.18</v>
      </c>
      <c r="Q1063">
        <v>0.32400000000000001</v>
      </c>
      <c r="R1063" t="s">
        <v>42</v>
      </c>
      <c r="S1063" t="s">
        <v>6254</v>
      </c>
      <c r="T1063" t="b">
        <v>1</v>
      </c>
      <c r="U1063" t="s">
        <v>6255</v>
      </c>
      <c r="V1063" t="s">
        <v>6256</v>
      </c>
      <c r="W1063" t="s">
        <v>6257</v>
      </c>
      <c r="X1063" t="s">
        <v>47</v>
      </c>
      <c r="AA1063" t="s">
        <v>114</v>
      </c>
      <c r="AC1063" t="s">
        <v>63</v>
      </c>
      <c r="AD1063" t="b">
        <v>0</v>
      </c>
      <c r="AF1063">
        <v>10</v>
      </c>
      <c r="AG1063" t="s">
        <v>143</v>
      </c>
    </row>
    <row r="1064" spans="1:33" x14ac:dyDescent="0.2">
      <c r="A1064">
        <v>308</v>
      </c>
      <c r="B1064" t="s">
        <v>6258</v>
      </c>
      <c r="C1064" t="s">
        <v>34</v>
      </c>
      <c r="D1064" t="s">
        <v>35</v>
      </c>
      <c r="E1064" t="s">
        <v>2350</v>
      </c>
      <c r="F1064" t="s">
        <v>2351</v>
      </c>
      <c r="G1064" t="s">
        <v>377</v>
      </c>
      <c r="H1064" t="s">
        <v>378</v>
      </c>
      <c r="I1064" t="s">
        <v>6259</v>
      </c>
      <c r="J1064" t="s">
        <v>337</v>
      </c>
      <c r="K1064">
        <v>1957</v>
      </c>
      <c r="L1064">
        <v>1957</v>
      </c>
      <c r="M1064">
        <v>1.1000000000000001</v>
      </c>
      <c r="N1064">
        <v>5.7050000000000001</v>
      </c>
      <c r="O1064">
        <v>236</v>
      </c>
      <c r="P1064">
        <v>0.5</v>
      </c>
      <c r="Q1064">
        <v>0.61099999999999999</v>
      </c>
      <c r="R1064" t="s">
        <v>42</v>
      </c>
      <c r="S1064" t="s">
        <v>6260</v>
      </c>
      <c r="T1064" t="b">
        <v>1</v>
      </c>
      <c r="U1064" t="s">
        <v>6261</v>
      </c>
      <c r="V1064" t="s">
        <v>2355</v>
      </c>
      <c r="W1064" t="s">
        <v>6262</v>
      </c>
      <c r="X1064" t="s">
        <v>47</v>
      </c>
      <c r="AA1064" t="s">
        <v>520</v>
      </c>
      <c r="AB1064" t="s">
        <v>49</v>
      </c>
      <c r="AC1064" t="s">
        <v>6263</v>
      </c>
      <c r="AD1064" t="b">
        <v>0</v>
      </c>
      <c r="AF1064">
        <v>11</v>
      </c>
      <c r="AG1064" t="s">
        <v>198</v>
      </c>
    </row>
    <row r="1065" spans="1:33" x14ac:dyDescent="0.2">
      <c r="A1065">
        <v>1245</v>
      </c>
      <c r="B1065" t="s">
        <v>6264</v>
      </c>
      <c r="C1065" t="s">
        <v>34</v>
      </c>
      <c r="D1065" t="s">
        <v>35</v>
      </c>
      <c r="E1065" t="s">
        <v>1085</v>
      </c>
      <c r="F1065" t="s">
        <v>1086</v>
      </c>
      <c r="G1065" t="s">
        <v>134</v>
      </c>
      <c r="H1065" t="s">
        <v>135</v>
      </c>
      <c r="I1065" t="s">
        <v>202</v>
      </c>
      <c r="J1065" t="s">
        <v>203</v>
      </c>
      <c r="K1065">
        <v>2006</v>
      </c>
      <c r="L1065">
        <v>2006</v>
      </c>
      <c r="M1065">
        <v>2</v>
      </c>
      <c r="N1065">
        <v>9.1539999999999999</v>
      </c>
      <c r="O1065">
        <v>172</v>
      </c>
      <c r="P1065">
        <v>1.45</v>
      </c>
      <c r="Q1065">
        <v>0.38300000000000001</v>
      </c>
      <c r="R1065" t="s">
        <v>42</v>
      </c>
      <c r="S1065" t="s">
        <v>6265</v>
      </c>
      <c r="T1065" t="b">
        <v>1</v>
      </c>
      <c r="U1065" t="s">
        <v>6266</v>
      </c>
      <c r="V1065" t="s">
        <v>1089</v>
      </c>
      <c r="W1065" t="s">
        <v>6267</v>
      </c>
      <c r="X1065" t="s">
        <v>47</v>
      </c>
      <c r="AA1065" t="s">
        <v>6264</v>
      </c>
      <c r="AB1065" t="s">
        <v>49</v>
      </c>
      <c r="AC1065" t="s">
        <v>6268</v>
      </c>
      <c r="AD1065" t="b">
        <v>0</v>
      </c>
      <c r="AF1065">
        <v>10</v>
      </c>
      <c r="AG1065" t="s">
        <v>143</v>
      </c>
    </row>
    <row r="1066" spans="1:33" x14ac:dyDescent="0.2">
      <c r="A1066">
        <v>1617</v>
      </c>
      <c r="B1066" t="s">
        <v>6269</v>
      </c>
      <c r="C1066" t="s">
        <v>34</v>
      </c>
      <c r="D1066" t="s">
        <v>35</v>
      </c>
      <c r="E1066" t="s">
        <v>6270</v>
      </c>
      <c r="F1066" t="s">
        <v>6271</v>
      </c>
      <c r="G1066" t="s">
        <v>483</v>
      </c>
      <c r="H1066" t="s">
        <v>109</v>
      </c>
      <c r="I1066" t="s">
        <v>5433</v>
      </c>
      <c r="J1066" t="s">
        <v>262</v>
      </c>
      <c r="K1066">
        <v>2008</v>
      </c>
      <c r="L1066">
        <v>2008</v>
      </c>
      <c r="M1066">
        <v>0.14399999999999999</v>
      </c>
      <c r="N1066">
        <v>0.189</v>
      </c>
      <c r="R1066" t="s">
        <v>97</v>
      </c>
      <c r="S1066" t="s">
        <v>6272</v>
      </c>
      <c r="T1066" t="b">
        <v>1</v>
      </c>
      <c r="U1066" t="s">
        <v>6273</v>
      </c>
      <c r="V1066" t="s">
        <v>6274</v>
      </c>
      <c r="W1066" t="s">
        <v>6275</v>
      </c>
      <c r="X1066" t="s">
        <v>47</v>
      </c>
      <c r="AA1066" t="s">
        <v>391</v>
      </c>
      <c r="AC1066" t="s">
        <v>63</v>
      </c>
      <c r="AD1066" t="b">
        <v>0</v>
      </c>
      <c r="AF1066">
        <v>1</v>
      </c>
      <c r="AG1066" t="s">
        <v>104</v>
      </c>
    </row>
    <row r="1067" spans="1:33" x14ac:dyDescent="0.2">
      <c r="A1067">
        <v>1347</v>
      </c>
      <c r="B1067" t="s">
        <v>6276</v>
      </c>
      <c r="C1067" t="s">
        <v>34</v>
      </c>
      <c r="D1067" t="s">
        <v>35</v>
      </c>
      <c r="E1067" t="s">
        <v>36</v>
      </c>
      <c r="F1067" t="s">
        <v>37</v>
      </c>
      <c r="G1067" t="s">
        <v>68</v>
      </c>
      <c r="H1067" t="s">
        <v>69</v>
      </c>
      <c r="I1067" t="s">
        <v>413</v>
      </c>
      <c r="J1067" t="s">
        <v>414</v>
      </c>
      <c r="K1067">
        <v>2007</v>
      </c>
      <c r="L1067">
        <v>2007</v>
      </c>
      <c r="M1067">
        <v>2.34</v>
      </c>
      <c r="N1067">
        <v>8.5370000000000008</v>
      </c>
      <c r="O1067">
        <v>39.299999999999997</v>
      </c>
      <c r="P1067">
        <v>6</v>
      </c>
      <c r="Q1067">
        <v>9.2999999999999999E-2</v>
      </c>
      <c r="R1067" t="s">
        <v>72</v>
      </c>
      <c r="S1067" t="s">
        <v>6277</v>
      </c>
      <c r="T1067" t="b">
        <v>1</v>
      </c>
      <c r="U1067" t="s">
        <v>839</v>
      </c>
      <c r="V1067" t="s">
        <v>6278</v>
      </c>
      <c r="W1067" t="s">
        <v>6279</v>
      </c>
      <c r="X1067" t="s">
        <v>47</v>
      </c>
      <c r="AA1067" t="s">
        <v>787</v>
      </c>
      <c r="AB1067" t="s">
        <v>308</v>
      </c>
      <c r="AC1067" t="s">
        <v>5919</v>
      </c>
      <c r="AD1067" t="b">
        <v>0</v>
      </c>
      <c r="AF1067">
        <v>8</v>
      </c>
      <c r="AG1067" t="s">
        <v>78</v>
      </c>
    </row>
    <row r="1068" spans="1:33" x14ac:dyDescent="0.2">
      <c r="A1068">
        <v>1236</v>
      </c>
      <c r="B1068" t="s">
        <v>6280</v>
      </c>
      <c r="C1068" t="s">
        <v>34</v>
      </c>
      <c r="D1068" t="s">
        <v>35</v>
      </c>
      <c r="E1068" t="s">
        <v>6281</v>
      </c>
      <c r="F1068" t="s">
        <v>6282</v>
      </c>
      <c r="G1068" t="s">
        <v>68</v>
      </c>
      <c r="H1068" t="s">
        <v>69</v>
      </c>
      <c r="I1068" t="s">
        <v>413</v>
      </c>
      <c r="J1068" t="s">
        <v>414</v>
      </c>
      <c r="K1068">
        <v>2006</v>
      </c>
      <c r="L1068">
        <v>2006</v>
      </c>
      <c r="M1068">
        <v>4.63</v>
      </c>
      <c r="N1068">
        <v>13.532999999999999</v>
      </c>
      <c r="O1068">
        <v>375</v>
      </c>
      <c r="P1068">
        <v>1.6</v>
      </c>
      <c r="Q1068">
        <v>0.83299999999999996</v>
      </c>
      <c r="R1068" t="s">
        <v>72</v>
      </c>
      <c r="S1068" t="s">
        <v>6283</v>
      </c>
      <c r="T1068" t="b">
        <v>1</v>
      </c>
      <c r="U1068" t="s">
        <v>6284</v>
      </c>
      <c r="V1068" t="s">
        <v>6285</v>
      </c>
      <c r="W1068" t="s">
        <v>6286</v>
      </c>
      <c r="X1068" t="s">
        <v>47</v>
      </c>
      <c r="AA1068" t="s">
        <v>6287</v>
      </c>
      <c r="AB1068" t="s">
        <v>49</v>
      </c>
      <c r="AC1068" t="s">
        <v>6288</v>
      </c>
      <c r="AD1068" t="b">
        <v>0</v>
      </c>
      <c r="AF1068">
        <v>8</v>
      </c>
      <c r="AG1068" t="s">
        <v>78</v>
      </c>
    </row>
    <row r="1069" spans="1:33" x14ac:dyDescent="0.2">
      <c r="A1069">
        <v>1251</v>
      </c>
      <c r="B1069" t="s">
        <v>6289</v>
      </c>
      <c r="C1069" t="s">
        <v>34</v>
      </c>
      <c r="D1069" t="s">
        <v>35</v>
      </c>
      <c r="E1069" t="s">
        <v>6290</v>
      </c>
      <c r="F1069" t="s">
        <v>6291</v>
      </c>
      <c r="G1069" t="s">
        <v>312</v>
      </c>
      <c r="H1069" t="s">
        <v>313</v>
      </c>
      <c r="I1069" t="s">
        <v>314</v>
      </c>
      <c r="J1069" t="s">
        <v>71</v>
      </c>
      <c r="K1069">
        <v>2006</v>
      </c>
      <c r="L1069">
        <v>2006</v>
      </c>
      <c r="M1069">
        <v>1.2</v>
      </c>
      <c r="N1069">
        <v>4.2510000000000003</v>
      </c>
      <c r="O1069">
        <v>180</v>
      </c>
      <c r="P1069">
        <v>0.8</v>
      </c>
      <c r="Q1069">
        <v>0.41699999999999998</v>
      </c>
      <c r="R1069" t="s">
        <v>84</v>
      </c>
      <c r="S1069" t="s">
        <v>6292</v>
      </c>
      <c r="T1069" t="b">
        <v>1</v>
      </c>
      <c r="U1069" t="s">
        <v>1495</v>
      </c>
      <c r="V1069" t="s">
        <v>6293</v>
      </c>
      <c r="W1069" t="s">
        <v>6294</v>
      </c>
      <c r="X1069" t="s">
        <v>47</v>
      </c>
      <c r="AA1069" t="s">
        <v>319</v>
      </c>
      <c r="AB1069" t="s">
        <v>69</v>
      </c>
      <c r="AC1069" t="s">
        <v>320</v>
      </c>
      <c r="AD1069" t="b">
        <v>0</v>
      </c>
      <c r="AF1069">
        <v>4</v>
      </c>
      <c r="AG1069" t="s">
        <v>321</v>
      </c>
    </row>
    <row r="1070" spans="1:33" x14ac:dyDescent="0.2">
      <c r="A1070">
        <v>310</v>
      </c>
      <c r="B1070" t="s">
        <v>6295</v>
      </c>
      <c r="C1070" t="s">
        <v>34</v>
      </c>
      <c r="D1070" t="s">
        <v>35</v>
      </c>
      <c r="E1070" t="s">
        <v>36</v>
      </c>
      <c r="F1070" t="s">
        <v>37</v>
      </c>
      <c r="G1070" t="s">
        <v>224</v>
      </c>
      <c r="H1070" t="s">
        <v>225</v>
      </c>
      <c r="I1070" t="s">
        <v>1544</v>
      </c>
      <c r="J1070" t="s">
        <v>426</v>
      </c>
      <c r="K1070">
        <v>1928</v>
      </c>
      <c r="L1070">
        <v>1928</v>
      </c>
      <c r="M1070">
        <v>206</v>
      </c>
      <c r="N1070">
        <v>1164.664</v>
      </c>
      <c r="O1070">
        <v>361</v>
      </c>
      <c r="P1070">
        <v>72</v>
      </c>
      <c r="Q1070">
        <v>0.79500000000000004</v>
      </c>
      <c r="R1070" t="s">
        <v>57</v>
      </c>
      <c r="S1070" t="s">
        <v>6296</v>
      </c>
      <c r="T1070" t="b">
        <v>1</v>
      </c>
      <c r="U1070" t="s">
        <v>6297</v>
      </c>
      <c r="V1070" t="s">
        <v>45</v>
      </c>
      <c r="W1070" t="s">
        <v>113</v>
      </c>
      <c r="X1070" t="s">
        <v>47</v>
      </c>
      <c r="AA1070" t="s">
        <v>1548</v>
      </c>
      <c r="AB1070" t="s">
        <v>676</v>
      </c>
      <c r="AC1070" t="s">
        <v>1549</v>
      </c>
      <c r="AD1070" t="b">
        <v>0</v>
      </c>
      <c r="AF1070">
        <v>2</v>
      </c>
      <c r="AG1070" t="s">
        <v>287</v>
      </c>
    </row>
    <row r="1071" spans="1:33" x14ac:dyDescent="0.2">
      <c r="A1071">
        <v>311</v>
      </c>
      <c r="B1071" t="s">
        <v>6298</v>
      </c>
      <c r="C1071" t="s">
        <v>34</v>
      </c>
      <c r="D1071" t="s">
        <v>35</v>
      </c>
      <c r="E1071" t="s">
        <v>36</v>
      </c>
      <c r="F1071" t="s">
        <v>37</v>
      </c>
      <c r="G1071" t="s">
        <v>224</v>
      </c>
      <c r="H1071" t="s">
        <v>225</v>
      </c>
      <c r="I1071" t="s">
        <v>1544</v>
      </c>
      <c r="J1071" t="s">
        <v>426</v>
      </c>
      <c r="K1071">
        <v>1946</v>
      </c>
      <c r="L1071">
        <v>1946</v>
      </c>
      <c r="M1071">
        <v>52</v>
      </c>
      <c r="N1071">
        <v>305.59699999999998</v>
      </c>
      <c r="O1071">
        <v>100</v>
      </c>
      <c r="P1071">
        <v>68.12</v>
      </c>
      <c r="Q1071">
        <v>0.21199999999999999</v>
      </c>
      <c r="R1071" t="s">
        <v>97</v>
      </c>
      <c r="S1071" t="s">
        <v>6299</v>
      </c>
      <c r="T1071" t="b">
        <v>1</v>
      </c>
      <c r="U1071" t="s">
        <v>6300</v>
      </c>
      <c r="V1071" t="s">
        <v>45</v>
      </c>
      <c r="W1071" t="s">
        <v>113</v>
      </c>
      <c r="X1071" t="s">
        <v>47</v>
      </c>
      <c r="AA1071" t="s">
        <v>1548</v>
      </c>
      <c r="AB1071" t="s">
        <v>56</v>
      </c>
      <c r="AC1071" t="s">
        <v>1549</v>
      </c>
      <c r="AD1071" t="b">
        <v>0</v>
      </c>
      <c r="AF1071">
        <v>1</v>
      </c>
      <c r="AG1071" t="s">
        <v>104</v>
      </c>
    </row>
    <row r="1072" spans="1:33" x14ac:dyDescent="0.2">
      <c r="A1072">
        <v>944</v>
      </c>
      <c r="B1072" t="s">
        <v>6301</v>
      </c>
      <c r="C1072" t="s">
        <v>34</v>
      </c>
      <c r="D1072" t="s">
        <v>35</v>
      </c>
      <c r="G1072" t="s">
        <v>53</v>
      </c>
      <c r="H1072" t="s">
        <v>54</v>
      </c>
      <c r="I1072" t="s">
        <v>147</v>
      </c>
      <c r="J1072" t="s">
        <v>148</v>
      </c>
      <c r="K1072">
        <v>1997</v>
      </c>
      <c r="L1072">
        <v>1997</v>
      </c>
      <c r="M1072">
        <v>2.4E-2</v>
      </c>
      <c r="N1072">
        <v>7.1999999999999995E-2</v>
      </c>
      <c r="R1072" t="s">
        <v>72</v>
      </c>
      <c r="S1072" t="s">
        <v>4447</v>
      </c>
      <c r="T1072" t="b">
        <v>1</v>
      </c>
      <c r="U1072" t="s">
        <v>111</v>
      </c>
      <c r="V1072" t="s">
        <v>274</v>
      </c>
      <c r="W1072" t="s">
        <v>6302</v>
      </c>
      <c r="X1072" t="s">
        <v>47</v>
      </c>
      <c r="AA1072" t="s">
        <v>374</v>
      </c>
      <c r="AC1072" t="s">
        <v>375</v>
      </c>
      <c r="AD1072" t="b">
        <v>0</v>
      </c>
      <c r="AF1072">
        <v>13</v>
      </c>
      <c r="AG1072" t="s">
        <v>155</v>
      </c>
    </row>
    <row r="1073" spans="1:33" x14ac:dyDescent="0.2">
      <c r="A1073">
        <v>1905</v>
      </c>
      <c r="B1073" t="s">
        <v>6303</v>
      </c>
      <c r="C1073" t="s">
        <v>34</v>
      </c>
      <c r="D1073" t="s">
        <v>35</v>
      </c>
      <c r="E1073" t="s">
        <v>6304</v>
      </c>
      <c r="F1073" t="s">
        <v>6305</v>
      </c>
      <c r="G1073" t="s">
        <v>53</v>
      </c>
      <c r="H1073" t="s">
        <v>54</v>
      </c>
      <c r="I1073" t="s">
        <v>1241</v>
      </c>
      <c r="J1073" t="s">
        <v>1242</v>
      </c>
      <c r="K1073">
        <v>2021</v>
      </c>
      <c r="L1073">
        <v>2021</v>
      </c>
      <c r="M1073">
        <v>5.5</v>
      </c>
      <c r="N1073">
        <v>13.772</v>
      </c>
      <c r="O1073">
        <v>288</v>
      </c>
      <c r="P1073">
        <v>2.2799999999999998</v>
      </c>
      <c r="Q1073">
        <v>0.67</v>
      </c>
      <c r="R1073" t="s">
        <v>57</v>
      </c>
      <c r="S1073" t="s">
        <v>6306</v>
      </c>
      <c r="T1073" t="b">
        <v>1</v>
      </c>
      <c r="U1073" t="s">
        <v>6307</v>
      </c>
      <c r="V1073" t="s">
        <v>6308</v>
      </c>
      <c r="W1073" t="s">
        <v>6309</v>
      </c>
      <c r="X1073" t="s">
        <v>47</v>
      </c>
      <c r="AA1073" t="s">
        <v>114</v>
      </c>
      <c r="AB1073" t="s">
        <v>49</v>
      </c>
      <c r="AC1073" t="s">
        <v>6310</v>
      </c>
      <c r="AD1073" t="b">
        <v>0</v>
      </c>
      <c r="AF1073">
        <v>6</v>
      </c>
      <c r="AG1073" t="s">
        <v>64</v>
      </c>
    </row>
    <row r="1074" spans="1:33" x14ac:dyDescent="0.2">
      <c r="A1074">
        <v>1898</v>
      </c>
      <c r="B1074" t="s">
        <v>6311</v>
      </c>
      <c r="C1074" t="s">
        <v>34</v>
      </c>
      <c r="D1074" t="s">
        <v>35</v>
      </c>
      <c r="E1074" t="s">
        <v>6312</v>
      </c>
      <c r="F1074" t="s">
        <v>6313</v>
      </c>
      <c r="G1074" t="s">
        <v>53</v>
      </c>
      <c r="H1074" t="s">
        <v>54</v>
      </c>
      <c r="I1074" t="s">
        <v>1241</v>
      </c>
      <c r="J1074" t="s">
        <v>1242</v>
      </c>
      <c r="K1074">
        <v>2017</v>
      </c>
      <c r="L1074">
        <v>2017</v>
      </c>
      <c r="M1074">
        <v>0.01</v>
      </c>
      <c r="N1074">
        <v>0.04</v>
      </c>
      <c r="O1074">
        <v>26</v>
      </c>
      <c r="P1074">
        <v>7.0000000000000007E-2</v>
      </c>
      <c r="Q1074">
        <v>0.04</v>
      </c>
      <c r="R1074" t="s">
        <v>57</v>
      </c>
      <c r="S1074" t="s">
        <v>6314</v>
      </c>
      <c r="T1074" t="b">
        <v>1</v>
      </c>
      <c r="U1074" t="s">
        <v>6315</v>
      </c>
      <c r="V1074" t="s">
        <v>6316</v>
      </c>
      <c r="W1074" t="s">
        <v>6317</v>
      </c>
      <c r="X1074" t="s">
        <v>47</v>
      </c>
      <c r="AA1074" t="s">
        <v>6318</v>
      </c>
      <c r="AC1074" t="s">
        <v>63</v>
      </c>
      <c r="AD1074" t="b">
        <v>0</v>
      </c>
      <c r="AF1074">
        <v>6</v>
      </c>
      <c r="AG1074" t="s">
        <v>64</v>
      </c>
    </row>
    <row r="1075" spans="1:33" x14ac:dyDescent="0.2">
      <c r="A1075">
        <v>312</v>
      </c>
      <c r="B1075" t="s">
        <v>6319</v>
      </c>
      <c r="C1075" t="s">
        <v>34</v>
      </c>
      <c r="D1075" t="s">
        <v>35</v>
      </c>
      <c r="E1075" t="s">
        <v>1027</v>
      </c>
      <c r="F1075" t="s">
        <v>1028</v>
      </c>
      <c r="G1075" t="s">
        <v>53</v>
      </c>
      <c r="H1075" t="s">
        <v>54</v>
      </c>
      <c r="I1075" t="s">
        <v>325</v>
      </c>
      <c r="J1075" t="s">
        <v>135</v>
      </c>
      <c r="K1075">
        <v>1967</v>
      </c>
      <c r="L1075">
        <v>1967</v>
      </c>
      <c r="M1075">
        <v>40</v>
      </c>
      <c r="N1075">
        <v>217.70099999999999</v>
      </c>
      <c r="O1075">
        <v>275</v>
      </c>
      <c r="P1075">
        <v>16.010000000000002</v>
      </c>
      <c r="Q1075">
        <v>0.69399999999999995</v>
      </c>
      <c r="R1075" t="s">
        <v>84</v>
      </c>
      <c r="S1075" t="s">
        <v>6320</v>
      </c>
      <c r="T1075" t="b">
        <v>1</v>
      </c>
      <c r="U1075" t="s">
        <v>4853</v>
      </c>
      <c r="V1075" t="s">
        <v>4854</v>
      </c>
      <c r="W1075" t="s">
        <v>6321</v>
      </c>
      <c r="X1075" t="s">
        <v>47</v>
      </c>
      <c r="AA1075" t="s">
        <v>958</v>
      </c>
      <c r="AB1075" t="s">
        <v>1166</v>
      </c>
      <c r="AC1075" t="s">
        <v>959</v>
      </c>
      <c r="AD1075" t="b">
        <v>0</v>
      </c>
      <c r="AF1075">
        <v>3</v>
      </c>
      <c r="AG1075" t="s">
        <v>332</v>
      </c>
    </row>
    <row r="1076" spans="1:33" x14ac:dyDescent="0.2">
      <c r="A1076">
        <v>1192</v>
      </c>
      <c r="B1076" t="s">
        <v>6322</v>
      </c>
      <c r="C1076" t="s">
        <v>34</v>
      </c>
      <c r="D1076" t="s">
        <v>35</v>
      </c>
      <c r="E1076" t="s">
        <v>4112</v>
      </c>
      <c r="F1076" t="s">
        <v>4113</v>
      </c>
      <c r="G1076" t="s">
        <v>242</v>
      </c>
      <c r="H1076" t="s">
        <v>243</v>
      </c>
      <c r="I1076" t="s">
        <v>436</v>
      </c>
      <c r="J1076" t="s">
        <v>437</v>
      </c>
      <c r="K1076">
        <v>1949</v>
      </c>
      <c r="L1076">
        <v>1992</v>
      </c>
      <c r="M1076">
        <v>0.315</v>
      </c>
      <c r="N1076">
        <v>1.157</v>
      </c>
      <c r="O1076">
        <v>139.1</v>
      </c>
      <c r="P1076">
        <v>0.28999999999999998</v>
      </c>
      <c r="Q1076">
        <v>0.30199999999999999</v>
      </c>
      <c r="R1076" t="s">
        <v>72</v>
      </c>
      <c r="S1076" t="s">
        <v>6323</v>
      </c>
      <c r="T1076" t="b">
        <v>1</v>
      </c>
      <c r="U1076" t="s">
        <v>6324</v>
      </c>
      <c r="V1076" t="s">
        <v>4116</v>
      </c>
      <c r="W1076" t="s">
        <v>113</v>
      </c>
      <c r="X1076" t="s">
        <v>47</v>
      </c>
      <c r="AA1076" t="s">
        <v>6325</v>
      </c>
      <c r="AB1076" t="s">
        <v>765</v>
      </c>
      <c r="AC1076" t="s">
        <v>63</v>
      </c>
      <c r="AD1076" t="b">
        <v>0</v>
      </c>
      <c r="AF1076">
        <v>9</v>
      </c>
      <c r="AG1076" t="s">
        <v>251</v>
      </c>
    </row>
    <row r="1077" spans="1:33" x14ac:dyDescent="0.2">
      <c r="A1077">
        <v>314</v>
      </c>
      <c r="B1077" t="s">
        <v>6326</v>
      </c>
      <c r="C1077" t="s">
        <v>34</v>
      </c>
      <c r="D1077" t="s">
        <v>35</v>
      </c>
      <c r="E1077" t="s">
        <v>4905</v>
      </c>
      <c r="F1077" t="s">
        <v>4906</v>
      </c>
      <c r="G1077" t="s">
        <v>224</v>
      </c>
      <c r="H1077" t="s">
        <v>225</v>
      </c>
      <c r="I1077" t="s">
        <v>2631</v>
      </c>
      <c r="J1077" t="s">
        <v>308</v>
      </c>
      <c r="K1077">
        <v>1911</v>
      </c>
      <c r="L1077">
        <v>2013</v>
      </c>
      <c r="M1077">
        <v>3</v>
      </c>
      <c r="N1077">
        <v>21.922999999999998</v>
      </c>
      <c r="O1077">
        <v>13.24</v>
      </c>
      <c r="P1077">
        <v>29</v>
      </c>
      <c r="Q1077">
        <v>2.9000000000000001E-2</v>
      </c>
      <c r="R1077" t="s">
        <v>97</v>
      </c>
      <c r="S1077" t="s">
        <v>2632</v>
      </c>
      <c r="T1077" t="b">
        <v>1</v>
      </c>
      <c r="U1077" t="s">
        <v>6327</v>
      </c>
      <c r="V1077" t="s">
        <v>4909</v>
      </c>
      <c r="W1077" t="s">
        <v>6328</v>
      </c>
      <c r="X1077" t="s">
        <v>47</v>
      </c>
      <c r="AA1077" t="s">
        <v>1548</v>
      </c>
      <c r="AB1077" t="s">
        <v>612</v>
      </c>
      <c r="AC1077" t="s">
        <v>1549</v>
      </c>
      <c r="AD1077" t="b">
        <v>0</v>
      </c>
      <c r="AF1077">
        <v>1</v>
      </c>
      <c r="AG1077" t="s">
        <v>104</v>
      </c>
    </row>
    <row r="1078" spans="1:33" x14ac:dyDescent="0.2">
      <c r="A1078">
        <v>1842</v>
      </c>
      <c r="B1078" t="s">
        <v>6329</v>
      </c>
      <c r="C1078" t="s">
        <v>34</v>
      </c>
      <c r="D1078" t="s">
        <v>35</v>
      </c>
      <c r="E1078" t="s">
        <v>168</v>
      </c>
      <c r="F1078" t="s">
        <v>169</v>
      </c>
      <c r="G1078" t="s">
        <v>224</v>
      </c>
      <c r="H1078" t="s">
        <v>225</v>
      </c>
      <c r="I1078" t="s">
        <v>2137</v>
      </c>
      <c r="J1078" t="s">
        <v>676</v>
      </c>
      <c r="K1078">
        <v>2016</v>
      </c>
      <c r="L1078">
        <v>2016</v>
      </c>
      <c r="M1078">
        <v>3.6</v>
      </c>
      <c r="N1078">
        <v>5.2949999999999999</v>
      </c>
      <c r="O1078">
        <v>539.9</v>
      </c>
      <c r="P1078">
        <v>0.79400000000000004</v>
      </c>
      <c r="Q1078">
        <v>1.2589999999999999</v>
      </c>
      <c r="R1078" t="s">
        <v>57</v>
      </c>
      <c r="S1078" t="s">
        <v>6330</v>
      </c>
      <c r="T1078" t="b">
        <v>1</v>
      </c>
      <c r="U1078" t="s">
        <v>6331</v>
      </c>
      <c r="V1078" t="s">
        <v>174</v>
      </c>
      <c r="W1078" t="s">
        <v>6332</v>
      </c>
      <c r="X1078" t="s">
        <v>47</v>
      </c>
      <c r="AA1078" t="s">
        <v>102</v>
      </c>
      <c r="AC1078" t="s">
        <v>103</v>
      </c>
      <c r="AD1078" t="b">
        <v>0</v>
      </c>
      <c r="AF1078">
        <v>2</v>
      </c>
      <c r="AG1078" t="s">
        <v>287</v>
      </c>
    </row>
    <row r="1079" spans="1:33" x14ac:dyDescent="0.2">
      <c r="A1079">
        <v>839</v>
      </c>
      <c r="B1079" t="s">
        <v>6333</v>
      </c>
      <c r="C1079" t="s">
        <v>34</v>
      </c>
      <c r="D1079" t="s">
        <v>35</v>
      </c>
      <c r="E1079" t="s">
        <v>6334</v>
      </c>
      <c r="F1079" t="s">
        <v>6335</v>
      </c>
      <c r="G1079" t="s">
        <v>53</v>
      </c>
      <c r="H1079" t="s">
        <v>54</v>
      </c>
      <c r="I1079" t="s">
        <v>147</v>
      </c>
      <c r="J1079" t="s">
        <v>148</v>
      </c>
      <c r="K1079">
        <v>2005</v>
      </c>
      <c r="L1079">
        <v>2005</v>
      </c>
      <c r="M1079">
        <v>1.44</v>
      </c>
      <c r="N1079">
        <v>6.8120000000000003</v>
      </c>
      <c r="O1079">
        <v>190</v>
      </c>
      <c r="P1079">
        <v>0.98</v>
      </c>
      <c r="Q1079">
        <v>0.40799999999999997</v>
      </c>
      <c r="R1079" t="s">
        <v>72</v>
      </c>
      <c r="S1079" t="s">
        <v>6336</v>
      </c>
      <c r="T1079" t="b">
        <v>1</v>
      </c>
      <c r="U1079" t="s">
        <v>6337</v>
      </c>
      <c r="V1079" t="s">
        <v>6338</v>
      </c>
      <c r="W1079" t="s">
        <v>6339</v>
      </c>
      <c r="X1079" t="s">
        <v>47</v>
      </c>
      <c r="AA1079" t="s">
        <v>153</v>
      </c>
      <c r="AB1079" t="s">
        <v>119</v>
      </c>
      <c r="AC1079" t="s">
        <v>154</v>
      </c>
      <c r="AD1079" t="b">
        <v>0</v>
      </c>
      <c r="AF1079">
        <v>13</v>
      </c>
      <c r="AG1079" t="s">
        <v>155</v>
      </c>
    </row>
    <row r="1080" spans="1:33" x14ac:dyDescent="0.2">
      <c r="A1080">
        <v>1642</v>
      </c>
      <c r="B1080" t="s">
        <v>6340</v>
      </c>
      <c r="C1080" t="s">
        <v>34</v>
      </c>
      <c r="D1080" t="s">
        <v>35</v>
      </c>
      <c r="E1080" t="s">
        <v>3518</v>
      </c>
      <c r="F1080" t="s">
        <v>3519</v>
      </c>
      <c r="G1080" t="s">
        <v>53</v>
      </c>
      <c r="H1080" t="s">
        <v>54</v>
      </c>
      <c r="I1080" t="s">
        <v>147</v>
      </c>
      <c r="J1080" t="s">
        <v>148</v>
      </c>
      <c r="K1080">
        <v>2011</v>
      </c>
      <c r="L1080">
        <v>2011</v>
      </c>
      <c r="M1080">
        <v>6.65</v>
      </c>
      <c r="N1080">
        <v>20.091000000000001</v>
      </c>
      <c r="O1080">
        <v>605</v>
      </c>
      <c r="P1080">
        <v>1.55</v>
      </c>
      <c r="Q1080">
        <v>1.1919999999999999</v>
      </c>
      <c r="R1080" t="s">
        <v>72</v>
      </c>
      <c r="S1080" t="s">
        <v>4452</v>
      </c>
      <c r="T1080" t="b">
        <v>1</v>
      </c>
      <c r="U1080" t="s">
        <v>6341</v>
      </c>
      <c r="V1080" t="s">
        <v>4195</v>
      </c>
      <c r="W1080" t="s">
        <v>6342</v>
      </c>
      <c r="X1080" t="s">
        <v>47</v>
      </c>
      <c r="AA1080" t="s">
        <v>400</v>
      </c>
      <c r="AB1080" t="s">
        <v>119</v>
      </c>
      <c r="AC1080" t="s">
        <v>402</v>
      </c>
      <c r="AD1080" t="b">
        <v>0</v>
      </c>
      <c r="AF1080">
        <v>13</v>
      </c>
      <c r="AG1080" t="s">
        <v>155</v>
      </c>
    </row>
    <row r="1081" spans="1:33" x14ac:dyDescent="0.2">
      <c r="A1081">
        <v>2118</v>
      </c>
      <c r="B1081" t="s">
        <v>6343</v>
      </c>
      <c r="C1081" t="s">
        <v>34</v>
      </c>
      <c r="D1081" t="s">
        <v>35</v>
      </c>
      <c r="E1081" t="s">
        <v>6344</v>
      </c>
      <c r="F1081" t="s">
        <v>6345</v>
      </c>
      <c r="G1081" t="s">
        <v>503</v>
      </c>
      <c r="H1081" t="s">
        <v>462</v>
      </c>
      <c r="I1081" t="s">
        <v>504</v>
      </c>
      <c r="J1081" t="s">
        <v>109</v>
      </c>
      <c r="K1081">
        <v>2023</v>
      </c>
      <c r="L1081">
        <v>2023</v>
      </c>
      <c r="M1081">
        <v>0.99</v>
      </c>
      <c r="N1081">
        <v>4.47</v>
      </c>
      <c r="O1081">
        <v>67</v>
      </c>
      <c r="P1081">
        <v>1.89</v>
      </c>
      <c r="Q1081">
        <v>0.14599999999999999</v>
      </c>
      <c r="R1081" t="s">
        <v>84</v>
      </c>
      <c r="S1081" t="s">
        <v>6346</v>
      </c>
      <c r="T1081" t="b">
        <v>1</v>
      </c>
      <c r="U1081" t="s">
        <v>6347</v>
      </c>
      <c r="V1081" t="s">
        <v>6348</v>
      </c>
      <c r="W1081" t="s">
        <v>6349</v>
      </c>
      <c r="X1081" t="s">
        <v>47</v>
      </c>
      <c r="AA1081" t="s">
        <v>509</v>
      </c>
      <c r="AC1081" t="s">
        <v>510</v>
      </c>
      <c r="AD1081" t="b">
        <v>0</v>
      </c>
      <c r="AF1081">
        <v>3</v>
      </c>
      <c r="AG1081" t="s">
        <v>332</v>
      </c>
    </row>
    <row r="1082" spans="1:33" x14ac:dyDescent="0.2">
      <c r="A1082">
        <v>293</v>
      </c>
      <c r="B1082" t="s">
        <v>6350</v>
      </c>
      <c r="C1082" t="s">
        <v>34</v>
      </c>
      <c r="D1082" t="s">
        <v>35</v>
      </c>
      <c r="E1082" t="s">
        <v>253</v>
      </c>
      <c r="F1082" t="s">
        <v>254</v>
      </c>
      <c r="G1082" t="s">
        <v>242</v>
      </c>
      <c r="H1082" t="s">
        <v>243</v>
      </c>
      <c r="I1082" t="s">
        <v>255</v>
      </c>
      <c r="J1082" t="s">
        <v>256</v>
      </c>
      <c r="K1082">
        <v>1946</v>
      </c>
      <c r="L1082">
        <v>2023</v>
      </c>
      <c r="M1082">
        <v>93.76</v>
      </c>
      <c r="N1082">
        <v>375</v>
      </c>
      <c r="O1082">
        <v>35</v>
      </c>
      <c r="P1082">
        <v>300</v>
      </c>
      <c r="Q1082">
        <v>8.6999999999999994E-2</v>
      </c>
      <c r="R1082" t="s">
        <v>42</v>
      </c>
      <c r="S1082" t="s">
        <v>6351</v>
      </c>
      <c r="T1082" t="b">
        <v>1</v>
      </c>
      <c r="U1082" t="s">
        <v>6352</v>
      </c>
      <c r="V1082" t="s">
        <v>259</v>
      </c>
      <c r="W1082" t="s">
        <v>6353</v>
      </c>
      <c r="X1082" t="s">
        <v>47</v>
      </c>
      <c r="AA1082" t="s">
        <v>261</v>
      </c>
      <c r="AB1082" t="s">
        <v>56</v>
      </c>
      <c r="AC1082" t="s">
        <v>263</v>
      </c>
      <c r="AD1082" t="b">
        <v>0</v>
      </c>
      <c r="AF1082">
        <v>10</v>
      </c>
      <c r="AG1082" t="s">
        <v>143</v>
      </c>
    </row>
    <row r="1083" spans="1:33" x14ac:dyDescent="0.2">
      <c r="A1083">
        <v>1978</v>
      </c>
      <c r="B1083" t="s">
        <v>6354</v>
      </c>
      <c r="C1083" t="s">
        <v>34</v>
      </c>
      <c r="D1083" t="s">
        <v>35</v>
      </c>
      <c r="E1083" t="s">
        <v>1290</v>
      </c>
      <c r="F1083" t="s">
        <v>1291</v>
      </c>
      <c r="G1083" t="s">
        <v>503</v>
      </c>
      <c r="H1083" t="s">
        <v>462</v>
      </c>
      <c r="I1083" t="s">
        <v>1292</v>
      </c>
      <c r="J1083" t="s">
        <v>1077</v>
      </c>
      <c r="K1083">
        <v>2019</v>
      </c>
      <c r="L1083">
        <v>2019</v>
      </c>
      <c r="M1083">
        <v>9</v>
      </c>
      <c r="N1083">
        <v>41.107999999999997</v>
      </c>
      <c r="O1083">
        <v>347</v>
      </c>
      <c r="P1083">
        <v>3.2</v>
      </c>
      <c r="Q1083">
        <v>0.78100000000000003</v>
      </c>
      <c r="R1083" t="s">
        <v>84</v>
      </c>
      <c r="S1083" t="s">
        <v>1540</v>
      </c>
      <c r="T1083" t="b">
        <v>1</v>
      </c>
      <c r="U1083" t="s">
        <v>6355</v>
      </c>
      <c r="V1083" t="s">
        <v>1295</v>
      </c>
      <c r="W1083" t="s">
        <v>6356</v>
      </c>
      <c r="X1083" t="s">
        <v>47</v>
      </c>
      <c r="AA1083" t="s">
        <v>1297</v>
      </c>
      <c r="AB1083" t="s">
        <v>1697</v>
      </c>
      <c r="AC1083" t="s">
        <v>1298</v>
      </c>
      <c r="AD1083" t="b">
        <v>0</v>
      </c>
      <c r="AF1083">
        <v>3</v>
      </c>
      <c r="AG1083" t="s">
        <v>332</v>
      </c>
    </row>
    <row r="1084" spans="1:33" x14ac:dyDescent="0.2">
      <c r="A1084">
        <v>495</v>
      </c>
      <c r="B1084" t="s">
        <v>6357</v>
      </c>
      <c r="C1084" t="s">
        <v>34</v>
      </c>
      <c r="D1084" t="s">
        <v>35</v>
      </c>
      <c r="E1084" t="s">
        <v>557</v>
      </c>
      <c r="F1084" t="s">
        <v>558</v>
      </c>
      <c r="G1084" t="s">
        <v>68</v>
      </c>
      <c r="H1084" t="s">
        <v>69</v>
      </c>
      <c r="I1084" t="s">
        <v>445</v>
      </c>
      <c r="J1084" t="s">
        <v>203</v>
      </c>
      <c r="K1084">
        <v>1949</v>
      </c>
      <c r="L1084">
        <v>2019</v>
      </c>
      <c r="M1084">
        <v>22.5</v>
      </c>
      <c r="N1084">
        <v>97.587999999999994</v>
      </c>
      <c r="O1084">
        <v>424.4</v>
      </c>
      <c r="P1084">
        <v>6</v>
      </c>
      <c r="Q1084">
        <v>1.042</v>
      </c>
      <c r="R1084" t="s">
        <v>72</v>
      </c>
      <c r="S1084" t="s">
        <v>6358</v>
      </c>
      <c r="T1084" t="b">
        <v>1</v>
      </c>
      <c r="U1084" t="s">
        <v>6359</v>
      </c>
      <c r="V1084" t="s">
        <v>561</v>
      </c>
      <c r="W1084" t="s">
        <v>6360</v>
      </c>
      <c r="X1084" t="s">
        <v>47</v>
      </c>
      <c r="AA1084" t="s">
        <v>445</v>
      </c>
      <c r="AB1084" t="s">
        <v>308</v>
      </c>
      <c r="AC1084" t="s">
        <v>3000</v>
      </c>
      <c r="AD1084" t="b">
        <v>0</v>
      </c>
      <c r="AF1084">
        <v>8</v>
      </c>
      <c r="AG1084" t="s">
        <v>78</v>
      </c>
    </row>
    <row r="1085" spans="1:33" x14ac:dyDescent="0.2">
      <c r="A1085">
        <v>827</v>
      </c>
      <c r="B1085" t="s">
        <v>6361</v>
      </c>
      <c r="C1085" t="s">
        <v>296</v>
      </c>
      <c r="D1085" t="s">
        <v>297</v>
      </c>
      <c r="E1085" t="s">
        <v>1200</v>
      </c>
      <c r="F1085" t="s">
        <v>1201</v>
      </c>
      <c r="G1085" t="s">
        <v>53</v>
      </c>
      <c r="H1085" t="s">
        <v>54</v>
      </c>
      <c r="I1085" t="s">
        <v>1241</v>
      </c>
      <c r="J1085" t="s">
        <v>1242</v>
      </c>
      <c r="K1085">
        <v>2005</v>
      </c>
      <c r="L1085">
        <v>2005</v>
      </c>
      <c r="M1085">
        <v>56</v>
      </c>
      <c r="N1085">
        <v>86.492000000000004</v>
      </c>
      <c r="O1085">
        <v>450</v>
      </c>
      <c r="P1085">
        <v>17</v>
      </c>
      <c r="Q1085">
        <v>0.93400000000000005</v>
      </c>
      <c r="R1085" t="s">
        <v>57</v>
      </c>
      <c r="S1085" t="s">
        <v>6362</v>
      </c>
      <c r="T1085" t="b">
        <v>1</v>
      </c>
      <c r="U1085" t="s">
        <v>6363</v>
      </c>
      <c r="V1085" t="s">
        <v>1204</v>
      </c>
      <c r="W1085" t="s">
        <v>6364</v>
      </c>
      <c r="X1085" t="s">
        <v>47</v>
      </c>
      <c r="AA1085" t="s">
        <v>1247</v>
      </c>
      <c r="AB1085" t="s">
        <v>192</v>
      </c>
      <c r="AC1085" t="s">
        <v>1248</v>
      </c>
      <c r="AD1085" t="b">
        <v>0</v>
      </c>
      <c r="AF1085">
        <v>6</v>
      </c>
      <c r="AG1085" t="s">
        <v>64</v>
      </c>
    </row>
    <row r="1086" spans="1:33" x14ac:dyDescent="0.2">
      <c r="A1086">
        <v>315</v>
      </c>
      <c r="B1086" t="s">
        <v>6365</v>
      </c>
      <c r="C1086" t="s">
        <v>34</v>
      </c>
      <c r="D1086" t="s">
        <v>35</v>
      </c>
      <c r="E1086" t="s">
        <v>2350</v>
      </c>
      <c r="F1086" t="s">
        <v>2351</v>
      </c>
      <c r="G1086" t="s">
        <v>134</v>
      </c>
      <c r="H1086" t="s">
        <v>135</v>
      </c>
      <c r="I1086" t="s">
        <v>191</v>
      </c>
      <c r="J1086" t="s">
        <v>192</v>
      </c>
      <c r="K1086">
        <v>1932</v>
      </c>
      <c r="L1086">
        <v>1932</v>
      </c>
      <c r="M1086">
        <v>25</v>
      </c>
      <c r="N1086">
        <v>105.628</v>
      </c>
      <c r="O1086">
        <v>253.89</v>
      </c>
      <c r="P1086">
        <v>12.1</v>
      </c>
      <c r="Q1086">
        <v>0.57399999999999995</v>
      </c>
      <c r="R1086" t="s">
        <v>42</v>
      </c>
      <c r="S1086" t="s">
        <v>6366</v>
      </c>
      <c r="T1086" t="b">
        <v>1</v>
      </c>
      <c r="U1086" t="s">
        <v>6367</v>
      </c>
      <c r="V1086" t="s">
        <v>6368</v>
      </c>
      <c r="W1086" t="s">
        <v>6369</v>
      </c>
      <c r="X1086" t="s">
        <v>47</v>
      </c>
      <c r="AA1086" t="s">
        <v>479</v>
      </c>
      <c r="AB1086" t="s">
        <v>49</v>
      </c>
      <c r="AC1086" t="s">
        <v>6370</v>
      </c>
      <c r="AD1086" t="b">
        <v>0</v>
      </c>
      <c r="AF1086">
        <v>11</v>
      </c>
      <c r="AG1086" t="s">
        <v>198</v>
      </c>
    </row>
    <row r="1087" spans="1:33" x14ac:dyDescent="0.2">
      <c r="A1087">
        <v>316</v>
      </c>
      <c r="B1087" t="s">
        <v>6371</v>
      </c>
      <c r="C1087" t="s">
        <v>34</v>
      </c>
      <c r="D1087" t="s">
        <v>35</v>
      </c>
      <c r="E1087" t="s">
        <v>899</v>
      </c>
      <c r="F1087" t="s">
        <v>900</v>
      </c>
      <c r="G1087" t="s">
        <v>53</v>
      </c>
      <c r="H1087" t="s">
        <v>54</v>
      </c>
      <c r="I1087" t="s">
        <v>2383</v>
      </c>
      <c r="J1087" t="s">
        <v>1072</v>
      </c>
      <c r="K1087">
        <v>1988</v>
      </c>
      <c r="L1087">
        <v>1988</v>
      </c>
      <c r="M1087">
        <v>5</v>
      </c>
      <c r="N1087">
        <v>12.978</v>
      </c>
      <c r="O1087">
        <v>61</v>
      </c>
      <c r="P1087">
        <v>8.42</v>
      </c>
      <c r="Q1087">
        <v>0.16500000000000001</v>
      </c>
      <c r="R1087" t="s">
        <v>57</v>
      </c>
      <c r="S1087" t="s">
        <v>6372</v>
      </c>
      <c r="T1087" t="b">
        <v>1</v>
      </c>
      <c r="U1087" t="s">
        <v>1059</v>
      </c>
      <c r="V1087" t="s">
        <v>904</v>
      </c>
      <c r="W1087" t="s">
        <v>2385</v>
      </c>
      <c r="X1087" t="s">
        <v>47</v>
      </c>
      <c r="AA1087" t="s">
        <v>6025</v>
      </c>
      <c r="AB1087" t="s">
        <v>192</v>
      </c>
      <c r="AC1087" t="s">
        <v>2387</v>
      </c>
      <c r="AD1087" t="b">
        <v>0</v>
      </c>
      <c r="AF1087">
        <v>7</v>
      </c>
      <c r="AG1087" t="s">
        <v>469</v>
      </c>
    </row>
    <row r="1088" spans="1:33" x14ac:dyDescent="0.2">
      <c r="A1088">
        <v>1110</v>
      </c>
      <c r="B1088" t="s">
        <v>6373</v>
      </c>
      <c r="C1088" t="s">
        <v>34</v>
      </c>
      <c r="D1088" t="s">
        <v>35</v>
      </c>
      <c r="G1088" t="s">
        <v>242</v>
      </c>
      <c r="H1088" t="s">
        <v>243</v>
      </c>
      <c r="I1088" t="s">
        <v>1302</v>
      </c>
      <c r="J1088" t="s">
        <v>1303</v>
      </c>
      <c r="K1088">
        <v>1999</v>
      </c>
      <c r="L1088">
        <v>1999</v>
      </c>
      <c r="M1088">
        <v>2.1999999999999999E-2</v>
      </c>
      <c r="N1088">
        <v>3.1E-2</v>
      </c>
      <c r="R1088" t="s">
        <v>72</v>
      </c>
      <c r="S1088" t="s">
        <v>6374</v>
      </c>
      <c r="T1088" t="b">
        <v>1</v>
      </c>
      <c r="U1088" t="s">
        <v>571</v>
      </c>
      <c r="V1088" t="s">
        <v>274</v>
      </c>
      <c r="W1088" t="s">
        <v>6375</v>
      </c>
      <c r="X1088" t="s">
        <v>47</v>
      </c>
      <c r="AA1088" t="s">
        <v>3114</v>
      </c>
      <c r="AC1088" t="s">
        <v>3115</v>
      </c>
      <c r="AD1088" t="b">
        <v>0</v>
      </c>
      <c r="AF1088">
        <v>9</v>
      </c>
      <c r="AG1088" t="s">
        <v>251</v>
      </c>
    </row>
    <row r="1089" spans="1:33" x14ac:dyDescent="0.2">
      <c r="A1089">
        <v>1800</v>
      </c>
      <c r="B1089" t="s">
        <v>6376</v>
      </c>
      <c r="C1089" t="s">
        <v>34</v>
      </c>
      <c r="D1089" t="s">
        <v>35</v>
      </c>
      <c r="E1089" t="s">
        <v>168</v>
      </c>
      <c r="F1089" t="s">
        <v>169</v>
      </c>
      <c r="G1089" t="s">
        <v>242</v>
      </c>
      <c r="H1089" t="s">
        <v>243</v>
      </c>
      <c r="I1089" t="s">
        <v>2767</v>
      </c>
      <c r="J1089" t="s">
        <v>1072</v>
      </c>
      <c r="K1089">
        <v>2015</v>
      </c>
      <c r="L1089">
        <v>2015</v>
      </c>
      <c r="M1089">
        <v>2.1</v>
      </c>
      <c r="N1089">
        <v>5.3449999999999998</v>
      </c>
      <c r="O1089">
        <v>83.5</v>
      </c>
      <c r="P1089">
        <v>3</v>
      </c>
      <c r="Q1089">
        <v>0.19400000000000001</v>
      </c>
      <c r="R1089" t="s">
        <v>42</v>
      </c>
      <c r="S1089" t="s">
        <v>2768</v>
      </c>
      <c r="T1089" t="b">
        <v>1</v>
      </c>
      <c r="U1089" t="s">
        <v>3444</v>
      </c>
      <c r="V1089" t="s">
        <v>174</v>
      </c>
      <c r="W1089" t="s">
        <v>6377</v>
      </c>
      <c r="X1089" t="s">
        <v>47</v>
      </c>
      <c r="AA1089" t="s">
        <v>2159</v>
      </c>
      <c r="AB1089" t="s">
        <v>177</v>
      </c>
      <c r="AC1089" t="s">
        <v>2772</v>
      </c>
      <c r="AD1089" t="b">
        <v>0</v>
      </c>
      <c r="AF1089">
        <v>10</v>
      </c>
      <c r="AG1089" t="s">
        <v>143</v>
      </c>
    </row>
    <row r="1090" spans="1:33" x14ac:dyDescent="0.2">
      <c r="A1090">
        <v>937</v>
      </c>
      <c r="B1090" t="s">
        <v>6378</v>
      </c>
      <c r="C1090" t="s">
        <v>34</v>
      </c>
      <c r="D1090" t="s">
        <v>35</v>
      </c>
      <c r="E1090" t="s">
        <v>6379</v>
      </c>
      <c r="F1090" t="s">
        <v>6380</v>
      </c>
      <c r="G1090" t="s">
        <v>68</v>
      </c>
      <c r="H1090" t="s">
        <v>69</v>
      </c>
      <c r="I1090" t="s">
        <v>5131</v>
      </c>
      <c r="J1090" t="s">
        <v>567</v>
      </c>
      <c r="K1090">
        <v>2004</v>
      </c>
      <c r="L1090">
        <v>2004</v>
      </c>
      <c r="M1090">
        <v>0.2</v>
      </c>
      <c r="N1090">
        <v>0.46899999999999997</v>
      </c>
      <c r="R1090" t="s">
        <v>72</v>
      </c>
      <c r="S1090" t="s">
        <v>6381</v>
      </c>
      <c r="T1090" t="b">
        <v>1</v>
      </c>
      <c r="U1090" t="s">
        <v>637</v>
      </c>
      <c r="V1090" t="s">
        <v>6382</v>
      </c>
      <c r="W1090" t="s">
        <v>113</v>
      </c>
      <c r="X1090" t="s">
        <v>47</v>
      </c>
      <c r="AA1090" t="s">
        <v>114</v>
      </c>
      <c r="AC1090" t="s">
        <v>63</v>
      </c>
      <c r="AD1090" t="b">
        <v>0</v>
      </c>
      <c r="AF1090">
        <v>8</v>
      </c>
      <c r="AG1090" t="s">
        <v>78</v>
      </c>
    </row>
    <row r="1091" spans="1:33" x14ac:dyDescent="0.2">
      <c r="A1091">
        <v>1963</v>
      </c>
      <c r="B1091" t="s">
        <v>6383</v>
      </c>
      <c r="C1091" t="s">
        <v>34</v>
      </c>
      <c r="D1091" t="s">
        <v>35</v>
      </c>
      <c r="E1091" t="s">
        <v>6384</v>
      </c>
      <c r="F1091" t="s">
        <v>6385</v>
      </c>
      <c r="G1091" t="s">
        <v>53</v>
      </c>
      <c r="H1091" t="s">
        <v>54</v>
      </c>
      <c r="I1091" t="s">
        <v>811</v>
      </c>
      <c r="J1091" t="s">
        <v>94</v>
      </c>
      <c r="K1091">
        <v>2020</v>
      </c>
      <c r="L1091">
        <v>2020</v>
      </c>
      <c r="M1091">
        <v>4.9000000000000004</v>
      </c>
      <c r="N1091">
        <v>13.542999999999999</v>
      </c>
      <c r="O1091">
        <v>129.1</v>
      </c>
      <c r="P1091">
        <v>4.5</v>
      </c>
      <c r="Q1091">
        <v>0.30199999999999999</v>
      </c>
      <c r="R1091" t="s">
        <v>57</v>
      </c>
      <c r="S1091" t="s">
        <v>6386</v>
      </c>
      <c r="T1091" t="b">
        <v>1</v>
      </c>
      <c r="U1091" t="s">
        <v>6387</v>
      </c>
      <c r="V1091" t="s">
        <v>6388</v>
      </c>
      <c r="W1091" t="s">
        <v>6389</v>
      </c>
      <c r="X1091" t="s">
        <v>47</v>
      </c>
      <c r="AA1091" t="s">
        <v>114</v>
      </c>
      <c r="AC1091" t="s">
        <v>63</v>
      </c>
      <c r="AD1091" t="b">
        <v>0</v>
      </c>
      <c r="AF1091">
        <v>6</v>
      </c>
      <c r="AG1091" t="s">
        <v>64</v>
      </c>
    </row>
    <row r="1092" spans="1:33" x14ac:dyDescent="0.2">
      <c r="A1092">
        <v>1040</v>
      </c>
      <c r="B1092" t="s">
        <v>6390</v>
      </c>
      <c r="C1092" t="s">
        <v>34</v>
      </c>
      <c r="D1092" t="s">
        <v>35</v>
      </c>
      <c r="E1092" t="s">
        <v>6391</v>
      </c>
      <c r="F1092" t="s">
        <v>6392</v>
      </c>
      <c r="G1092" t="s">
        <v>503</v>
      </c>
      <c r="H1092" t="s">
        <v>462</v>
      </c>
      <c r="I1092" t="s">
        <v>2930</v>
      </c>
      <c r="J1092" t="s">
        <v>676</v>
      </c>
      <c r="K1092">
        <v>2006</v>
      </c>
      <c r="L1092">
        <v>2006</v>
      </c>
      <c r="M1092">
        <v>7.4999999999999997E-2</v>
      </c>
      <c r="N1092">
        <v>0.35</v>
      </c>
      <c r="O1092">
        <v>98</v>
      </c>
      <c r="P1092">
        <v>0.14000000000000001</v>
      </c>
      <c r="Q1092">
        <v>0.14899999999999999</v>
      </c>
      <c r="R1092" t="s">
        <v>84</v>
      </c>
      <c r="S1092" t="s">
        <v>6393</v>
      </c>
      <c r="T1092" t="b">
        <v>1</v>
      </c>
      <c r="U1092" t="s">
        <v>6394</v>
      </c>
      <c r="V1092" t="s">
        <v>6395</v>
      </c>
      <c r="W1092" t="s">
        <v>6396</v>
      </c>
      <c r="X1092" t="s">
        <v>47</v>
      </c>
      <c r="AA1092" t="s">
        <v>583</v>
      </c>
      <c r="AC1092" t="s">
        <v>585</v>
      </c>
      <c r="AD1092" t="b">
        <v>0</v>
      </c>
      <c r="AF1092">
        <v>3</v>
      </c>
      <c r="AG1092" t="s">
        <v>332</v>
      </c>
    </row>
    <row r="1093" spans="1:33" x14ac:dyDescent="0.2">
      <c r="A1093">
        <v>1244</v>
      </c>
      <c r="B1093" t="s">
        <v>6397</v>
      </c>
      <c r="C1093" t="s">
        <v>34</v>
      </c>
      <c r="D1093" t="s">
        <v>35</v>
      </c>
      <c r="E1093" t="s">
        <v>6398</v>
      </c>
      <c r="F1093" t="s">
        <v>6399</v>
      </c>
      <c r="G1093" t="s">
        <v>224</v>
      </c>
      <c r="H1093" t="s">
        <v>225</v>
      </c>
      <c r="I1093" t="s">
        <v>1569</v>
      </c>
      <c r="J1093" t="s">
        <v>485</v>
      </c>
      <c r="K1093">
        <v>2006</v>
      </c>
      <c r="L1093">
        <v>2006</v>
      </c>
      <c r="M1093">
        <v>1.5</v>
      </c>
      <c r="N1093">
        <v>5.2880000000000003</v>
      </c>
      <c r="O1093">
        <v>130</v>
      </c>
      <c r="P1093">
        <v>1.5</v>
      </c>
      <c r="Q1093">
        <v>0.27800000000000002</v>
      </c>
      <c r="R1093" t="s">
        <v>97</v>
      </c>
      <c r="S1093" t="s">
        <v>6400</v>
      </c>
      <c r="T1093" t="b">
        <v>1</v>
      </c>
      <c r="U1093" t="s">
        <v>2990</v>
      </c>
      <c r="V1093" t="s">
        <v>6401</v>
      </c>
      <c r="W1093" t="s">
        <v>6402</v>
      </c>
      <c r="X1093" t="s">
        <v>47</v>
      </c>
      <c r="AA1093" t="s">
        <v>1548</v>
      </c>
      <c r="AB1093" t="s">
        <v>203</v>
      </c>
      <c r="AC1093" t="s">
        <v>1549</v>
      </c>
      <c r="AD1093" t="b">
        <v>0</v>
      </c>
      <c r="AF1093">
        <v>1</v>
      </c>
      <c r="AG1093" t="s">
        <v>104</v>
      </c>
    </row>
    <row r="1094" spans="1:33" x14ac:dyDescent="0.2">
      <c r="A1094">
        <v>1051</v>
      </c>
      <c r="B1094" t="s">
        <v>6403</v>
      </c>
      <c r="C1094" t="s">
        <v>34</v>
      </c>
      <c r="D1094" t="s">
        <v>35</v>
      </c>
      <c r="G1094" t="s">
        <v>213</v>
      </c>
      <c r="H1094" t="s">
        <v>83</v>
      </c>
      <c r="I1094" t="s">
        <v>6404</v>
      </c>
      <c r="J1094" t="s">
        <v>308</v>
      </c>
      <c r="K1094">
        <v>1999</v>
      </c>
      <c r="L1094">
        <v>1999</v>
      </c>
      <c r="M1094">
        <v>1.7999999999999999E-2</v>
      </c>
      <c r="N1094">
        <v>4.0000000000000001E-3</v>
      </c>
      <c r="O1094">
        <v>32</v>
      </c>
      <c r="R1094" t="s">
        <v>84</v>
      </c>
      <c r="S1094" t="s">
        <v>6405</v>
      </c>
      <c r="T1094" t="b">
        <v>1</v>
      </c>
      <c r="U1094" t="s">
        <v>571</v>
      </c>
      <c r="V1094" t="s">
        <v>274</v>
      </c>
      <c r="W1094" t="s">
        <v>6406</v>
      </c>
      <c r="X1094" t="s">
        <v>47</v>
      </c>
      <c r="AA1094" t="s">
        <v>114</v>
      </c>
      <c r="AC1094" t="s">
        <v>63</v>
      </c>
      <c r="AD1094" t="b">
        <v>0</v>
      </c>
      <c r="AF1094">
        <v>4</v>
      </c>
      <c r="AG1094" t="s">
        <v>321</v>
      </c>
    </row>
    <row r="1095" spans="1:33" x14ac:dyDescent="0.2">
      <c r="A1095">
        <v>1133</v>
      </c>
      <c r="B1095" t="s">
        <v>6407</v>
      </c>
      <c r="C1095" t="s">
        <v>34</v>
      </c>
      <c r="D1095" t="s">
        <v>35</v>
      </c>
      <c r="E1095" t="s">
        <v>6408</v>
      </c>
      <c r="F1095" t="s">
        <v>6409</v>
      </c>
      <c r="G1095" t="s">
        <v>312</v>
      </c>
      <c r="H1095" t="s">
        <v>313</v>
      </c>
      <c r="I1095" t="s">
        <v>314</v>
      </c>
      <c r="J1095" t="s">
        <v>71</v>
      </c>
      <c r="K1095">
        <v>1997</v>
      </c>
      <c r="L1095">
        <v>2002</v>
      </c>
      <c r="M1095">
        <v>0.35499999999999998</v>
      </c>
      <c r="N1095">
        <v>0.64600000000000002</v>
      </c>
      <c r="O1095">
        <v>23.5</v>
      </c>
      <c r="P1095">
        <v>1.75</v>
      </c>
      <c r="Q1095">
        <v>5.6000000000000001E-2</v>
      </c>
      <c r="R1095" t="s">
        <v>84</v>
      </c>
      <c r="S1095" t="s">
        <v>6410</v>
      </c>
      <c r="T1095" t="b">
        <v>1</v>
      </c>
      <c r="U1095" t="s">
        <v>247</v>
      </c>
      <c r="V1095" t="s">
        <v>6411</v>
      </c>
      <c r="W1095" t="s">
        <v>6412</v>
      </c>
      <c r="X1095" t="s">
        <v>47</v>
      </c>
      <c r="AA1095" t="s">
        <v>319</v>
      </c>
      <c r="AC1095" t="s">
        <v>320</v>
      </c>
      <c r="AD1095" t="b">
        <v>0</v>
      </c>
      <c r="AF1095">
        <v>4</v>
      </c>
      <c r="AG1095" t="s">
        <v>321</v>
      </c>
    </row>
    <row r="1096" spans="1:33" x14ac:dyDescent="0.2">
      <c r="A1096">
        <v>1711</v>
      </c>
      <c r="B1096" t="s">
        <v>6413</v>
      </c>
      <c r="C1096" t="s">
        <v>34</v>
      </c>
      <c r="D1096" t="s">
        <v>35</v>
      </c>
      <c r="E1096" t="s">
        <v>6414</v>
      </c>
      <c r="F1096" t="s">
        <v>6415</v>
      </c>
      <c r="G1096" t="s">
        <v>1859</v>
      </c>
      <c r="H1096" t="s">
        <v>203</v>
      </c>
      <c r="I1096" t="s">
        <v>2550</v>
      </c>
      <c r="J1096" t="s">
        <v>584</v>
      </c>
      <c r="K1096">
        <v>2012</v>
      </c>
      <c r="L1096">
        <v>2012</v>
      </c>
      <c r="M1096">
        <v>7.4999999999999997E-2</v>
      </c>
      <c r="N1096">
        <v>0.34</v>
      </c>
      <c r="O1096">
        <v>134.4</v>
      </c>
      <c r="P1096">
        <v>0.1</v>
      </c>
      <c r="Q1096">
        <v>0.219</v>
      </c>
      <c r="R1096" t="s">
        <v>84</v>
      </c>
      <c r="S1096" t="s">
        <v>6416</v>
      </c>
      <c r="T1096" t="b">
        <v>1</v>
      </c>
      <c r="U1096" t="s">
        <v>6417</v>
      </c>
      <c r="V1096" t="s">
        <v>6418</v>
      </c>
      <c r="W1096" t="s">
        <v>6419</v>
      </c>
      <c r="X1096" t="s">
        <v>47</v>
      </c>
      <c r="AA1096" t="s">
        <v>1548</v>
      </c>
      <c r="AC1096" t="s">
        <v>1549</v>
      </c>
      <c r="AD1096" t="b">
        <v>0</v>
      </c>
      <c r="AF1096">
        <v>3</v>
      </c>
      <c r="AG1096" t="s">
        <v>332</v>
      </c>
    </row>
    <row r="1097" spans="1:33" x14ac:dyDescent="0.2">
      <c r="A1097">
        <v>1805</v>
      </c>
      <c r="B1097" t="s">
        <v>6420</v>
      </c>
      <c r="C1097" t="s">
        <v>34</v>
      </c>
      <c r="D1097" t="s">
        <v>35</v>
      </c>
      <c r="E1097" t="s">
        <v>36</v>
      </c>
      <c r="F1097" t="s">
        <v>37</v>
      </c>
      <c r="G1097" t="s">
        <v>38</v>
      </c>
      <c r="H1097" t="s">
        <v>39</v>
      </c>
      <c r="I1097" t="s">
        <v>40</v>
      </c>
      <c r="J1097" t="s">
        <v>41</v>
      </c>
      <c r="K1097">
        <v>2015</v>
      </c>
      <c r="L1097">
        <v>2015</v>
      </c>
      <c r="M1097">
        <v>2.2000000000000002</v>
      </c>
      <c r="N1097">
        <v>3.6789999999999998</v>
      </c>
      <c r="O1097">
        <v>10</v>
      </c>
      <c r="P1097">
        <v>22</v>
      </c>
      <c r="Q1097">
        <v>2.9000000000000001E-2</v>
      </c>
      <c r="R1097" t="s">
        <v>42</v>
      </c>
      <c r="S1097" t="s">
        <v>6421</v>
      </c>
      <c r="T1097" t="b">
        <v>1</v>
      </c>
      <c r="U1097" t="s">
        <v>6422</v>
      </c>
      <c r="V1097" t="s">
        <v>45</v>
      </c>
      <c r="W1097" t="s">
        <v>6423</v>
      </c>
      <c r="X1097" t="s">
        <v>47</v>
      </c>
      <c r="AA1097" t="s">
        <v>48</v>
      </c>
      <c r="AB1097" t="s">
        <v>177</v>
      </c>
      <c r="AC1097" t="s">
        <v>50</v>
      </c>
      <c r="AD1097" t="b">
        <v>0</v>
      </c>
      <c r="AF1097">
        <v>12</v>
      </c>
      <c r="AG1097" t="s">
        <v>51</v>
      </c>
    </row>
    <row r="1098" spans="1:33" x14ac:dyDescent="0.2">
      <c r="A1098">
        <v>1235</v>
      </c>
      <c r="B1098" t="s">
        <v>6424</v>
      </c>
      <c r="C1098" t="s">
        <v>34</v>
      </c>
      <c r="D1098" t="s">
        <v>35</v>
      </c>
      <c r="E1098" t="s">
        <v>168</v>
      </c>
      <c r="F1098" t="s">
        <v>169</v>
      </c>
      <c r="G1098" t="s">
        <v>312</v>
      </c>
      <c r="H1098" t="s">
        <v>313</v>
      </c>
      <c r="I1098" t="s">
        <v>1049</v>
      </c>
      <c r="J1098" t="s">
        <v>171</v>
      </c>
      <c r="K1098">
        <v>2006</v>
      </c>
      <c r="L1098">
        <v>2006</v>
      </c>
      <c r="M1098">
        <v>3</v>
      </c>
      <c r="N1098">
        <v>11.287000000000001</v>
      </c>
      <c r="O1098">
        <v>265</v>
      </c>
      <c r="P1098">
        <v>1.4</v>
      </c>
      <c r="Q1098">
        <v>0.59499999999999997</v>
      </c>
      <c r="R1098" t="s">
        <v>84</v>
      </c>
      <c r="S1098" t="s">
        <v>6425</v>
      </c>
      <c r="T1098" t="b">
        <v>1</v>
      </c>
      <c r="U1098" t="s">
        <v>1305</v>
      </c>
      <c r="V1098" t="s">
        <v>174</v>
      </c>
      <c r="W1098" t="s">
        <v>6426</v>
      </c>
      <c r="X1098" t="s">
        <v>47</v>
      </c>
      <c r="AA1098" t="s">
        <v>615</v>
      </c>
      <c r="AB1098" t="s">
        <v>612</v>
      </c>
      <c r="AC1098" t="s">
        <v>616</v>
      </c>
      <c r="AD1098" t="b">
        <v>0</v>
      </c>
      <c r="AF1098">
        <v>4</v>
      </c>
      <c r="AG1098" t="s">
        <v>321</v>
      </c>
    </row>
    <row r="1099" spans="1:33" x14ac:dyDescent="0.2">
      <c r="A1099">
        <v>1346</v>
      </c>
      <c r="B1099" t="s">
        <v>6427</v>
      </c>
      <c r="C1099" t="s">
        <v>34</v>
      </c>
      <c r="D1099" t="s">
        <v>35</v>
      </c>
      <c r="E1099" t="s">
        <v>168</v>
      </c>
      <c r="F1099" t="s">
        <v>169</v>
      </c>
      <c r="G1099" t="s">
        <v>312</v>
      </c>
      <c r="H1099" t="s">
        <v>313</v>
      </c>
      <c r="I1099" t="s">
        <v>1049</v>
      </c>
      <c r="J1099" t="s">
        <v>171</v>
      </c>
      <c r="K1099">
        <v>2007</v>
      </c>
      <c r="L1099">
        <v>2007</v>
      </c>
      <c r="M1099">
        <v>5</v>
      </c>
      <c r="N1099">
        <v>19.690000000000001</v>
      </c>
      <c r="O1099">
        <v>130</v>
      </c>
      <c r="P1099">
        <v>5.0999999999999996</v>
      </c>
      <c r="Q1099">
        <v>0.27200000000000002</v>
      </c>
      <c r="R1099" t="s">
        <v>84</v>
      </c>
      <c r="S1099" t="s">
        <v>6425</v>
      </c>
      <c r="T1099" t="b">
        <v>1</v>
      </c>
      <c r="U1099" t="s">
        <v>6428</v>
      </c>
      <c r="V1099" t="s">
        <v>174</v>
      </c>
      <c r="W1099" t="s">
        <v>6426</v>
      </c>
      <c r="X1099" t="s">
        <v>47</v>
      </c>
      <c r="AA1099" t="s">
        <v>615</v>
      </c>
      <c r="AB1099" t="s">
        <v>83</v>
      </c>
      <c r="AC1099" t="s">
        <v>616</v>
      </c>
      <c r="AD1099" t="b">
        <v>0</v>
      </c>
      <c r="AF1099">
        <v>4</v>
      </c>
      <c r="AG1099" t="s">
        <v>321</v>
      </c>
    </row>
    <row r="1100" spans="1:33" x14ac:dyDescent="0.2">
      <c r="A1100">
        <v>1529</v>
      </c>
      <c r="B1100" t="s">
        <v>6429</v>
      </c>
      <c r="C1100" t="s">
        <v>34</v>
      </c>
      <c r="D1100" t="s">
        <v>35</v>
      </c>
      <c r="E1100" t="s">
        <v>6430</v>
      </c>
      <c r="F1100" t="s">
        <v>6431</v>
      </c>
      <c r="G1100" t="s">
        <v>53</v>
      </c>
      <c r="H1100" t="s">
        <v>54</v>
      </c>
      <c r="I1100" t="s">
        <v>118</v>
      </c>
      <c r="J1100" t="s">
        <v>119</v>
      </c>
      <c r="K1100">
        <v>2011</v>
      </c>
      <c r="L1100">
        <v>2011</v>
      </c>
      <c r="M1100">
        <v>1.2</v>
      </c>
      <c r="N1100">
        <v>2.9750000000000001</v>
      </c>
      <c r="O1100">
        <v>320</v>
      </c>
      <c r="P1100">
        <v>0.434</v>
      </c>
      <c r="Q1100">
        <v>0.76800000000000002</v>
      </c>
      <c r="R1100" t="s">
        <v>84</v>
      </c>
      <c r="S1100" t="s">
        <v>6432</v>
      </c>
      <c r="T1100" t="b">
        <v>1</v>
      </c>
      <c r="U1100" t="s">
        <v>6433</v>
      </c>
      <c r="V1100" t="s">
        <v>6434</v>
      </c>
      <c r="W1100" t="s">
        <v>6435</v>
      </c>
      <c r="X1100" t="s">
        <v>47</v>
      </c>
      <c r="AA1100" t="s">
        <v>114</v>
      </c>
      <c r="AC1100" t="s">
        <v>63</v>
      </c>
      <c r="AD1100" t="b">
        <v>0</v>
      </c>
      <c r="AF1100">
        <v>5</v>
      </c>
      <c r="AG1100" t="s">
        <v>89</v>
      </c>
    </row>
    <row r="1101" spans="1:33" x14ac:dyDescent="0.2">
      <c r="A1101">
        <v>554</v>
      </c>
      <c r="B1101" t="s">
        <v>6436</v>
      </c>
      <c r="C1101" t="s">
        <v>34</v>
      </c>
      <c r="D1101" t="s">
        <v>35</v>
      </c>
      <c r="E1101" t="s">
        <v>1200</v>
      </c>
      <c r="F1101" t="s">
        <v>1201</v>
      </c>
      <c r="G1101" t="s">
        <v>53</v>
      </c>
      <c r="H1101" t="s">
        <v>54</v>
      </c>
      <c r="I1101" t="s">
        <v>55</v>
      </c>
      <c r="J1101" t="s">
        <v>56</v>
      </c>
      <c r="K1101">
        <v>1988</v>
      </c>
      <c r="L1101">
        <v>1988</v>
      </c>
      <c r="M1101">
        <v>11</v>
      </c>
      <c r="N1101">
        <v>41.703000000000003</v>
      </c>
      <c r="O1101">
        <v>125</v>
      </c>
      <c r="P1101">
        <v>10.5</v>
      </c>
      <c r="Q1101">
        <v>0.29099999999999998</v>
      </c>
      <c r="R1101" t="s">
        <v>57</v>
      </c>
      <c r="S1101" t="s">
        <v>6437</v>
      </c>
      <c r="T1101" t="b">
        <v>1</v>
      </c>
      <c r="U1101" t="s">
        <v>6438</v>
      </c>
      <c r="V1101" t="s">
        <v>1204</v>
      </c>
      <c r="W1101" t="s">
        <v>113</v>
      </c>
      <c r="X1101" t="s">
        <v>47</v>
      </c>
      <c r="AA1101" t="s">
        <v>741</v>
      </c>
      <c r="AB1101" t="s">
        <v>612</v>
      </c>
      <c r="AC1101" t="s">
        <v>742</v>
      </c>
      <c r="AD1101" t="b">
        <v>0</v>
      </c>
      <c r="AF1101">
        <v>6</v>
      </c>
      <c r="AG1101" t="s">
        <v>64</v>
      </c>
    </row>
    <row r="1102" spans="1:33" x14ac:dyDescent="0.2">
      <c r="A1102">
        <v>1276</v>
      </c>
      <c r="B1102" t="s">
        <v>6439</v>
      </c>
      <c r="C1102" t="s">
        <v>34</v>
      </c>
      <c r="D1102" t="s">
        <v>35</v>
      </c>
      <c r="E1102" t="s">
        <v>6440</v>
      </c>
      <c r="F1102" t="s">
        <v>6441</v>
      </c>
      <c r="G1102" t="s">
        <v>312</v>
      </c>
      <c r="H1102" t="s">
        <v>313</v>
      </c>
      <c r="I1102" t="s">
        <v>493</v>
      </c>
      <c r="J1102" t="s">
        <v>409</v>
      </c>
      <c r="K1102">
        <v>2006</v>
      </c>
      <c r="L1102">
        <v>2006</v>
      </c>
      <c r="M1102">
        <v>0.3</v>
      </c>
      <c r="N1102">
        <v>1.0169999999999999</v>
      </c>
      <c r="O1102">
        <v>48</v>
      </c>
      <c r="P1102">
        <v>0.87</v>
      </c>
      <c r="Q1102">
        <v>9.6000000000000002E-2</v>
      </c>
      <c r="R1102" t="s">
        <v>84</v>
      </c>
      <c r="S1102" t="s">
        <v>6442</v>
      </c>
      <c r="T1102" t="b">
        <v>1</v>
      </c>
      <c r="U1102" t="s">
        <v>6443</v>
      </c>
      <c r="V1102" t="s">
        <v>6444</v>
      </c>
      <c r="W1102" t="s">
        <v>6445</v>
      </c>
      <c r="X1102" t="s">
        <v>47</v>
      </c>
      <c r="AA1102" t="s">
        <v>498</v>
      </c>
      <c r="AC1102" t="s">
        <v>63</v>
      </c>
      <c r="AD1102" t="b">
        <v>0</v>
      </c>
      <c r="AF1102">
        <v>4</v>
      </c>
      <c r="AG1102" t="s">
        <v>321</v>
      </c>
    </row>
    <row r="1103" spans="1:33" x14ac:dyDescent="0.2">
      <c r="A1103">
        <v>317</v>
      </c>
      <c r="B1103" t="s">
        <v>6446</v>
      </c>
      <c r="C1103" t="s">
        <v>34</v>
      </c>
      <c r="D1103" t="s">
        <v>35</v>
      </c>
      <c r="E1103" t="s">
        <v>36</v>
      </c>
      <c r="F1103" t="s">
        <v>37</v>
      </c>
      <c r="G1103" t="s">
        <v>53</v>
      </c>
      <c r="H1103" t="s">
        <v>54</v>
      </c>
      <c r="I1103" t="s">
        <v>325</v>
      </c>
      <c r="J1103" t="s">
        <v>135</v>
      </c>
      <c r="K1103">
        <v>1980</v>
      </c>
      <c r="L1103">
        <v>1980</v>
      </c>
      <c r="M1103">
        <v>206</v>
      </c>
      <c r="N1103">
        <v>1081.607</v>
      </c>
      <c r="O1103">
        <v>450</v>
      </c>
      <c r="P1103">
        <v>52.02</v>
      </c>
      <c r="Q1103">
        <v>1.0669999999999999</v>
      </c>
      <c r="R1103" t="s">
        <v>84</v>
      </c>
      <c r="S1103" t="s">
        <v>6447</v>
      </c>
      <c r="T1103" t="b">
        <v>1</v>
      </c>
      <c r="U1103" t="s">
        <v>6448</v>
      </c>
      <c r="V1103" t="s">
        <v>45</v>
      </c>
      <c r="W1103" t="s">
        <v>113</v>
      </c>
      <c r="X1103" t="s">
        <v>47</v>
      </c>
      <c r="AA1103" t="s">
        <v>4161</v>
      </c>
      <c r="AB1103" t="s">
        <v>401</v>
      </c>
      <c r="AC1103" t="s">
        <v>4162</v>
      </c>
      <c r="AD1103" t="b">
        <v>0</v>
      </c>
      <c r="AF1103">
        <v>3</v>
      </c>
      <c r="AG1103" t="s">
        <v>332</v>
      </c>
    </row>
    <row r="1104" spans="1:33" x14ac:dyDescent="0.2">
      <c r="A1104">
        <v>1195</v>
      </c>
      <c r="B1104" t="s">
        <v>6449</v>
      </c>
      <c r="C1104" t="s">
        <v>34</v>
      </c>
      <c r="D1104" t="s">
        <v>35</v>
      </c>
      <c r="G1104" t="s">
        <v>242</v>
      </c>
      <c r="H1104" t="s">
        <v>243</v>
      </c>
      <c r="I1104" t="s">
        <v>1273</v>
      </c>
      <c r="J1104" t="s">
        <v>409</v>
      </c>
      <c r="K1104">
        <v>1981</v>
      </c>
      <c r="L1104">
        <v>1981</v>
      </c>
      <c r="M1104">
        <v>0.02</v>
      </c>
      <c r="N1104">
        <v>0.06</v>
      </c>
      <c r="R1104" t="s">
        <v>72</v>
      </c>
      <c r="S1104" t="s">
        <v>6450</v>
      </c>
      <c r="T1104" t="b">
        <v>1</v>
      </c>
      <c r="U1104" t="s">
        <v>1069</v>
      </c>
      <c r="V1104" t="s">
        <v>274</v>
      </c>
      <c r="W1104" t="s">
        <v>6451</v>
      </c>
      <c r="X1104" t="s">
        <v>47</v>
      </c>
      <c r="AA1104" t="s">
        <v>1276</v>
      </c>
      <c r="AC1104" t="s">
        <v>1277</v>
      </c>
      <c r="AD1104" t="b">
        <v>0</v>
      </c>
      <c r="AF1104">
        <v>8</v>
      </c>
      <c r="AG1104" t="s">
        <v>78</v>
      </c>
    </row>
    <row r="1105" spans="1:33" x14ac:dyDescent="0.2">
      <c r="A1105">
        <v>318</v>
      </c>
      <c r="B1105" t="s">
        <v>6452</v>
      </c>
      <c r="C1105" t="s">
        <v>34</v>
      </c>
      <c r="D1105" t="s">
        <v>35</v>
      </c>
      <c r="E1105" t="s">
        <v>1085</v>
      </c>
      <c r="F1105" t="s">
        <v>1086</v>
      </c>
      <c r="G1105" t="s">
        <v>134</v>
      </c>
      <c r="H1105" t="s">
        <v>135</v>
      </c>
      <c r="I1105" t="s">
        <v>3432</v>
      </c>
      <c r="J1105" t="s">
        <v>401</v>
      </c>
      <c r="K1105">
        <v>1953</v>
      </c>
      <c r="L1105">
        <v>1953</v>
      </c>
      <c r="M1105">
        <v>15</v>
      </c>
      <c r="N1105">
        <v>82.31</v>
      </c>
      <c r="O1105">
        <v>319</v>
      </c>
      <c r="P1105">
        <v>5.35</v>
      </c>
      <c r="Q1105">
        <v>0.77900000000000003</v>
      </c>
      <c r="R1105" t="s">
        <v>42</v>
      </c>
      <c r="S1105" t="s">
        <v>6453</v>
      </c>
      <c r="T1105" t="b">
        <v>1</v>
      </c>
      <c r="U1105" t="s">
        <v>6454</v>
      </c>
      <c r="V1105" t="s">
        <v>1089</v>
      </c>
      <c r="W1105" t="s">
        <v>6455</v>
      </c>
      <c r="X1105" t="s">
        <v>47</v>
      </c>
      <c r="AA1105" t="s">
        <v>1962</v>
      </c>
      <c r="AB1105" t="s">
        <v>49</v>
      </c>
      <c r="AC1105" t="s">
        <v>6456</v>
      </c>
      <c r="AD1105" t="b">
        <v>0</v>
      </c>
      <c r="AF1105">
        <v>10</v>
      </c>
      <c r="AG1105" t="s">
        <v>143</v>
      </c>
    </row>
    <row r="1106" spans="1:33" x14ac:dyDescent="0.2">
      <c r="A1106">
        <v>883</v>
      </c>
      <c r="B1106" t="s">
        <v>6457</v>
      </c>
      <c r="C1106" t="s">
        <v>34</v>
      </c>
      <c r="D1106" t="s">
        <v>35</v>
      </c>
      <c r="E1106" t="s">
        <v>6458</v>
      </c>
      <c r="F1106" t="s">
        <v>6459</v>
      </c>
      <c r="G1106" t="s">
        <v>224</v>
      </c>
      <c r="H1106" t="s">
        <v>225</v>
      </c>
      <c r="I1106" t="s">
        <v>2960</v>
      </c>
      <c r="J1106" t="s">
        <v>612</v>
      </c>
      <c r="K1106">
        <v>2004</v>
      </c>
      <c r="L1106">
        <v>2004</v>
      </c>
      <c r="M1106">
        <v>1.4999999999999999E-2</v>
      </c>
      <c r="N1106">
        <v>0.106</v>
      </c>
      <c r="O1106">
        <v>176</v>
      </c>
      <c r="P1106">
        <v>1.6E-2</v>
      </c>
      <c r="Q1106">
        <v>0.26</v>
      </c>
      <c r="R1106" t="s">
        <v>97</v>
      </c>
      <c r="S1106" t="s">
        <v>6460</v>
      </c>
      <c r="T1106" t="b">
        <v>1</v>
      </c>
      <c r="U1106" t="s">
        <v>637</v>
      </c>
      <c r="V1106" t="s">
        <v>6461</v>
      </c>
      <c r="W1106" t="s">
        <v>6462</v>
      </c>
      <c r="X1106" t="s">
        <v>47</v>
      </c>
      <c r="AA1106" t="s">
        <v>2964</v>
      </c>
      <c r="AC1106" t="s">
        <v>2965</v>
      </c>
      <c r="AD1106" t="b">
        <v>0</v>
      </c>
      <c r="AF1106">
        <v>1</v>
      </c>
      <c r="AG1106" t="s">
        <v>104</v>
      </c>
    </row>
    <row r="1107" spans="1:33" x14ac:dyDescent="0.2">
      <c r="A1107">
        <v>319</v>
      </c>
      <c r="B1107" t="s">
        <v>6463</v>
      </c>
      <c r="C1107" t="s">
        <v>34</v>
      </c>
      <c r="D1107" t="s">
        <v>35</v>
      </c>
      <c r="E1107" t="s">
        <v>1027</v>
      </c>
      <c r="F1107" t="s">
        <v>1028</v>
      </c>
      <c r="G1107" t="s">
        <v>213</v>
      </c>
      <c r="H1107" t="s">
        <v>83</v>
      </c>
      <c r="I1107" t="s">
        <v>1152</v>
      </c>
      <c r="J1107" t="s">
        <v>676</v>
      </c>
      <c r="K1107">
        <v>1909</v>
      </c>
      <c r="L1107">
        <v>1995</v>
      </c>
      <c r="M1107">
        <v>9.3000000000000007</v>
      </c>
      <c r="N1107">
        <v>29.172999999999998</v>
      </c>
      <c r="O1107">
        <v>72</v>
      </c>
      <c r="P1107">
        <v>16.04</v>
      </c>
      <c r="Q1107">
        <v>0.16</v>
      </c>
      <c r="R1107" t="s">
        <v>84</v>
      </c>
      <c r="S1107" t="s">
        <v>6464</v>
      </c>
      <c r="T1107" t="b">
        <v>1</v>
      </c>
      <c r="U1107" t="s">
        <v>6465</v>
      </c>
      <c r="V1107" t="s">
        <v>1032</v>
      </c>
      <c r="W1107" t="s">
        <v>113</v>
      </c>
      <c r="X1107" t="s">
        <v>47</v>
      </c>
      <c r="AA1107" t="s">
        <v>5530</v>
      </c>
      <c r="AB1107" t="s">
        <v>177</v>
      </c>
      <c r="AC1107" t="s">
        <v>5531</v>
      </c>
      <c r="AD1107" t="b">
        <v>0</v>
      </c>
      <c r="AF1107">
        <v>4</v>
      </c>
      <c r="AG1107" t="s">
        <v>321</v>
      </c>
    </row>
    <row r="1108" spans="1:33" x14ac:dyDescent="0.2">
      <c r="A1108">
        <v>320</v>
      </c>
      <c r="B1108" t="s">
        <v>6466</v>
      </c>
      <c r="C1108" t="s">
        <v>34</v>
      </c>
      <c r="D1108" t="s">
        <v>35</v>
      </c>
      <c r="E1108" t="s">
        <v>1027</v>
      </c>
      <c r="F1108" t="s">
        <v>1028</v>
      </c>
      <c r="G1108" t="s">
        <v>213</v>
      </c>
      <c r="H1108" t="s">
        <v>83</v>
      </c>
      <c r="I1108" t="s">
        <v>1152</v>
      </c>
      <c r="J1108" t="s">
        <v>676</v>
      </c>
      <c r="K1108">
        <v>1935</v>
      </c>
      <c r="L1108">
        <v>1995</v>
      </c>
      <c r="M1108">
        <v>5</v>
      </c>
      <c r="N1108">
        <v>18.946999999999999</v>
      </c>
      <c r="O1108">
        <v>37.5</v>
      </c>
      <c r="P1108">
        <v>19.690000000000001</v>
      </c>
      <c r="Q1108">
        <v>7.9000000000000001E-2</v>
      </c>
      <c r="R1108" t="s">
        <v>84</v>
      </c>
      <c r="S1108" t="s">
        <v>6467</v>
      </c>
      <c r="T1108" t="b">
        <v>1</v>
      </c>
      <c r="U1108" t="s">
        <v>6468</v>
      </c>
      <c r="V1108" t="s">
        <v>1032</v>
      </c>
      <c r="W1108" t="s">
        <v>113</v>
      </c>
      <c r="X1108" t="s">
        <v>47</v>
      </c>
      <c r="AA1108" t="s">
        <v>5530</v>
      </c>
      <c r="AB1108" t="s">
        <v>49</v>
      </c>
      <c r="AC1108" t="s">
        <v>5531</v>
      </c>
      <c r="AD1108" t="b">
        <v>0</v>
      </c>
      <c r="AF1108">
        <v>4</v>
      </c>
      <c r="AG1108" t="s">
        <v>321</v>
      </c>
    </row>
    <row r="1109" spans="1:33" x14ac:dyDescent="0.2">
      <c r="A1109">
        <v>1634</v>
      </c>
      <c r="B1109" t="s">
        <v>6469</v>
      </c>
      <c r="C1109" t="s">
        <v>34</v>
      </c>
      <c r="D1109" t="s">
        <v>35</v>
      </c>
      <c r="E1109" t="s">
        <v>6470</v>
      </c>
      <c r="F1109" t="s">
        <v>6471</v>
      </c>
      <c r="G1109" t="s">
        <v>53</v>
      </c>
      <c r="H1109" t="s">
        <v>54</v>
      </c>
      <c r="I1109" t="s">
        <v>675</v>
      </c>
      <c r="J1109" t="s">
        <v>676</v>
      </c>
      <c r="K1109">
        <v>2011</v>
      </c>
      <c r="L1109">
        <v>2011</v>
      </c>
      <c r="M1109">
        <v>1.4</v>
      </c>
      <c r="N1109">
        <v>3.448</v>
      </c>
      <c r="O1109">
        <v>163</v>
      </c>
      <c r="P1109">
        <v>1.1000000000000001</v>
      </c>
      <c r="Q1109">
        <v>0.35399999999999998</v>
      </c>
      <c r="R1109" t="s">
        <v>57</v>
      </c>
      <c r="S1109" t="s">
        <v>6472</v>
      </c>
      <c r="T1109" t="b">
        <v>1</v>
      </c>
      <c r="U1109" t="s">
        <v>6473</v>
      </c>
      <c r="V1109" t="s">
        <v>6474</v>
      </c>
      <c r="W1109" t="s">
        <v>6475</v>
      </c>
      <c r="X1109" t="s">
        <v>47</v>
      </c>
      <c r="AA1109" t="s">
        <v>114</v>
      </c>
      <c r="AC1109" t="s">
        <v>63</v>
      </c>
      <c r="AD1109" t="b">
        <v>0</v>
      </c>
      <c r="AF1109">
        <v>6</v>
      </c>
      <c r="AG1109" t="s">
        <v>64</v>
      </c>
    </row>
    <row r="1110" spans="1:33" x14ac:dyDescent="0.2">
      <c r="A1110">
        <v>1407</v>
      </c>
      <c r="B1110" t="s">
        <v>6476</v>
      </c>
      <c r="C1110" t="s">
        <v>34</v>
      </c>
      <c r="D1110" t="s">
        <v>35</v>
      </c>
      <c r="E1110" t="s">
        <v>4825</v>
      </c>
      <c r="F1110" t="s">
        <v>4826</v>
      </c>
      <c r="G1110" t="s">
        <v>242</v>
      </c>
      <c r="H1110" t="s">
        <v>243</v>
      </c>
      <c r="I1110" t="s">
        <v>4827</v>
      </c>
      <c r="J1110" t="s">
        <v>1975</v>
      </c>
      <c r="K1110">
        <v>2008</v>
      </c>
      <c r="L1110">
        <v>2008</v>
      </c>
      <c r="M1110">
        <v>1.2</v>
      </c>
      <c r="N1110">
        <v>6.0119999999999996</v>
      </c>
      <c r="O1110">
        <v>5.5</v>
      </c>
      <c r="P1110">
        <v>27.5</v>
      </c>
      <c r="Q1110">
        <v>1.2E-2</v>
      </c>
      <c r="R1110" t="s">
        <v>97</v>
      </c>
      <c r="S1110" t="s">
        <v>6477</v>
      </c>
      <c r="T1110" t="b">
        <v>1</v>
      </c>
      <c r="U1110" t="s">
        <v>6478</v>
      </c>
      <c r="V1110" t="s">
        <v>4830</v>
      </c>
      <c r="W1110" t="s">
        <v>6479</v>
      </c>
      <c r="X1110" t="s">
        <v>47</v>
      </c>
      <c r="AA1110" t="s">
        <v>340</v>
      </c>
      <c r="AB1110" t="s">
        <v>3605</v>
      </c>
      <c r="AC1110" t="s">
        <v>341</v>
      </c>
      <c r="AD1110" t="b">
        <v>0</v>
      </c>
      <c r="AF1110">
        <v>1</v>
      </c>
      <c r="AG1110" t="s">
        <v>104</v>
      </c>
    </row>
    <row r="1111" spans="1:33" x14ac:dyDescent="0.2">
      <c r="A1111">
        <v>555</v>
      </c>
      <c r="B1111" t="s">
        <v>6480</v>
      </c>
      <c r="C1111" t="s">
        <v>34</v>
      </c>
      <c r="D1111" t="s">
        <v>35</v>
      </c>
      <c r="E1111" t="s">
        <v>253</v>
      </c>
      <c r="F1111" t="s">
        <v>254</v>
      </c>
      <c r="G1111" t="s">
        <v>242</v>
      </c>
      <c r="H1111" t="s">
        <v>243</v>
      </c>
      <c r="I1111" t="s">
        <v>1003</v>
      </c>
      <c r="J1111" t="s">
        <v>192</v>
      </c>
      <c r="K1111">
        <v>1988</v>
      </c>
      <c r="L1111">
        <v>1988</v>
      </c>
      <c r="M1111">
        <v>40</v>
      </c>
      <c r="N1111">
        <v>80.992000000000004</v>
      </c>
      <c r="O1111">
        <v>383.7</v>
      </c>
      <c r="P1111">
        <v>12</v>
      </c>
      <c r="Q1111">
        <v>0.92500000000000004</v>
      </c>
      <c r="R1111" t="s">
        <v>72</v>
      </c>
      <c r="S1111" t="s">
        <v>6481</v>
      </c>
      <c r="T1111" t="b">
        <v>1</v>
      </c>
      <c r="U1111" t="s">
        <v>6482</v>
      </c>
      <c r="V1111" t="s">
        <v>259</v>
      </c>
      <c r="W1111" t="s">
        <v>1235</v>
      </c>
      <c r="X1111" t="s">
        <v>47</v>
      </c>
      <c r="AA1111" t="s">
        <v>1236</v>
      </c>
      <c r="AB1111" t="s">
        <v>49</v>
      </c>
      <c r="AC1111" t="s">
        <v>1237</v>
      </c>
      <c r="AD1111" t="b">
        <v>0</v>
      </c>
      <c r="AF1111">
        <v>9</v>
      </c>
      <c r="AG1111" t="s">
        <v>251</v>
      </c>
    </row>
    <row r="1112" spans="1:33" x14ac:dyDescent="0.2">
      <c r="A1112">
        <v>1618</v>
      </c>
      <c r="B1112" t="s">
        <v>6483</v>
      </c>
      <c r="C1112" t="s">
        <v>34</v>
      </c>
      <c r="D1112" t="s">
        <v>35</v>
      </c>
      <c r="E1112" t="s">
        <v>168</v>
      </c>
      <c r="F1112" t="s">
        <v>169</v>
      </c>
      <c r="G1112" t="s">
        <v>53</v>
      </c>
      <c r="H1112" t="s">
        <v>54</v>
      </c>
      <c r="I1112" t="s">
        <v>604</v>
      </c>
      <c r="J1112" t="s">
        <v>426</v>
      </c>
      <c r="K1112">
        <v>2004</v>
      </c>
      <c r="L1112">
        <v>2004</v>
      </c>
      <c r="M1112">
        <v>1.2</v>
      </c>
      <c r="N1112">
        <v>5.6340000000000003</v>
      </c>
      <c r="O1112">
        <v>45</v>
      </c>
      <c r="P1112">
        <v>3.6</v>
      </c>
      <c r="Q1112">
        <v>9.2999999999999999E-2</v>
      </c>
      <c r="R1112" t="s">
        <v>57</v>
      </c>
      <c r="S1112" t="s">
        <v>6484</v>
      </c>
      <c r="T1112" t="b">
        <v>1</v>
      </c>
      <c r="U1112" t="s">
        <v>6485</v>
      </c>
      <c r="V1112" t="s">
        <v>174</v>
      </c>
      <c r="W1112" t="s">
        <v>6486</v>
      </c>
      <c r="X1112" t="s">
        <v>47</v>
      </c>
      <c r="AA1112" t="s">
        <v>6487</v>
      </c>
      <c r="AB1112" t="s">
        <v>49</v>
      </c>
      <c r="AC1112" t="s">
        <v>6488</v>
      </c>
      <c r="AD1112" t="b">
        <v>0</v>
      </c>
      <c r="AF1112">
        <v>6</v>
      </c>
      <c r="AG1112" t="s">
        <v>64</v>
      </c>
    </row>
    <row r="1113" spans="1:33" x14ac:dyDescent="0.2">
      <c r="A1113">
        <v>985</v>
      </c>
      <c r="B1113" t="s">
        <v>6489</v>
      </c>
      <c r="C1113" t="s">
        <v>34</v>
      </c>
      <c r="D1113" t="s">
        <v>35</v>
      </c>
      <c r="G1113" t="s">
        <v>53</v>
      </c>
      <c r="H1113" t="s">
        <v>54</v>
      </c>
      <c r="I1113" t="s">
        <v>604</v>
      </c>
      <c r="J1113" t="s">
        <v>426</v>
      </c>
      <c r="K1113">
        <v>1999</v>
      </c>
      <c r="L1113">
        <v>1999</v>
      </c>
      <c r="M1113">
        <v>3.6999999999999998E-2</v>
      </c>
      <c r="N1113">
        <v>0.13600000000000001</v>
      </c>
      <c r="P1113">
        <v>0.2</v>
      </c>
      <c r="R1113" t="s">
        <v>57</v>
      </c>
      <c r="S1113" t="s">
        <v>6484</v>
      </c>
      <c r="T1113" t="b">
        <v>1</v>
      </c>
      <c r="U1113" t="s">
        <v>571</v>
      </c>
      <c r="V1113" t="s">
        <v>274</v>
      </c>
      <c r="W1113" t="s">
        <v>6490</v>
      </c>
      <c r="X1113" t="s">
        <v>47</v>
      </c>
      <c r="AA1113" t="s">
        <v>6487</v>
      </c>
      <c r="AC1113" t="s">
        <v>6488</v>
      </c>
      <c r="AD1113" t="b">
        <v>0</v>
      </c>
      <c r="AF1113">
        <v>6</v>
      </c>
      <c r="AG1113" t="s">
        <v>64</v>
      </c>
    </row>
    <row r="1114" spans="1:33" x14ac:dyDescent="0.2">
      <c r="A1114">
        <v>321</v>
      </c>
      <c r="B1114" t="s">
        <v>6491</v>
      </c>
      <c r="C1114" t="s">
        <v>34</v>
      </c>
      <c r="D1114" t="s">
        <v>35</v>
      </c>
      <c r="E1114" t="s">
        <v>277</v>
      </c>
      <c r="F1114" t="s">
        <v>278</v>
      </c>
      <c r="G1114" t="s">
        <v>93</v>
      </c>
      <c r="H1114" t="s">
        <v>94</v>
      </c>
      <c r="I1114" t="s">
        <v>2804</v>
      </c>
      <c r="J1114" t="s">
        <v>676</v>
      </c>
      <c r="K1114">
        <v>1981</v>
      </c>
      <c r="L1114">
        <v>1981</v>
      </c>
      <c r="M1114">
        <v>90</v>
      </c>
      <c r="N1114">
        <v>296.65100000000001</v>
      </c>
      <c r="O1114">
        <v>200</v>
      </c>
      <c r="P1114">
        <v>54.95</v>
      </c>
      <c r="Q1114">
        <v>0.45500000000000002</v>
      </c>
      <c r="R1114" t="s">
        <v>97</v>
      </c>
      <c r="S1114" t="s">
        <v>6492</v>
      </c>
      <c r="T1114" t="b">
        <v>1</v>
      </c>
      <c r="U1114" t="s">
        <v>6493</v>
      </c>
      <c r="V1114" t="s">
        <v>389</v>
      </c>
      <c r="W1114" t="s">
        <v>6494</v>
      </c>
      <c r="X1114" t="s">
        <v>47</v>
      </c>
      <c r="AA1114" t="s">
        <v>340</v>
      </c>
      <c r="AB1114" t="s">
        <v>1166</v>
      </c>
      <c r="AC1114" t="s">
        <v>341</v>
      </c>
      <c r="AD1114" t="b">
        <v>0</v>
      </c>
      <c r="AF1114">
        <v>1</v>
      </c>
      <c r="AG1114" t="s">
        <v>104</v>
      </c>
    </row>
    <row r="1115" spans="1:33" x14ac:dyDescent="0.2">
      <c r="A1115">
        <v>1694</v>
      </c>
      <c r="B1115" t="s">
        <v>6495</v>
      </c>
      <c r="C1115" t="s">
        <v>34</v>
      </c>
      <c r="D1115" t="s">
        <v>35</v>
      </c>
      <c r="E1115" t="s">
        <v>6496</v>
      </c>
      <c r="F1115" t="s">
        <v>6497</v>
      </c>
      <c r="G1115" t="s">
        <v>53</v>
      </c>
      <c r="H1115" t="s">
        <v>54</v>
      </c>
      <c r="I1115" t="s">
        <v>182</v>
      </c>
      <c r="J1115" t="s">
        <v>49</v>
      </c>
      <c r="K1115">
        <v>2012</v>
      </c>
      <c r="L1115">
        <v>2012</v>
      </c>
      <c r="M1115">
        <v>0.6</v>
      </c>
      <c r="N1115">
        <v>3.9319999999999999</v>
      </c>
      <c r="O1115">
        <v>98.25</v>
      </c>
      <c r="P1115">
        <v>0.77700000000000002</v>
      </c>
      <c r="Q1115">
        <v>0.215</v>
      </c>
      <c r="R1115" t="s">
        <v>57</v>
      </c>
      <c r="S1115" t="s">
        <v>6498</v>
      </c>
      <c r="T1115" t="b">
        <v>1</v>
      </c>
      <c r="U1115" t="s">
        <v>6089</v>
      </c>
      <c r="V1115" t="s">
        <v>6499</v>
      </c>
      <c r="W1115" t="s">
        <v>6500</v>
      </c>
      <c r="X1115" t="s">
        <v>47</v>
      </c>
      <c r="AA1115" t="s">
        <v>6501</v>
      </c>
      <c r="AC1115" t="s">
        <v>63</v>
      </c>
      <c r="AD1115" t="b">
        <v>0</v>
      </c>
      <c r="AF1115">
        <v>6</v>
      </c>
      <c r="AG1115" t="s">
        <v>64</v>
      </c>
    </row>
    <row r="1116" spans="1:33" x14ac:dyDescent="0.2">
      <c r="A1116">
        <v>322</v>
      </c>
      <c r="B1116" t="s">
        <v>6502</v>
      </c>
      <c r="C1116" t="s">
        <v>34</v>
      </c>
      <c r="D1116" t="s">
        <v>35</v>
      </c>
      <c r="E1116" t="s">
        <v>36</v>
      </c>
      <c r="F1116" t="s">
        <v>37</v>
      </c>
      <c r="G1116" t="s">
        <v>68</v>
      </c>
      <c r="H1116" t="s">
        <v>69</v>
      </c>
      <c r="I1116" t="s">
        <v>265</v>
      </c>
      <c r="J1116" t="s">
        <v>266</v>
      </c>
      <c r="K1116">
        <v>1958</v>
      </c>
      <c r="L1116">
        <v>1958</v>
      </c>
      <c r="M1116">
        <v>20</v>
      </c>
      <c r="N1116">
        <v>94.676000000000002</v>
      </c>
      <c r="O1116">
        <v>56</v>
      </c>
      <c r="P1116">
        <v>45.9</v>
      </c>
      <c r="Q1116">
        <v>0.123</v>
      </c>
      <c r="R1116" t="s">
        <v>72</v>
      </c>
      <c r="S1116" t="s">
        <v>6503</v>
      </c>
      <c r="T1116" t="b">
        <v>1</v>
      </c>
      <c r="U1116" t="s">
        <v>6504</v>
      </c>
      <c r="V1116" t="s">
        <v>45</v>
      </c>
      <c r="W1116" t="s">
        <v>6505</v>
      </c>
      <c r="X1116" t="s">
        <v>47</v>
      </c>
      <c r="AA1116" t="s">
        <v>270</v>
      </c>
      <c r="AB1116" t="s">
        <v>227</v>
      </c>
      <c r="AC1116" t="s">
        <v>271</v>
      </c>
      <c r="AD1116" t="b">
        <v>0</v>
      </c>
      <c r="AF1116">
        <v>8</v>
      </c>
      <c r="AG1116" t="s">
        <v>78</v>
      </c>
    </row>
    <row r="1117" spans="1:33" x14ac:dyDescent="0.2">
      <c r="A1117">
        <v>1990</v>
      </c>
      <c r="B1117" t="s">
        <v>6506</v>
      </c>
      <c r="C1117" t="s">
        <v>34</v>
      </c>
      <c r="D1117" t="s">
        <v>35</v>
      </c>
      <c r="E1117" t="s">
        <v>682</v>
      </c>
      <c r="F1117" t="s">
        <v>683</v>
      </c>
      <c r="G1117" t="s">
        <v>68</v>
      </c>
      <c r="H1117" t="s">
        <v>69</v>
      </c>
      <c r="I1117" t="s">
        <v>1458</v>
      </c>
      <c r="J1117" t="s">
        <v>1459</v>
      </c>
      <c r="K1117">
        <v>2020</v>
      </c>
      <c r="L1117">
        <v>2020</v>
      </c>
      <c r="M1117">
        <v>4.3</v>
      </c>
      <c r="N1117">
        <v>15.807</v>
      </c>
      <c r="O1117">
        <v>176.5</v>
      </c>
      <c r="P1117">
        <v>3</v>
      </c>
      <c r="Q1117">
        <v>0.39800000000000002</v>
      </c>
      <c r="R1117" t="s">
        <v>72</v>
      </c>
      <c r="S1117" t="s">
        <v>6507</v>
      </c>
      <c r="T1117" t="b">
        <v>1</v>
      </c>
      <c r="U1117" t="s">
        <v>6508</v>
      </c>
      <c r="V1117" t="s">
        <v>686</v>
      </c>
      <c r="W1117" t="s">
        <v>6509</v>
      </c>
      <c r="X1117" t="s">
        <v>47</v>
      </c>
      <c r="AA1117" t="s">
        <v>4723</v>
      </c>
      <c r="AB1117" t="s">
        <v>308</v>
      </c>
      <c r="AC1117" t="s">
        <v>4724</v>
      </c>
      <c r="AD1117" t="b">
        <v>0</v>
      </c>
      <c r="AF1117">
        <v>8</v>
      </c>
      <c r="AG1117" t="s">
        <v>78</v>
      </c>
    </row>
    <row r="1118" spans="1:33" x14ac:dyDescent="0.2">
      <c r="A1118">
        <v>323</v>
      </c>
      <c r="B1118" t="s">
        <v>6510</v>
      </c>
      <c r="C1118" t="s">
        <v>34</v>
      </c>
      <c r="D1118" t="s">
        <v>35</v>
      </c>
      <c r="E1118" t="s">
        <v>404</v>
      </c>
      <c r="F1118" t="s">
        <v>405</v>
      </c>
      <c r="G1118" t="s">
        <v>312</v>
      </c>
      <c r="H1118" t="s">
        <v>313</v>
      </c>
      <c r="I1118" t="s">
        <v>1049</v>
      </c>
      <c r="J1118" t="s">
        <v>171</v>
      </c>
      <c r="K1118">
        <v>1964</v>
      </c>
      <c r="L1118">
        <v>1964</v>
      </c>
      <c r="M1118">
        <v>4</v>
      </c>
      <c r="N1118">
        <v>21.343</v>
      </c>
      <c r="O1118">
        <v>57.29</v>
      </c>
      <c r="P1118">
        <v>9.02</v>
      </c>
      <c r="Q1118">
        <v>0.123</v>
      </c>
      <c r="R1118" t="s">
        <v>84</v>
      </c>
      <c r="S1118" t="s">
        <v>1121</v>
      </c>
      <c r="T1118" t="b">
        <v>1</v>
      </c>
      <c r="U1118" t="s">
        <v>5899</v>
      </c>
      <c r="V1118" t="s">
        <v>408</v>
      </c>
      <c r="W1118" t="s">
        <v>6511</v>
      </c>
      <c r="X1118" t="s">
        <v>47</v>
      </c>
      <c r="AA1118" t="s">
        <v>615</v>
      </c>
      <c r="AB1118" t="s">
        <v>533</v>
      </c>
      <c r="AC1118" t="s">
        <v>616</v>
      </c>
      <c r="AD1118" t="b">
        <v>0</v>
      </c>
      <c r="AF1118">
        <v>4</v>
      </c>
      <c r="AG1118" t="s">
        <v>321</v>
      </c>
    </row>
    <row r="1119" spans="1:33" x14ac:dyDescent="0.2">
      <c r="A1119">
        <v>371</v>
      </c>
      <c r="B1119" t="s">
        <v>6510</v>
      </c>
      <c r="C1119" t="s">
        <v>34</v>
      </c>
      <c r="D1119" t="s">
        <v>35</v>
      </c>
      <c r="E1119" t="s">
        <v>2669</v>
      </c>
      <c r="F1119" t="s">
        <v>2670</v>
      </c>
      <c r="G1119" t="s">
        <v>503</v>
      </c>
      <c r="H1119" t="s">
        <v>462</v>
      </c>
      <c r="I1119" t="s">
        <v>2238</v>
      </c>
      <c r="J1119" t="s">
        <v>171</v>
      </c>
      <c r="K1119">
        <v>1954</v>
      </c>
      <c r="L1119">
        <v>1954</v>
      </c>
      <c r="M1119">
        <v>16.5</v>
      </c>
      <c r="N1119">
        <v>81.790000000000006</v>
      </c>
      <c r="O1119">
        <v>92.3</v>
      </c>
      <c r="P1119">
        <v>21.31</v>
      </c>
      <c r="Q1119">
        <v>0.215</v>
      </c>
      <c r="R1119" t="s">
        <v>84</v>
      </c>
      <c r="S1119" t="s">
        <v>2239</v>
      </c>
      <c r="T1119" t="b">
        <v>1</v>
      </c>
      <c r="U1119" t="s">
        <v>6512</v>
      </c>
      <c r="V1119" t="s">
        <v>2673</v>
      </c>
      <c r="W1119" t="s">
        <v>6513</v>
      </c>
      <c r="X1119" t="s">
        <v>47</v>
      </c>
      <c r="AA1119" t="s">
        <v>509</v>
      </c>
      <c r="AB1119" t="s">
        <v>1077</v>
      </c>
      <c r="AC1119" t="s">
        <v>510</v>
      </c>
      <c r="AD1119" t="b">
        <v>0</v>
      </c>
      <c r="AF1119">
        <v>3</v>
      </c>
      <c r="AG1119" t="s">
        <v>332</v>
      </c>
    </row>
    <row r="1120" spans="1:33" x14ac:dyDescent="0.2">
      <c r="A1120">
        <v>324</v>
      </c>
      <c r="B1120" t="s">
        <v>6514</v>
      </c>
      <c r="C1120" t="s">
        <v>34</v>
      </c>
      <c r="D1120" t="s">
        <v>35</v>
      </c>
      <c r="E1120" t="s">
        <v>277</v>
      </c>
      <c r="F1120" t="s">
        <v>278</v>
      </c>
      <c r="G1120" t="s">
        <v>93</v>
      </c>
      <c r="H1120" t="s">
        <v>94</v>
      </c>
      <c r="I1120" t="s">
        <v>2804</v>
      </c>
      <c r="J1120" t="s">
        <v>676</v>
      </c>
      <c r="K1120">
        <v>1914</v>
      </c>
      <c r="L1120">
        <v>1956</v>
      </c>
      <c r="M1120">
        <v>5.6</v>
      </c>
      <c r="N1120">
        <v>13.28</v>
      </c>
      <c r="O1120">
        <v>40.79</v>
      </c>
      <c r="P1120">
        <v>18.09</v>
      </c>
      <c r="Q1120">
        <v>8.5999999999999993E-2</v>
      </c>
      <c r="R1120" t="s">
        <v>97</v>
      </c>
      <c r="S1120" t="s">
        <v>6515</v>
      </c>
      <c r="T1120" t="b">
        <v>1</v>
      </c>
      <c r="U1120" t="s">
        <v>6516</v>
      </c>
      <c r="V1120" t="s">
        <v>389</v>
      </c>
      <c r="W1120" t="s">
        <v>4914</v>
      </c>
      <c r="X1120" t="s">
        <v>47</v>
      </c>
      <c r="AA1120" t="s">
        <v>340</v>
      </c>
      <c r="AB1120" t="s">
        <v>354</v>
      </c>
      <c r="AC1120" t="s">
        <v>341</v>
      </c>
      <c r="AD1120" t="b">
        <v>0</v>
      </c>
      <c r="AF1120">
        <v>1</v>
      </c>
      <c r="AG1120" t="s">
        <v>104</v>
      </c>
    </row>
    <row r="1121" spans="1:33" x14ac:dyDescent="0.2">
      <c r="A1121">
        <v>1509</v>
      </c>
      <c r="B1121" t="s">
        <v>6517</v>
      </c>
      <c r="C1121" t="s">
        <v>34</v>
      </c>
      <c r="D1121" t="s">
        <v>35</v>
      </c>
      <c r="E1121" t="s">
        <v>6518</v>
      </c>
      <c r="F1121" t="s">
        <v>6519</v>
      </c>
      <c r="G1121" t="s">
        <v>53</v>
      </c>
      <c r="H1121" t="s">
        <v>54</v>
      </c>
      <c r="I1121" t="s">
        <v>604</v>
      </c>
      <c r="J1121" t="s">
        <v>426</v>
      </c>
      <c r="K1121">
        <v>2008</v>
      </c>
      <c r="L1121">
        <v>2008</v>
      </c>
      <c r="M1121">
        <v>0.75</v>
      </c>
      <c r="N1121">
        <v>1.637</v>
      </c>
      <c r="O1121">
        <v>143</v>
      </c>
      <c r="P1121">
        <v>0.62</v>
      </c>
      <c r="Q1121">
        <v>0.33600000000000002</v>
      </c>
      <c r="R1121" t="s">
        <v>57</v>
      </c>
      <c r="S1121" t="s">
        <v>6520</v>
      </c>
      <c r="T1121" t="b">
        <v>1</v>
      </c>
      <c r="U1121" t="s">
        <v>6521</v>
      </c>
      <c r="V1121" t="s">
        <v>6522</v>
      </c>
      <c r="W1121" t="s">
        <v>6523</v>
      </c>
      <c r="X1121" t="s">
        <v>47</v>
      </c>
      <c r="AA1121" t="s">
        <v>114</v>
      </c>
      <c r="AC1121" t="s">
        <v>63</v>
      </c>
      <c r="AD1121" t="b">
        <v>0</v>
      </c>
      <c r="AF1121">
        <v>6</v>
      </c>
      <c r="AG1121" t="s">
        <v>64</v>
      </c>
    </row>
    <row r="1122" spans="1:33" x14ac:dyDescent="0.2">
      <c r="A1122">
        <v>325</v>
      </c>
      <c r="B1122" t="s">
        <v>6524</v>
      </c>
      <c r="C1122" t="s">
        <v>34</v>
      </c>
      <c r="D1122" t="s">
        <v>35</v>
      </c>
      <c r="E1122" t="s">
        <v>728</v>
      </c>
      <c r="F1122" t="s">
        <v>729</v>
      </c>
      <c r="G1122" t="s">
        <v>53</v>
      </c>
      <c r="H1122" t="s">
        <v>54</v>
      </c>
      <c r="I1122" t="s">
        <v>362</v>
      </c>
      <c r="J1122" t="s">
        <v>256</v>
      </c>
      <c r="K1122">
        <v>1984</v>
      </c>
      <c r="L1122">
        <v>1984</v>
      </c>
      <c r="M1122">
        <v>2.9</v>
      </c>
      <c r="N1122">
        <v>14.83</v>
      </c>
      <c r="O1122">
        <v>188</v>
      </c>
      <c r="P1122">
        <v>1.79</v>
      </c>
      <c r="Q1122">
        <v>0.44800000000000001</v>
      </c>
      <c r="R1122" t="s">
        <v>72</v>
      </c>
      <c r="S1122" t="s">
        <v>6525</v>
      </c>
      <c r="T1122" t="b">
        <v>1</v>
      </c>
      <c r="U1122" t="s">
        <v>2163</v>
      </c>
      <c r="V1122" t="s">
        <v>2923</v>
      </c>
      <c r="W1122" t="s">
        <v>6526</v>
      </c>
      <c r="X1122" t="s">
        <v>47</v>
      </c>
      <c r="AA1122" t="s">
        <v>6527</v>
      </c>
      <c r="AB1122" t="s">
        <v>177</v>
      </c>
      <c r="AC1122" t="s">
        <v>6528</v>
      </c>
      <c r="AD1122" t="b">
        <v>0</v>
      </c>
      <c r="AF1122">
        <v>13</v>
      </c>
      <c r="AG1122" t="s">
        <v>155</v>
      </c>
    </row>
    <row r="1123" spans="1:33" x14ac:dyDescent="0.2">
      <c r="A1123">
        <v>326</v>
      </c>
      <c r="B1123" t="s">
        <v>6529</v>
      </c>
      <c r="C1123" t="s">
        <v>34</v>
      </c>
      <c r="D1123" t="s">
        <v>35</v>
      </c>
      <c r="E1123" t="s">
        <v>512</v>
      </c>
      <c r="F1123" t="s">
        <v>513</v>
      </c>
      <c r="G1123" t="s">
        <v>377</v>
      </c>
      <c r="H1123" t="s">
        <v>378</v>
      </c>
      <c r="I1123" t="s">
        <v>514</v>
      </c>
      <c r="J1123" t="s">
        <v>515</v>
      </c>
      <c r="K1123">
        <v>1936</v>
      </c>
      <c r="L1123">
        <v>1936</v>
      </c>
      <c r="M1123">
        <v>2.5</v>
      </c>
      <c r="N1123">
        <v>14.86</v>
      </c>
      <c r="O1123">
        <v>136.88999999999999</v>
      </c>
      <c r="P1123">
        <v>2.09</v>
      </c>
      <c r="Q1123">
        <v>0.33100000000000002</v>
      </c>
      <c r="R1123" t="s">
        <v>42</v>
      </c>
      <c r="S1123" t="s">
        <v>6530</v>
      </c>
      <c r="T1123" t="b">
        <v>1</v>
      </c>
      <c r="U1123" t="s">
        <v>4387</v>
      </c>
      <c r="V1123" t="s">
        <v>518</v>
      </c>
      <c r="W1123" t="s">
        <v>6531</v>
      </c>
      <c r="X1123" t="s">
        <v>47</v>
      </c>
      <c r="AA1123" t="s">
        <v>6532</v>
      </c>
      <c r="AB1123" t="s">
        <v>49</v>
      </c>
      <c r="AC1123" t="s">
        <v>6533</v>
      </c>
      <c r="AD1123" t="b">
        <v>0</v>
      </c>
      <c r="AF1123">
        <v>11</v>
      </c>
      <c r="AG1123" t="s">
        <v>198</v>
      </c>
    </row>
    <row r="1124" spans="1:33" x14ac:dyDescent="0.2">
      <c r="A1124">
        <v>327</v>
      </c>
      <c r="B1124" t="s">
        <v>6534</v>
      </c>
      <c r="C1124" t="s">
        <v>34</v>
      </c>
      <c r="D1124" t="s">
        <v>35</v>
      </c>
      <c r="E1124" t="s">
        <v>168</v>
      </c>
      <c r="F1124" t="s">
        <v>169</v>
      </c>
      <c r="G1124" t="s">
        <v>53</v>
      </c>
      <c r="H1124" t="s">
        <v>54</v>
      </c>
      <c r="I1124" t="s">
        <v>3644</v>
      </c>
      <c r="J1124" t="s">
        <v>515</v>
      </c>
      <c r="K1124">
        <v>1951</v>
      </c>
      <c r="L1124">
        <v>1951</v>
      </c>
      <c r="M1124">
        <v>2.2999999999999998</v>
      </c>
      <c r="N1124">
        <v>9.8520000000000003</v>
      </c>
      <c r="O1124">
        <v>205</v>
      </c>
      <c r="P1124">
        <v>1.35</v>
      </c>
      <c r="Q1124">
        <v>0.47299999999999998</v>
      </c>
      <c r="R1124" t="s">
        <v>57</v>
      </c>
      <c r="S1124" t="s">
        <v>6535</v>
      </c>
      <c r="T1124" t="b">
        <v>1</v>
      </c>
      <c r="U1124" t="s">
        <v>4381</v>
      </c>
      <c r="V1124" t="s">
        <v>174</v>
      </c>
      <c r="W1124" t="s">
        <v>113</v>
      </c>
      <c r="X1124" t="s">
        <v>47</v>
      </c>
      <c r="AA1124" t="s">
        <v>6536</v>
      </c>
      <c r="AB1124" t="s">
        <v>177</v>
      </c>
      <c r="AC1124" t="s">
        <v>6537</v>
      </c>
      <c r="AD1124" t="b">
        <v>0</v>
      </c>
      <c r="AF1124">
        <v>6</v>
      </c>
      <c r="AG1124" t="s">
        <v>64</v>
      </c>
    </row>
    <row r="1125" spans="1:33" x14ac:dyDescent="0.2">
      <c r="A1125">
        <v>1100</v>
      </c>
      <c r="B1125" t="s">
        <v>6538</v>
      </c>
      <c r="C1125" t="s">
        <v>34</v>
      </c>
      <c r="D1125" t="s">
        <v>35</v>
      </c>
      <c r="E1125" t="s">
        <v>6539</v>
      </c>
      <c r="F1125" t="s">
        <v>6540</v>
      </c>
      <c r="G1125" t="s">
        <v>134</v>
      </c>
      <c r="H1125" t="s">
        <v>135</v>
      </c>
      <c r="I1125" t="s">
        <v>2074</v>
      </c>
      <c r="J1125" t="s">
        <v>225</v>
      </c>
      <c r="K1125">
        <v>2005</v>
      </c>
      <c r="L1125">
        <v>2005</v>
      </c>
      <c r="M1125">
        <v>0.3</v>
      </c>
      <c r="N1125">
        <v>0.64400000000000002</v>
      </c>
      <c r="O1125">
        <v>157.5</v>
      </c>
      <c r="P1125">
        <v>0.28000000000000003</v>
      </c>
      <c r="Q1125">
        <v>0.29799999999999999</v>
      </c>
      <c r="R1125" t="s">
        <v>42</v>
      </c>
      <c r="S1125" t="s">
        <v>6541</v>
      </c>
      <c r="T1125" t="b">
        <v>1</v>
      </c>
      <c r="U1125" t="s">
        <v>6542</v>
      </c>
      <c r="V1125" t="s">
        <v>6543</v>
      </c>
      <c r="W1125" t="s">
        <v>6544</v>
      </c>
      <c r="X1125" t="s">
        <v>47</v>
      </c>
      <c r="AA1125" t="s">
        <v>2652</v>
      </c>
      <c r="AC1125" t="s">
        <v>2653</v>
      </c>
      <c r="AD1125" t="b">
        <v>0</v>
      </c>
      <c r="AF1125">
        <v>10</v>
      </c>
      <c r="AG1125" t="s">
        <v>143</v>
      </c>
    </row>
    <row r="1126" spans="1:33" x14ac:dyDescent="0.2">
      <c r="A1126">
        <v>859</v>
      </c>
      <c r="B1126" t="s">
        <v>6545</v>
      </c>
      <c r="C1126" t="s">
        <v>34</v>
      </c>
      <c r="D1126" t="s">
        <v>35</v>
      </c>
      <c r="E1126" t="s">
        <v>5010</v>
      </c>
      <c r="F1126" t="s">
        <v>5011</v>
      </c>
      <c r="G1126" t="s">
        <v>503</v>
      </c>
      <c r="H1126" t="s">
        <v>462</v>
      </c>
      <c r="I1126" t="s">
        <v>5012</v>
      </c>
      <c r="J1126" t="s">
        <v>71</v>
      </c>
      <c r="K1126">
        <v>1932</v>
      </c>
      <c r="L1126">
        <v>1932</v>
      </c>
      <c r="M1126">
        <v>0.85</v>
      </c>
      <c r="N1126">
        <v>5.048</v>
      </c>
      <c r="O1126">
        <v>22</v>
      </c>
      <c r="P1126">
        <v>4.5</v>
      </c>
      <c r="Q1126">
        <v>5.1999999999999998E-2</v>
      </c>
      <c r="R1126" t="s">
        <v>84</v>
      </c>
      <c r="S1126" t="s">
        <v>6546</v>
      </c>
      <c r="T1126" t="b">
        <v>1</v>
      </c>
      <c r="U1126" t="s">
        <v>6547</v>
      </c>
      <c r="V1126" t="s">
        <v>5014</v>
      </c>
      <c r="W1126" t="s">
        <v>6548</v>
      </c>
      <c r="X1126" t="s">
        <v>47</v>
      </c>
      <c r="AA1126" t="s">
        <v>583</v>
      </c>
      <c r="AC1126" t="s">
        <v>585</v>
      </c>
      <c r="AD1126" t="b">
        <v>0</v>
      </c>
      <c r="AF1126">
        <v>3</v>
      </c>
      <c r="AG1126" t="s">
        <v>332</v>
      </c>
    </row>
    <row r="1127" spans="1:33" x14ac:dyDescent="0.2">
      <c r="A1127">
        <v>1299</v>
      </c>
      <c r="B1127" t="s">
        <v>6549</v>
      </c>
      <c r="C1127" t="s">
        <v>34</v>
      </c>
      <c r="D1127" t="s">
        <v>35</v>
      </c>
      <c r="E1127" t="s">
        <v>6550</v>
      </c>
      <c r="F1127" t="s">
        <v>6551</v>
      </c>
      <c r="G1127" t="s">
        <v>242</v>
      </c>
      <c r="H1127" t="s">
        <v>243</v>
      </c>
      <c r="I1127" t="s">
        <v>3688</v>
      </c>
      <c r="J1127" t="s">
        <v>663</v>
      </c>
      <c r="K1127">
        <v>2008</v>
      </c>
      <c r="L1127">
        <v>2008</v>
      </c>
      <c r="M1127">
        <v>3.5000000000000003E-2</v>
      </c>
      <c r="N1127">
        <v>0.04</v>
      </c>
      <c r="O1127">
        <v>125</v>
      </c>
      <c r="P1127">
        <v>4.4999999999999998E-2</v>
      </c>
      <c r="R1127" t="s">
        <v>72</v>
      </c>
      <c r="S1127" t="s">
        <v>6552</v>
      </c>
      <c r="T1127" t="b">
        <v>1</v>
      </c>
      <c r="U1127" t="s">
        <v>74</v>
      </c>
      <c r="V1127" t="s">
        <v>6553</v>
      </c>
      <c r="W1127" t="s">
        <v>6554</v>
      </c>
      <c r="X1127" t="s">
        <v>47</v>
      </c>
      <c r="AA1127" t="s">
        <v>114</v>
      </c>
      <c r="AC1127" t="s">
        <v>63</v>
      </c>
      <c r="AD1127" t="b">
        <v>0</v>
      </c>
      <c r="AF1127">
        <v>9</v>
      </c>
      <c r="AG1127" t="s">
        <v>251</v>
      </c>
    </row>
    <row r="1128" spans="1:33" x14ac:dyDescent="0.2">
      <c r="A1128">
        <v>1001</v>
      </c>
      <c r="B1128" t="s">
        <v>6555</v>
      </c>
      <c r="C1128" t="s">
        <v>34</v>
      </c>
      <c r="D1128" t="s">
        <v>35</v>
      </c>
      <c r="G1128" t="s">
        <v>53</v>
      </c>
      <c r="H1128" t="s">
        <v>54</v>
      </c>
      <c r="I1128" t="s">
        <v>118</v>
      </c>
      <c r="J1128" t="s">
        <v>119</v>
      </c>
      <c r="K1128">
        <v>1998</v>
      </c>
      <c r="L1128">
        <v>1998</v>
      </c>
      <c r="M1128">
        <v>1.7999999999999999E-2</v>
      </c>
      <c r="N1128">
        <v>0.10199999999999999</v>
      </c>
      <c r="R1128" t="s">
        <v>84</v>
      </c>
      <c r="S1128" t="s">
        <v>2399</v>
      </c>
      <c r="T1128" t="b">
        <v>1</v>
      </c>
      <c r="U1128" t="s">
        <v>455</v>
      </c>
      <c r="V1128" t="s">
        <v>274</v>
      </c>
      <c r="W1128" t="s">
        <v>6556</v>
      </c>
      <c r="X1128" t="s">
        <v>47</v>
      </c>
      <c r="AA1128" t="s">
        <v>114</v>
      </c>
      <c r="AC1128" t="s">
        <v>63</v>
      </c>
      <c r="AD1128" t="b">
        <v>0</v>
      </c>
      <c r="AF1128">
        <v>5</v>
      </c>
      <c r="AG1128" t="s">
        <v>89</v>
      </c>
    </row>
    <row r="1129" spans="1:33" x14ac:dyDescent="0.2">
      <c r="A1129">
        <v>1064</v>
      </c>
      <c r="B1129" t="s">
        <v>6557</v>
      </c>
      <c r="C1129" t="s">
        <v>34</v>
      </c>
      <c r="D1129" t="s">
        <v>35</v>
      </c>
      <c r="G1129" t="s">
        <v>213</v>
      </c>
      <c r="H1129" t="s">
        <v>83</v>
      </c>
      <c r="I1129" t="s">
        <v>711</v>
      </c>
      <c r="J1129" t="s">
        <v>515</v>
      </c>
      <c r="K1129">
        <v>1997</v>
      </c>
      <c r="L1129">
        <v>1997</v>
      </c>
      <c r="M1129">
        <v>1.4999999999999999E-2</v>
      </c>
      <c r="N1129">
        <v>5.2999999999999999E-2</v>
      </c>
      <c r="R1129" t="s">
        <v>84</v>
      </c>
      <c r="S1129" t="s">
        <v>6558</v>
      </c>
      <c r="T1129" t="b">
        <v>1</v>
      </c>
      <c r="U1129" t="s">
        <v>111</v>
      </c>
      <c r="V1129" t="s">
        <v>274</v>
      </c>
      <c r="W1129" t="s">
        <v>6559</v>
      </c>
      <c r="X1129" t="s">
        <v>47</v>
      </c>
      <c r="AA1129" t="s">
        <v>716</v>
      </c>
      <c r="AC1129" t="s">
        <v>717</v>
      </c>
      <c r="AD1129" t="b">
        <v>0</v>
      </c>
      <c r="AF1129">
        <v>4</v>
      </c>
      <c r="AG1129" t="s">
        <v>321</v>
      </c>
    </row>
    <row r="1130" spans="1:33" x14ac:dyDescent="0.2">
      <c r="A1130">
        <v>916</v>
      </c>
      <c r="B1130" t="s">
        <v>6560</v>
      </c>
      <c r="C1130" t="s">
        <v>34</v>
      </c>
      <c r="D1130" t="s">
        <v>35</v>
      </c>
      <c r="E1130" t="s">
        <v>3742</v>
      </c>
      <c r="F1130" t="s">
        <v>3743</v>
      </c>
      <c r="G1130" t="s">
        <v>53</v>
      </c>
      <c r="H1130" t="s">
        <v>54</v>
      </c>
      <c r="I1130" t="s">
        <v>55</v>
      </c>
      <c r="J1130" t="s">
        <v>56</v>
      </c>
      <c r="K1130">
        <v>1919</v>
      </c>
      <c r="L1130">
        <v>2021</v>
      </c>
      <c r="M1130">
        <v>3.6</v>
      </c>
      <c r="N1130">
        <v>14.491</v>
      </c>
      <c r="O1130">
        <v>14</v>
      </c>
      <c r="P1130">
        <v>30</v>
      </c>
      <c r="Q1130">
        <v>3.3000000000000002E-2</v>
      </c>
      <c r="R1130" t="s">
        <v>57</v>
      </c>
      <c r="S1130" t="s">
        <v>6561</v>
      </c>
      <c r="T1130" t="b">
        <v>1</v>
      </c>
      <c r="U1130" t="s">
        <v>5502</v>
      </c>
      <c r="V1130" t="s">
        <v>3746</v>
      </c>
      <c r="W1130" t="s">
        <v>6562</v>
      </c>
      <c r="X1130" t="s">
        <v>47</v>
      </c>
      <c r="AA1130" t="s">
        <v>741</v>
      </c>
      <c r="AC1130" t="s">
        <v>742</v>
      </c>
      <c r="AD1130" t="b">
        <v>0</v>
      </c>
      <c r="AF1130">
        <v>6</v>
      </c>
      <c r="AG1130" t="s">
        <v>64</v>
      </c>
    </row>
    <row r="1131" spans="1:33" x14ac:dyDescent="0.2">
      <c r="A1131">
        <v>328</v>
      </c>
      <c r="B1131" t="s">
        <v>6563</v>
      </c>
      <c r="C1131" t="s">
        <v>34</v>
      </c>
      <c r="D1131" t="s">
        <v>35</v>
      </c>
      <c r="E1131" t="s">
        <v>404</v>
      </c>
      <c r="F1131" t="s">
        <v>405</v>
      </c>
      <c r="G1131" t="s">
        <v>224</v>
      </c>
      <c r="H1131" t="s">
        <v>225</v>
      </c>
      <c r="I1131" t="s">
        <v>2631</v>
      </c>
      <c r="J1131" t="s">
        <v>308</v>
      </c>
      <c r="K1131">
        <v>1982</v>
      </c>
      <c r="L1131">
        <v>1982</v>
      </c>
      <c r="M1131">
        <v>15.8</v>
      </c>
      <c r="N1131">
        <v>73.406000000000006</v>
      </c>
      <c r="O1131">
        <v>13.5</v>
      </c>
      <c r="P1131">
        <v>150</v>
      </c>
      <c r="Q1131">
        <v>2.9000000000000001E-2</v>
      </c>
      <c r="R1131" t="s">
        <v>97</v>
      </c>
      <c r="S1131" t="s">
        <v>6564</v>
      </c>
      <c r="T1131" t="b">
        <v>1</v>
      </c>
      <c r="U1131" t="s">
        <v>1196</v>
      </c>
      <c r="V1131" t="s">
        <v>408</v>
      </c>
      <c r="W1131" t="s">
        <v>6565</v>
      </c>
      <c r="X1131" t="s">
        <v>47</v>
      </c>
      <c r="AA1131" t="s">
        <v>1548</v>
      </c>
      <c r="AB1131" t="s">
        <v>765</v>
      </c>
      <c r="AC1131" t="s">
        <v>1549</v>
      </c>
      <c r="AD1131" t="b">
        <v>0</v>
      </c>
      <c r="AF1131">
        <v>1</v>
      </c>
      <c r="AG1131" t="s">
        <v>104</v>
      </c>
    </row>
    <row r="1132" spans="1:33" x14ac:dyDescent="0.2">
      <c r="A1132">
        <v>1506</v>
      </c>
      <c r="B1132" t="s">
        <v>6566</v>
      </c>
      <c r="C1132" t="s">
        <v>34</v>
      </c>
      <c r="D1132" t="s">
        <v>35</v>
      </c>
      <c r="E1132" t="s">
        <v>6567</v>
      </c>
      <c r="F1132" t="s">
        <v>6568</v>
      </c>
      <c r="G1132" t="s">
        <v>53</v>
      </c>
      <c r="H1132" t="s">
        <v>54</v>
      </c>
      <c r="I1132" t="s">
        <v>675</v>
      </c>
      <c r="J1132" t="s">
        <v>676</v>
      </c>
      <c r="K1132">
        <v>2008</v>
      </c>
      <c r="L1132">
        <v>2008</v>
      </c>
      <c r="M1132">
        <v>0.7</v>
      </c>
      <c r="N1132">
        <v>1.573</v>
      </c>
      <c r="O1132">
        <v>63.5</v>
      </c>
      <c r="P1132">
        <v>1.4</v>
      </c>
      <c r="R1132" t="s">
        <v>57</v>
      </c>
      <c r="S1132" t="s">
        <v>6569</v>
      </c>
      <c r="T1132" t="b">
        <v>1</v>
      </c>
      <c r="U1132" t="s">
        <v>6570</v>
      </c>
      <c r="V1132" t="s">
        <v>6571</v>
      </c>
      <c r="W1132" t="s">
        <v>6572</v>
      </c>
      <c r="X1132" t="s">
        <v>47</v>
      </c>
      <c r="AA1132" t="s">
        <v>114</v>
      </c>
      <c r="AC1132" t="s">
        <v>63</v>
      </c>
      <c r="AD1132" t="b">
        <v>0</v>
      </c>
      <c r="AF1132">
        <v>6</v>
      </c>
      <c r="AG1132" t="s">
        <v>64</v>
      </c>
    </row>
    <row r="1133" spans="1:33" x14ac:dyDescent="0.2">
      <c r="A1133">
        <v>1336</v>
      </c>
      <c r="B1133" t="s">
        <v>6573</v>
      </c>
      <c r="C1133" t="s">
        <v>34</v>
      </c>
      <c r="D1133" t="s">
        <v>35</v>
      </c>
      <c r="E1133" t="s">
        <v>36</v>
      </c>
      <c r="F1133" t="s">
        <v>37</v>
      </c>
      <c r="G1133" t="s">
        <v>224</v>
      </c>
      <c r="H1133" t="s">
        <v>225</v>
      </c>
      <c r="I1133" t="s">
        <v>1544</v>
      </c>
      <c r="J1133" t="s">
        <v>426</v>
      </c>
      <c r="K1133">
        <v>2007</v>
      </c>
      <c r="L1133">
        <v>2007</v>
      </c>
      <c r="M1133">
        <v>6.2</v>
      </c>
      <c r="N1133">
        <v>15.59</v>
      </c>
      <c r="O1133">
        <v>13</v>
      </c>
      <c r="P1133">
        <v>53</v>
      </c>
      <c r="Q1133">
        <v>3.2000000000000001E-2</v>
      </c>
      <c r="R1133" t="s">
        <v>57</v>
      </c>
      <c r="S1133" t="s">
        <v>6574</v>
      </c>
      <c r="T1133" t="b">
        <v>1</v>
      </c>
      <c r="U1133" t="s">
        <v>6575</v>
      </c>
      <c r="V1133" t="s">
        <v>45</v>
      </c>
      <c r="W1133" t="s">
        <v>6576</v>
      </c>
      <c r="X1133" t="s">
        <v>47</v>
      </c>
      <c r="AA1133" t="s">
        <v>1548</v>
      </c>
      <c r="AB1133" t="s">
        <v>1697</v>
      </c>
      <c r="AC1133" t="s">
        <v>1549</v>
      </c>
      <c r="AD1133" t="b">
        <v>0</v>
      </c>
      <c r="AF1133">
        <v>2</v>
      </c>
      <c r="AG1133" t="s">
        <v>287</v>
      </c>
    </row>
    <row r="1134" spans="1:33" x14ac:dyDescent="0.2">
      <c r="A1134">
        <v>1870</v>
      </c>
      <c r="B1134" t="s">
        <v>6577</v>
      </c>
      <c r="C1134" t="s">
        <v>34</v>
      </c>
      <c r="D1134" t="s">
        <v>35</v>
      </c>
      <c r="E1134" t="s">
        <v>6578</v>
      </c>
      <c r="F1134" t="s">
        <v>6579</v>
      </c>
      <c r="G1134" t="s">
        <v>242</v>
      </c>
      <c r="H1134" t="s">
        <v>243</v>
      </c>
      <c r="I1134" t="s">
        <v>244</v>
      </c>
      <c r="J1134" t="s">
        <v>245</v>
      </c>
      <c r="K1134">
        <v>2016</v>
      </c>
      <c r="L1134">
        <v>2016</v>
      </c>
      <c r="M1134">
        <v>0.22500000000000001</v>
      </c>
      <c r="N1134">
        <v>0.42199999999999999</v>
      </c>
      <c r="O1134">
        <v>155</v>
      </c>
      <c r="P1134">
        <v>0.183</v>
      </c>
      <c r="Q1134">
        <v>0.34200000000000003</v>
      </c>
      <c r="R1134" t="s">
        <v>72</v>
      </c>
      <c r="S1134" t="s">
        <v>246</v>
      </c>
      <c r="T1134" t="b">
        <v>1</v>
      </c>
      <c r="U1134" t="s">
        <v>6580</v>
      </c>
      <c r="V1134" t="s">
        <v>6581</v>
      </c>
      <c r="W1134" t="s">
        <v>6582</v>
      </c>
      <c r="X1134" t="s">
        <v>47</v>
      </c>
      <c r="AA1134" t="s">
        <v>250</v>
      </c>
      <c r="AC1134" t="s">
        <v>2585</v>
      </c>
      <c r="AD1134" t="b">
        <v>0</v>
      </c>
      <c r="AF1134">
        <v>9</v>
      </c>
      <c r="AG1134" t="s">
        <v>251</v>
      </c>
    </row>
    <row r="1135" spans="1:33" x14ac:dyDescent="0.2">
      <c r="A1135">
        <v>1384</v>
      </c>
      <c r="B1135" t="s">
        <v>6583</v>
      </c>
      <c r="C1135" t="s">
        <v>34</v>
      </c>
      <c r="D1135" t="s">
        <v>35</v>
      </c>
      <c r="E1135" t="s">
        <v>6584</v>
      </c>
      <c r="F1135" t="s">
        <v>6585</v>
      </c>
      <c r="G1135" t="s">
        <v>53</v>
      </c>
      <c r="H1135" t="s">
        <v>54</v>
      </c>
      <c r="I1135" t="s">
        <v>82</v>
      </c>
      <c r="J1135" t="s">
        <v>83</v>
      </c>
      <c r="K1135">
        <v>2008</v>
      </c>
      <c r="L1135">
        <v>2008</v>
      </c>
      <c r="M1135">
        <v>2</v>
      </c>
      <c r="N1135">
        <v>4.891</v>
      </c>
      <c r="O1135">
        <v>497</v>
      </c>
      <c r="P1135">
        <v>0.4</v>
      </c>
      <c r="Q1135">
        <v>1.151</v>
      </c>
      <c r="R1135" t="s">
        <v>84</v>
      </c>
      <c r="S1135" t="s">
        <v>6586</v>
      </c>
      <c r="T1135" t="b">
        <v>1</v>
      </c>
      <c r="U1135" t="s">
        <v>6587</v>
      </c>
      <c r="V1135" t="s">
        <v>6588</v>
      </c>
      <c r="W1135" t="s">
        <v>6589</v>
      </c>
      <c r="X1135" t="s">
        <v>47</v>
      </c>
      <c r="AA1135" t="s">
        <v>6590</v>
      </c>
      <c r="AC1135" t="s">
        <v>63</v>
      </c>
      <c r="AD1135" t="b">
        <v>0</v>
      </c>
      <c r="AF1135">
        <v>5</v>
      </c>
      <c r="AG1135" t="s">
        <v>89</v>
      </c>
    </row>
    <row r="1136" spans="1:33" x14ac:dyDescent="0.2">
      <c r="A1136">
        <v>1385</v>
      </c>
      <c r="B1136" t="s">
        <v>6591</v>
      </c>
      <c r="C1136" t="s">
        <v>34</v>
      </c>
      <c r="D1136" t="s">
        <v>35</v>
      </c>
      <c r="E1136" t="s">
        <v>6584</v>
      </c>
      <c r="F1136" t="s">
        <v>6585</v>
      </c>
      <c r="G1136" t="s">
        <v>53</v>
      </c>
      <c r="H1136" t="s">
        <v>54</v>
      </c>
      <c r="I1136" t="s">
        <v>82</v>
      </c>
      <c r="J1136" t="s">
        <v>83</v>
      </c>
      <c r="K1136">
        <v>2008</v>
      </c>
      <c r="L1136">
        <v>2008</v>
      </c>
      <c r="M1136">
        <v>0.7</v>
      </c>
      <c r="N1136">
        <v>0.83799999999999997</v>
      </c>
      <c r="O1136">
        <v>187</v>
      </c>
      <c r="P1136">
        <v>0.4</v>
      </c>
      <c r="Q1136">
        <v>0.42599999999999999</v>
      </c>
      <c r="R1136" t="s">
        <v>84</v>
      </c>
      <c r="S1136" t="s">
        <v>6586</v>
      </c>
      <c r="T1136" t="b">
        <v>1</v>
      </c>
      <c r="U1136" t="s">
        <v>6587</v>
      </c>
      <c r="V1136" t="s">
        <v>6588</v>
      </c>
      <c r="W1136" t="s">
        <v>6592</v>
      </c>
      <c r="X1136" t="s">
        <v>47</v>
      </c>
      <c r="AA1136" t="s">
        <v>6590</v>
      </c>
      <c r="AC1136" t="s">
        <v>63</v>
      </c>
      <c r="AD1136" t="b">
        <v>0</v>
      </c>
      <c r="AF1136">
        <v>5</v>
      </c>
      <c r="AG1136" t="s">
        <v>89</v>
      </c>
    </row>
    <row r="1137" spans="1:33" x14ac:dyDescent="0.2">
      <c r="A1137">
        <v>1994</v>
      </c>
      <c r="B1137" t="s">
        <v>6593</v>
      </c>
      <c r="C1137" t="s">
        <v>34</v>
      </c>
      <c r="D1137" t="s">
        <v>35</v>
      </c>
      <c r="E1137" t="s">
        <v>1670</v>
      </c>
      <c r="F1137" t="s">
        <v>1671</v>
      </c>
      <c r="G1137" t="s">
        <v>312</v>
      </c>
      <c r="H1137" t="s">
        <v>313</v>
      </c>
      <c r="I1137" t="s">
        <v>493</v>
      </c>
      <c r="J1137" t="s">
        <v>409</v>
      </c>
      <c r="K1137">
        <v>2021</v>
      </c>
      <c r="L1137">
        <v>2021</v>
      </c>
      <c r="M1137">
        <v>9.9</v>
      </c>
      <c r="N1137">
        <v>36.841000000000001</v>
      </c>
      <c r="O1137">
        <v>45</v>
      </c>
      <c r="P1137">
        <v>27</v>
      </c>
      <c r="Q1137">
        <v>0.10199999999999999</v>
      </c>
      <c r="R1137" t="s">
        <v>84</v>
      </c>
      <c r="S1137" t="s">
        <v>6594</v>
      </c>
      <c r="T1137" t="b">
        <v>1</v>
      </c>
      <c r="U1137" t="s">
        <v>4653</v>
      </c>
      <c r="V1137" t="s">
        <v>1675</v>
      </c>
      <c r="W1137" t="s">
        <v>6595</v>
      </c>
      <c r="X1137" t="s">
        <v>47</v>
      </c>
      <c r="AA1137" t="s">
        <v>498</v>
      </c>
      <c r="AB1137" t="s">
        <v>612</v>
      </c>
      <c r="AC1137" t="s">
        <v>499</v>
      </c>
      <c r="AD1137" t="b">
        <v>0</v>
      </c>
      <c r="AF1137">
        <v>4</v>
      </c>
      <c r="AG1137" t="s">
        <v>321</v>
      </c>
    </row>
    <row r="1138" spans="1:33" x14ac:dyDescent="0.2">
      <c r="A1138">
        <v>1659</v>
      </c>
      <c r="B1138" t="s">
        <v>6596</v>
      </c>
      <c r="C1138" t="s">
        <v>34</v>
      </c>
      <c r="D1138" t="s">
        <v>35</v>
      </c>
      <c r="G1138" t="s">
        <v>224</v>
      </c>
      <c r="H1138" t="s">
        <v>225</v>
      </c>
      <c r="I1138" t="s">
        <v>4084</v>
      </c>
      <c r="J1138" t="s">
        <v>94</v>
      </c>
      <c r="K1138">
        <v>2010</v>
      </c>
      <c r="L1138">
        <v>2010</v>
      </c>
      <c r="M1138">
        <v>8.1500000000000003E-2</v>
      </c>
      <c r="N1138">
        <v>0.33800000000000002</v>
      </c>
      <c r="R1138" t="s">
        <v>97</v>
      </c>
      <c r="S1138" t="s">
        <v>6597</v>
      </c>
      <c r="T1138" t="b">
        <v>1</v>
      </c>
      <c r="U1138" t="s">
        <v>6598</v>
      </c>
      <c r="V1138" t="s">
        <v>274</v>
      </c>
      <c r="W1138" t="s">
        <v>6599</v>
      </c>
      <c r="X1138" t="s">
        <v>47</v>
      </c>
      <c r="AA1138" t="s">
        <v>1548</v>
      </c>
      <c r="AC1138" t="s">
        <v>1549</v>
      </c>
      <c r="AD1138" t="b">
        <v>0</v>
      </c>
      <c r="AF1138">
        <v>1</v>
      </c>
      <c r="AG1138" t="s">
        <v>104</v>
      </c>
    </row>
    <row r="1139" spans="1:33" x14ac:dyDescent="0.2">
      <c r="A1139">
        <v>329</v>
      </c>
      <c r="B1139" t="s">
        <v>6600</v>
      </c>
      <c r="C1139" t="s">
        <v>34</v>
      </c>
      <c r="D1139" t="s">
        <v>35</v>
      </c>
      <c r="E1139" t="s">
        <v>6601</v>
      </c>
      <c r="F1139" t="s">
        <v>6602</v>
      </c>
      <c r="G1139" t="s">
        <v>224</v>
      </c>
      <c r="H1139" t="s">
        <v>225</v>
      </c>
      <c r="I1139" t="s">
        <v>1710</v>
      </c>
      <c r="J1139" t="s">
        <v>1077</v>
      </c>
      <c r="K1139">
        <v>1961</v>
      </c>
      <c r="L1139">
        <v>1961</v>
      </c>
      <c r="M1139">
        <v>30</v>
      </c>
      <c r="N1139">
        <v>184.16800000000001</v>
      </c>
      <c r="O1139">
        <v>22.39</v>
      </c>
      <c r="P1139">
        <v>157.22</v>
      </c>
      <c r="Q1139">
        <v>5.1999999999999998E-2</v>
      </c>
      <c r="R1139" t="s">
        <v>97</v>
      </c>
      <c r="S1139" t="s">
        <v>6603</v>
      </c>
      <c r="T1139" t="b">
        <v>1</v>
      </c>
      <c r="U1139" t="s">
        <v>6604</v>
      </c>
      <c r="V1139" t="s">
        <v>6605</v>
      </c>
      <c r="W1139" t="s">
        <v>6606</v>
      </c>
      <c r="X1139" t="s">
        <v>47</v>
      </c>
      <c r="AA1139" t="s">
        <v>102</v>
      </c>
      <c r="AB1139" t="s">
        <v>437</v>
      </c>
      <c r="AC1139" t="s">
        <v>103</v>
      </c>
      <c r="AD1139" t="b">
        <v>0</v>
      </c>
      <c r="AF1139">
        <v>1</v>
      </c>
      <c r="AG1139" t="s">
        <v>104</v>
      </c>
    </row>
    <row r="1140" spans="1:33" x14ac:dyDescent="0.2">
      <c r="A1140">
        <v>2043</v>
      </c>
      <c r="B1140" t="s">
        <v>6607</v>
      </c>
      <c r="C1140" t="s">
        <v>34</v>
      </c>
      <c r="D1140" t="s">
        <v>35</v>
      </c>
      <c r="E1140" t="s">
        <v>6608</v>
      </c>
      <c r="F1140" t="s">
        <v>6609</v>
      </c>
      <c r="G1140" t="s">
        <v>312</v>
      </c>
      <c r="H1140" t="s">
        <v>313</v>
      </c>
      <c r="I1140" t="s">
        <v>2250</v>
      </c>
      <c r="J1140" t="s">
        <v>836</v>
      </c>
      <c r="K1140">
        <v>2021</v>
      </c>
      <c r="L1140">
        <v>2021</v>
      </c>
      <c r="M1140">
        <v>1.6</v>
      </c>
      <c r="N1140">
        <v>6.3330000000000002</v>
      </c>
      <c r="O1140">
        <v>198.25</v>
      </c>
      <c r="P1140">
        <v>1.04</v>
      </c>
      <c r="Q1140">
        <v>0.42699999999999999</v>
      </c>
      <c r="R1140" t="s">
        <v>84</v>
      </c>
      <c r="S1140" t="s">
        <v>6610</v>
      </c>
      <c r="T1140" t="b">
        <v>1</v>
      </c>
      <c r="U1140" t="s">
        <v>6611</v>
      </c>
      <c r="V1140" t="s">
        <v>6612</v>
      </c>
      <c r="W1140" t="s">
        <v>6613</v>
      </c>
      <c r="X1140" t="s">
        <v>47</v>
      </c>
      <c r="AA1140" t="s">
        <v>615</v>
      </c>
      <c r="AC1140" t="s">
        <v>616</v>
      </c>
      <c r="AD1140" t="b">
        <v>0</v>
      </c>
      <c r="AF1140">
        <v>4</v>
      </c>
      <c r="AG1140" t="s">
        <v>321</v>
      </c>
    </row>
    <row r="1141" spans="1:33" x14ac:dyDescent="0.2">
      <c r="A1141">
        <v>773</v>
      </c>
      <c r="B1141" t="s">
        <v>6614</v>
      </c>
      <c r="C1141" t="s">
        <v>34</v>
      </c>
      <c r="D1141" t="s">
        <v>35</v>
      </c>
      <c r="E1141" t="s">
        <v>6615</v>
      </c>
      <c r="F1141" t="s">
        <v>6616</v>
      </c>
      <c r="G1141" t="s">
        <v>68</v>
      </c>
      <c r="H1141" t="s">
        <v>69</v>
      </c>
      <c r="I1141" t="s">
        <v>1209</v>
      </c>
      <c r="J1141" t="s">
        <v>171</v>
      </c>
      <c r="K1141">
        <v>1983</v>
      </c>
      <c r="L1141">
        <v>1983</v>
      </c>
      <c r="M1141">
        <v>1.2</v>
      </c>
      <c r="N1141">
        <v>3.2839999999999998</v>
      </c>
      <c r="O1141">
        <v>380</v>
      </c>
      <c r="P1141">
        <v>0.36</v>
      </c>
      <c r="Q1141">
        <v>0.92500000000000004</v>
      </c>
      <c r="R1141" t="s">
        <v>72</v>
      </c>
      <c r="S1141" t="s">
        <v>6617</v>
      </c>
      <c r="T1141" t="b">
        <v>1</v>
      </c>
      <c r="U1141" t="s">
        <v>6618</v>
      </c>
      <c r="V1141" t="s">
        <v>6619</v>
      </c>
      <c r="W1141" t="s">
        <v>113</v>
      </c>
      <c r="X1141" t="s">
        <v>47</v>
      </c>
      <c r="AA1141" t="s">
        <v>6620</v>
      </c>
      <c r="AB1141" t="s">
        <v>49</v>
      </c>
      <c r="AC1141" t="s">
        <v>6621</v>
      </c>
      <c r="AD1141" t="b">
        <v>0</v>
      </c>
      <c r="AF1141">
        <v>8</v>
      </c>
      <c r="AG1141" t="s">
        <v>78</v>
      </c>
    </row>
    <row r="1142" spans="1:33" x14ac:dyDescent="0.2">
      <c r="A1142">
        <v>330</v>
      </c>
      <c r="B1142" t="s">
        <v>2074</v>
      </c>
      <c r="C1142" t="s">
        <v>34</v>
      </c>
      <c r="D1142" t="s">
        <v>35</v>
      </c>
      <c r="E1142" t="s">
        <v>36</v>
      </c>
      <c r="F1142" t="s">
        <v>37</v>
      </c>
      <c r="G1142" t="s">
        <v>134</v>
      </c>
      <c r="H1142" t="s">
        <v>135</v>
      </c>
      <c r="I1142" t="s">
        <v>2074</v>
      </c>
      <c r="J1142" t="s">
        <v>225</v>
      </c>
      <c r="K1142">
        <v>1968</v>
      </c>
      <c r="L1142">
        <v>1968</v>
      </c>
      <c r="M1142">
        <v>500</v>
      </c>
      <c r="N1142">
        <v>2223.7370000000001</v>
      </c>
      <c r="O1142">
        <v>505.29</v>
      </c>
      <c r="P1142">
        <v>115.73</v>
      </c>
      <c r="Q1142">
        <v>1.2</v>
      </c>
      <c r="R1142" t="s">
        <v>42</v>
      </c>
      <c r="S1142" t="s">
        <v>3264</v>
      </c>
      <c r="T1142" t="b">
        <v>1</v>
      </c>
      <c r="U1142" t="s">
        <v>6622</v>
      </c>
      <c r="V1142" t="s">
        <v>45</v>
      </c>
      <c r="W1142" t="s">
        <v>6623</v>
      </c>
      <c r="X1142" t="s">
        <v>47</v>
      </c>
      <c r="AA1142" t="s">
        <v>2652</v>
      </c>
      <c r="AB1142" t="s">
        <v>49</v>
      </c>
      <c r="AC1142" t="s">
        <v>4571</v>
      </c>
      <c r="AD1142" t="b">
        <v>0</v>
      </c>
      <c r="AF1142">
        <v>10</v>
      </c>
      <c r="AG1142" t="s">
        <v>143</v>
      </c>
    </row>
    <row r="1143" spans="1:33" x14ac:dyDescent="0.2">
      <c r="A1143">
        <v>1450</v>
      </c>
      <c r="B1143" t="s">
        <v>6624</v>
      </c>
      <c r="C1143" t="s">
        <v>34</v>
      </c>
      <c r="D1143" t="s">
        <v>35</v>
      </c>
      <c r="E1143" t="s">
        <v>168</v>
      </c>
      <c r="F1143" t="s">
        <v>169</v>
      </c>
      <c r="G1143" t="s">
        <v>53</v>
      </c>
      <c r="H1143" t="s">
        <v>54</v>
      </c>
      <c r="I1143" t="s">
        <v>55</v>
      </c>
      <c r="J1143" t="s">
        <v>56</v>
      </c>
      <c r="K1143">
        <v>2009</v>
      </c>
      <c r="L1143">
        <v>2009</v>
      </c>
      <c r="M1143">
        <v>5.2</v>
      </c>
      <c r="N1143">
        <v>12.064</v>
      </c>
      <c r="O1143">
        <v>280</v>
      </c>
      <c r="P1143">
        <v>2.2000000000000002</v>
      </c>
      <c r="Q1143">
        <v>0.65700000000000003</v>
      </c>
      <c r="R1143" t="s">
        <v>57</v>
      </c>
      <c r="S1143" t="s">
        <v>6625</v>
      </c>
      <c r="T1143" t="b">
        <v>1</v>
      </c>
      <c r="U1143" t="s">
        <v>6626</v>
      </c>
      <c r="V1143" t="s">
        <v>174</v>
      </c>
      <c r="W1143" t="s">
        <v>6627</v>
      </c>
      <c r="X1143" t="s">
        <v>47</v>
      </c>
      <c r="AA1143" t="s">
        <v>741</v>
      </c>
      <c r="AB1143" t="s">
        <v>49</v>
      </c>
      <c r="AC1143" t="s">
        <v>742</v>
      </c>
      <c r="AD1143" t="b">
        <v>0</v>
      </c>
      <c r="AF1143">
        <v>6</v>
      </c>
      <c r="AG1143" t="s">
        <v>64</v>
      </c>
    </row>
    <row r="1144" spans="1:33" x14ac:dyDescent="0.2">
      <c r="A1144">
        <v>331</v>
      </c>
      <c r="B1144" t="s">
        <v>6628</v>
      </c>
      <c r="C1144" t="s">
        <v>34</v>
      </c>
      <c r="D1144" t="s">
        <v>35</v>
      </c>
      <c r="E1144" t="s">
        <v>277</v>
      </c>
      <c r="F1144" t="s">
        <v>278</v>
      </c>
      <c r="G1144" t="s">
        <v>93</v>
      </c>
      <c r="H1144" t="s">
        <v>94</v>
      </c>
      <c r="I1144" t="s">
        <v>2295</v>
      </c>
      <c r="J1144" t="s">
        <v>280</v>
      </c>
      <c r="K1144">
        <v>1941</v>
      </c>
      <c r="L1144">
        <v>1941</v>
      </c>
      <c r="M1144">
        <v>1.1000000000000001</v>
      </c>
      <c r="N1144">
        <v>5.5289999999999999</v>
      </c>
      <c r="O1144">
        <v>391.7</v>
      </c>
      <c r="P1144">
        <v>0.4</v>
      </c>
      <c r="Q1144">
        <v>0.76300000000000001</v>
      </c>
      <c r="R1144" t="s">
        <v>97</v>
      </c>
      <c r="S1144" t="s">
        <v>6629</v>
      </c>
      <c r="T1144" t="b">
        <v>1</v>
      </c>
      <c r="U1144" t="s">
        <v>6630</v>
      </c>
      <c r="V1144" t="s">
        <v>389</v>
      </c>
      <c r="W1144" t="s">
        <v>6631</v>
      </c>
      <c r="X1144" t="s">
        <v>47</v>
      </c>
      <c r="AA1144" t="s">
        <v>340</v>
      </c>
      <c r="AB1144" t="s">
        <v>2786</v>
      </c>
      <c r="AC1144" t="s">
        <v>1063</v>
      </c>
      <c r="AD1144" t="b">
        <v>0</v>
      </c>
      <c r="AF1144">
        <v>1</v>
      </c>
      <c r="AG1144" t="s">
        <v>104</v>
      </c>
    </row>
    <row r="1145" spans="1:33" x14ac:dyDescent="0.2">
      <c r="A1145">
        <v>728</v>
      </c>
      <c r="B1145" t="s">
        <v>6632</v>
      </c>
      <c r="C1145" t="s">
        <v>34</v>
      </c>
      <c r="D1145" t="s">
        <v>35</v>
      </c>
      <c r="E1145" t="s">
        <v>2661</v>
      </c>
      <c r="F1145" t="s">
        <v>2662</v>
      </c>
      <c r="G1145" t="s">
        <v>242</v>
      </c>
      <c r="H1145" t="s">
        <v>243</v>
      </c>
      <c r="I1145" t="s">
        <v>2663</v>
      </c>
      <c r="J1145" t="s">
        <v>262</v>
      </c>
      <c r="K1145">
        <v>1938</v>
      </c>
      <c r="L1145">
        <v>1996</v>
      </c>
      <c r="M1145">
        <v>2.7</v>
      </c>
      <c r="N1145">
        <v>11.807</v>
      </c>
      <c r="O1145">
        <v>61.5</v>
      </c>
      <c r="P1145">
        <v>5.3</v>
      </c>
      <c r="Q1145">
        <v>0.14599999999999999</v>
      </c>
      <c r="R1145" t="s">
        <v>72</v>
      </c>
      <c r="S1145" t="s">
        <v>6633</v>
      </c>
      <c r="T1145" t="b">
        <v>1</v>
      </c>
      <c r="U1145" t="s">
        <v>439</v>
      </c>
      <c r="V1145" t="s">
        <v>2666</v>
      </c>
      <c r="W1145" t="s">
        <v>6634</v>
      </c>
      <c r="X1145" t="s">
        <v>47</v>
      </c>
      <c r="AA1145" t="s">
        <v>1276</v>
      </c>
      <c r="AB1145" t="s">
        <v>56</v>
      </c>
      <c r="AC1145" t="s">
        <v>1277</v>
      </c>
      <c r="AD1145" t="b">
        <v>0</v>
      </c>
      <c r="AF1145">
        <v>9</v>
      </c>
      <c r="AG1145" t="s">
        <v>251</v>
      </c>
    </row>
    <row r="1146" spans="1:33" x14ac:dyDescent="0.2">
      <c r="A1146">
        <v>1375</v>
      </c>
      <c r="B1146" t="s">
        <v>6635</v>
      </c>
      <c r="C1146" t="s">
        <v>574</v>
      </c>
      <c r="D1146" t="s">
        <v>575</v>
      </c>
      <c r="E1146" t="s">
        <v>277</v>
      </c>
      <c r="F1146" t="s">
        <v>278</v>
      </c>
      <c r="G1146" t="s">
        <v>93</v>
      </c>
      <c r="H1146" t="s">
        <v>94</v>
      </c>
      <c r="I1146" t="s">
        <v>2518</v>
      </c>
      <c r="J1146" t="s">
        <v>225</v>
      </c>
      <c r="K1146">
        <v>2007</v>
      </c>
      <c r="L1146">
        <v>2007</v>
      </c>
      <c r="M1146">
        <v>-3.8</v>
      </c>
      <c r="N1146">
        <v>-12.432</v>
      </c>
      <c r="P1146">
        <v>15</v>
      </c>
      <c r="Q1146">
        <v>-3.7499999999999999E-2</v>
      </c>
      <c r="R1146" t="s">
        <v>72</v>
      </c>
      <c r="S1146" t="s">
        <v>2519</v>
      </c>
      <c r="T1146" t="b">
        <v>1</v>
      </c>
      <c r="U1146" t="s">
        <v>59</v>
      </c>
      <c r="V1146" t="s">
        <v>6636</v>
      </c>
      <c r="W1146" t="s">
        <v>6637</v>
      </c>
      <c r="X1146" t="s">
        <v>47</v>
      </c>
      <c r="AA1146" t="s">
        <v>340</v>
      </c>
      <c r="AB1146" t="s">
        <v>533</v>
      </c>
      <c r="AC1146" t="s">
        <v>1063</v>
      </c>
      <c r="AD1146" t="b">
        <v>0</v>
      </c>
      <c r="AF1146">
        <v>8</v>
      </c>
      <c r="AG1146" t="s">
        <v>78</v>
      </c>
    </row>
    <row r="1147" spans="1:33" x14ac:dyDescent="0.2">
      <c r="A1147">
        <v>2031</v>
      </c>
      <c r="B1147" t="s">
        <v>6638</v>
      </c>
      <c r="C1147" t="s">
        <v>34</v>
      </c>
      <c r="D1147" t="s">
        <v>35</v>
      </c>
      <c r="E1147" t="s">
        <v>2311</v>
      </c>
      <c r="F1147" t="s">
        <v>2312</v>
      </c>
      <c r="G1147" t="s">
        <v>134</v>
      </c>
      <c r="H1147" t="s">
        <v>135</v>
      </c>
      <c r="I1147" t="s">
        <v>345</v>
      </c>
      <c r="J1147" t="s">
        <v>256</v>
      </c>
      <c r="K1147">
        <v>2021</v>
      </c>
      <c r="L1147">
        <v>2021</v>
      </c>
      <c r="M1147">
        <v>5.6</v>
      </c>
      <c r="N1147">
        <v>13.54</v>
      </c>
      <c r="O1147">
        <v>75.75</v>
      </c>
      <c r="P1147">
        <v>7.89</v>
      </c>
      <c r="Q1147">
        <v>0.19700000000000001</v>
      </c>
      <c r="R1147" t="s">
        <v>42</v>
      </c>
      <c r="S1147" t="s">
        <v>6639</v>
      </c>
      <c r="T1147" t="b">
        <v>1</v>
      </c>
      <c r="U1147" t="s">
        <v>6640</v>
      </c>
      <c r="V1147" t="s">
        <v>2315</v>
      </c>
      <c r="W1147" t="s">
        <v>6641</v>
      </c>
      <c r="X1147" t="s">
        <v>47</v>
      </c>
      <c r="AA1147" t="s">
        <v>4708</v>
      </c>
      <c r="AC1147" t="s">
        <v>4709</v>
      </c>
      <c r="AD1147" t="b">
        <v>0</v>
      </c>
      <c r="AF1147">
        <v>10</v>
      </c>
      <c r="AG1147" t="s">
        <v>143</v>
      </c>
    </row>
    <row r="1148" spans="1:33" x14ac:dyDescent="0.2">
      <c r="A1148">
        <v>1159</v>
      </c>
      <c r="B1148" t="s">
        <v>6642</v>
      </c>
      <c r="C1148" t="s">
        <v>34</v>
      </c>
      <c r="D1148" t="s">
        <v>35</v>
      </c>
      <c r="G1148" t="s">
        <v>38</v>
      </c>
      <c r="H1148" t="s">
        <v>39</v>
      </c>
      <c r="I1148" t="s">
        <v>6079</v>
      </c>
      <c r="J1148" t="s">
        <v>539</v>
      </c>
      <c r="K1148">
        <v>1990</v>
      </c>
      <c r="L1148">
        <v>1990</v>
      </c>
      <c r="M1148">
        <v>5.0000000000000001E-3</v>
      </c>
      <c r="N1148">
        <v>0.02</v>
      </c>
      <c r="R1148" t="s">
        <v>42</v>
      </c>
      <c r="S1148" t="s">
        <v>6080</v>
      </c>
      <c r="T1148" t="b">
        <v>1</v>
      </c>
      <c r="U1148" t="s">
        <v>162</v>
      </c>
      <c r="V1148" t="s">
        <v>274</v>
      </c>
      <c r="W1148" t="s">
        <v>113</v>
      </c>
      <c r="X1148" t="s">
        <v>47</v>
      </c>
      <c r="AA1148" t="s">
        <v>6081</v>
      </c>
      <c r="AC1148" t="s">
        <v>6082</v>
      </c>
      <c r="AD1148" t="b">
        <v>0</v>
      </c>
      <c r="AF1148">
        <v>12</v>
      </c>
      <c r="AG1148" t="s">
        <v>51</v>
      </c>
    </row>
    <row r="1149" spans="1:33" x14ac:dyDescent="0.2">
      <c r="A1149">
        <v>1652</v>
      </c>
      <c r="B1149" t="s">
        <v>6643</v>
      </c>
      <c r="C1149" t="s">
        <v>34</v>
      </c>
      <c r="D1149" t="s">
        <v>35</v>
      </c>
      <c r="E1149" t="s">
        <v>6069</v>
      </c>
      <c r="F1149" t="s">
        <v>6070</v>
      </c>
      <c r="G1149" t="s">
        <v>134</v>
      </c>
      <c r="H1149" t="s">
        <v>135</v>
      </c>
      <c r="I1149" t="s">
        <v>2074</v>
      </c>
      <c r="J1149" t="s">
        <v>225</v>
      </c>
      <c r="K1149">
        <v>2011</v>
      </c>
      <c r="L1149">
        <v>2011</v>
      </c>
      <c r="M1149">
        <v>1.25</v>
      </c>
      <c r="N1149">
        <v>4.165</v>
      </c>
      <c r="O1149">
        <v>38</v>
      </c>
      <c r="P1149">
        <v>4</v>
      </c>
      <c r="Q1149">
        <v>8.6999999999999994E-2</v>
      </c>
      <c r="R1149" t="s">
        <v>42</v>
      </c>
      <c r="S1149" t="s">
        <v>6644</v>
      </c>
      <c r="T1149" t="b">
        <v>1</v>
      </c>
      <c r="U1149" t="s">
        <v>6341</v>
      </c>
      <c r="V1149" t="s">
        <v>6073</v>
      </c>
      <c r="W1149" t="s">
        <v>6645</v>
      </c>
      <c r="X1149" t="s">
        <v>47</v>
      </c>
      <c r="AA1149" t="s">
        <v>2652</v>
      </c>
      <c r="AB1149" t="s">
        <v>192</v>
      </c>
      <c r="AC1149" t="s">
        <v>2653</v>
      </c>
      <c r="AD1149" t="b">
        <v>0</v>
      </c>
      <c r="AF1149">
        <v>10</v>
      </c>
      <c r="AG1149" t="s">
        <v>143</v>
      </c>
    </row>
    <row r="1150" spans="1:33" x14ac:dyDescent="0.2">
      <c r="A1150">
        <v>332</v>
      </c>
      <c r="B1150" t="s">
        <v>6646</v>
      </c>
      <c r="C1150" t="s">
        <v>34</v>
      </c>
      <c r="D1150" t="s">
        <v>35</v>
      </c>
      <c r="E1150" t="s">
        <v>36</v>
      </c>
      <c r="F1150" t="s">
        <v>37</v>
      </c>
      <c r="G1150" t="s">
        <v>53</v>
      </c>
      <c r="H1150" t="s">
        <v>54</v>
      </c>
      <c r="I1150" t="s">
        <v>2104</v>
      </c>
      <c r="J1150" t="s">
        <v>203</v>
      </c>
      <c r="K1150">
        <v>1957</v>
      </c>
      <c r="L1150">
        <v>1968</v>
      </c>
      <c r="M1150">
        <v>90</v>
      </c>
      <c r="N1150">
        <v>439.85199999999998</v>
      </c>
      <c r="O1150">
        <v>513.59</v>
      </c>
      <c r="P1150">
        <v>21.01</v>
      </c>
      <c r="Q1150">
        <v>1.19</v>
      </c>
      <c r="R1150" t="s">
        <v>57</v>
      </c>
      <c r="S1150" t="s">
        <v>5994</v>
      </c>
      <c r="T1150" t="b">
        <v>1</v>
      </c>
      <c r="U1150" t="s">
        <v>6647</v>
      </c>
      <c r="V1150" t="s">
        <v>3949</v>
      </c>
      <c r="W1150" t="s">
        <v>6648</v>
      </c>
      <c r="X1150" t="s">
        <v>47</v>
      </c>
      <c r="AA1150" t="s">
        <v>5579</v>
      </c>
      <c r="AB1150" t="s">
        <v>177</v>
      </c>
      <c r="AC1150" t="s">
        <v>3952</v>
      </c>
      <c r="AD1150" t="b">
        <v>0</v>
      </c>
      <c r="AF1150">
        <v>7</v>
      </c>
      <c r="AG1150" t="s">
        <v>469</v>
      </c>
    </row>
    <row r="1151" spans="1:33" x14ac:dyDescent="0.2">
      <c r="A1151">
        <v>1664</v>
      </c>
      <c r="B1151" t="s">
        <v>6646</v>
      </c>
      <c r="C1151" t="s">
        <v>34</v>
      </c>
      <c r="D1151" t="s">
        <v>35</v>
      </c>
      <c r="E1151" t="s">
        <v>1200</v>
      </c>
      <c r="F1151" t="s">
        <v>1201</v>
      </c>
      <c r="G1151" t="s">
        <v>53</v>
      </c>
      <c r="H1151" t="s">
        <v>54</v>
      </c>
      <c r="I1151" t="s">
        <v>147</v>
      </c>
      <c r="J1151" t="s">
        <v>148</v>
      </c>
      <c r="K1151">
        <v>2000</v>
      </c>
      <c r="L1151">
        <v>2000</v>
      </c>
      <c r="M1151">
        <v>0.49299999999999999</v>
      </c>
      <c r="N1151">
        <v>1.198</v>
      </c>
      <c r="O1151">
        <v>414.4</v>
      </c>
      <c r="P1151">
        <v>0.12</v>
      </c>
      <c r="Q1151">
        <v>1.1299999999999999</v>
      </c>
      <c r="R1151" t="s">
        <v>72</v>
      </c>
      <c r="S1151" t="s">
        <v>6649</v>
      </c>
      <c r="T1151" t="b">
        <v>1</v>
      </c>
      <c r="U1151" t="s">
        <v>5743</v>
      </c>
      <c r="V1151" t="s">
        <v>1204</v>
      </c>
      <c r="W1151" t="s">
        <v>5744</v>
      </c>
      <c r="X1151" t="s">
        <v>47</v>
      </c>
      <c r="AA1151" t="s">
        <v>153</v>
      </c>
      <c r="AC1151" t="s">
        <v>154</v>
      </c>
      <c r="AD1151" t="b">
        <v>0</v>
      </c>
      <c r="AF1151">
        <v>13</v>
      </c>
      <c r="AG1151" t="s">
        <v>155</v>
      </c>
    </row>
    <row r="1152" spans="1:33" x14ac:dyDescent="0.2">
      <c r="A1152">
        <v>1067</v>
      </c>
      <c r="B1152" t="s">
        <v>6650</v>
      </c>
      <c r="C1152" t="s">
        <v>34</v>
      </c>
      <c r="D1152" t="s">
        <v>35</v>
      </c>
      <c r="E1152" t="s">
        <v>6651</v>
      </c>
      <c r="F1152" t="s">
        <v>6652</v>
      </c>
      <c r="G1152" t="s">
        <v>503</v>
      </c>
      <c r="H1152" t="s">
        <v>462</v>
      </c>
      <c r="I1152" t="s">
        <v>1292</v>
      </c>
      <c r="J1152" t="s">
        <v>1077</v>
      </c>
      <c r="K1152">
        <v>1996</v>
      </c>
      <c r="L1152">
        <v>1996</v>
      </c>
      <c r="M1152">
        <v>3.7000000000000002E-3</v>
      </c>
      <c r="N1152">
        <v>0.02</v>
      </c>
      <c r="R1152" t="s">
        <v>84</v>
      </c>
      <c r="S1152" t="s">
        <v>6653</v>
      </c>
      <c r="T1152" t="b">
        <v>1</v>
      </c>
      <c r="U1152" t="s">
        <v>439</v>
      </c>
      <c r="V1152" t="s">
        <v>6654</v>
      </c>
      <c r="W1152" t="s">
        <v>113</v>
      </c>
      <c r="X1152" t="s">
        <v>47</v>
      </c>
      <c r="AA1152" t="s">
        <v>1297</v>
      </c>
      <c r="AC1152" t="s">
        <v>1298</v>
      </c>
      <c r="AD1152" t="b">
        <v>0</v>
      </c>
      <c r="AF1152">
        <v>3</v>
      </c>
      <c r="AG1152" t="s">
        <v>332</v>
      </c>
    </row>
    <row r="1153" spans="1:33" x14ac:dyDescent="0.2">
      <c r="A1153">
        <v>333</v>
      </c>
      <c r="B1153" t="s">
        <v>6655</v>
      </c>
      <c r="C1153" t="s">
        <v>34</v>
      </c>
      <c r="D1153" t="s">
        <v>35</v>
      </c>
      <c r="E1153" t="s">
        <v>36</v>
      </c>
      <c r="F1153" t="s">
        <v>37</v>
      </c>
      <c r="G1153" t="s">
        <v>134</v>
      </c>
      <c r="H1153" t="s">
        <v>135</v>
      </c>
      <c r="I1153" t="s">
        <v>2074</v>
      </c>
      <c r="J1153" t="s">
        <v>225</v>
      </c>
      <c r="K1153">
        <v>1925</v>
      </c>
      <c r="L1153">
        <v>1925</v>
      </c>
      <c r="M1153">
        <v>3.4</v>
      </c>
      <c r="N1153">
        <v>22.823</v>
      </c>
      <c r="O1153">
        <v>30</v>
      </c>
      <c r="P1153">
        <v>13.48</v>
      </c>
      <c r="Q1153">
        <v>7.0000000000000007E-2</v>
      </c>
      <c r="R1153" t="s">
        <v>42</v>
      </c>
      <c r="S1153" t="s">
        <v>6656</v>
      </c>
      <c r="T1153" t="b">
        <v>1</v>
      </c>
      <c r="U1153" t="s">
        <v>6657</v>
      </c>
      <c r="V1153" t="s">
        <v>45</v>
      </c>
      <c r="W1153" t="s">
        <v>113</v>
      </c>
      <c r="X1153" t="s">
        <v>47</v>
      </c>
      <c r="AA1153" t="s">
        <v>2652</v>
      </c>
      <c r="AB1153" t="s">
        <v>177</v>
      </c>
      <c r="AC1153" t="s">
        <v>2653</v>
      </c>
      <c r="AD1153" t="b">
        <v>0</v>
      </c>
      <c r="AF1153">
        <v>10</v>
      </c>
      <c r="AG1153" t="s">
        <v>143</v>
      </c>
    </row>
    <row r="1154" spans="1:33" x14ac:dyDescent="0.2">
      <c r="A1154">
        <v>1459</v>
      </c>
      <c r="B1154" t="s">
        <v>6658</v>
      </c>
      <c r="C1154" t="s">
        <v>34</v>
      </c>
      <c r="D1154" t="s">
        <v>35</v>
      </c>
      <c r="E1154" t="s">
        <v>168</v>
      </c>
      <c r="F1154" t="s">
        <v>169</v>
      </c>
      <c r="G1154" t="s">
        <v>134</v>
      </c>
      <c r="H1154" t="s">
        <v>135</v>
      </c>
      <c r="I1154" t="s">
        <v>2074</v>
      </c>
      <c r="J1154" t="s">
        <v>225</v>
      </c>
      <c r="K1154">
        <v>2009</v>
      </c>
      <c r="L1154">
        <v>2009</v>
      </c>
      <c r="M1154">
        <v>2.1</v>
      </c>
      <c r="N1154">
        <v>6.1559999999999997</v>
      </c>
      <c r="O1154">
        <v>196</v>
      </c>
      <c r="P1154">
        <v>1.3</v>
      </c>
      <c r="Q1154">
        <v>0.44900000000000001</v>
      </c>
      <c r="R1154" t="s">
        <v>42</v>
      </c>
      <c r="S1154" t="s">
        <v>6659</v>
      </c>
      <c r="T1154" t="b">
        <v>1</v>
      </c>
      <c r="U1154" t="s">
        <v>6660</v>
      </c>
      <c r="V1154" t="s">
        <v>174</v>
      </c>
      <c r="W1154" t="s">
        <v>6661</v>
      </c>
      <c r="X1154" t="s">
        <v>47</v>
      </c>
      <c r="AA1154" t="s">
        <v>2652</v>
      </c>
      <c r="AB1154" t="s">
        <v>227</v>
      </c>
      <c r="AC1154" t="s">
        <v>2653</v>
      </c>
      <c r="AD1154" t="b">
        <v>0</v>
      </c>
      <c r="AF1154">
        <v>10</v>
      </c>
      <c r="AG1154" t="s">
        <v>143</v>
      </c>
    </row>
    <row r="1155" spans="1:33" x14ac:dyDescent="0.2">
      <c r="A1155">
        <v>1412</v>
      </c>
      <c r="B1155" t="s">
        <v>6662</v>
      </c>
      <c r="C1155" t="s">
        <v>34</v>
      </c>
      <c r="D1155" t="s">
        <v>35</v>
      </c>
      <c r="E1155" t="s">
        <v>6663</v>
      </c>
      <c r="F1155" t="s">
        <v>6664</v>
      </c>
      <c r="G1155" t="s">
        <v>93</v>
      </c>
      <c r="H1155" t="s">
        <v>94</v>
      </c>
      <c r="I1155" t="s">
        <v>353</v>
      </c>
      <c r="J1155" t="s">
        <v>354</v>
      </c>
      <c r="K1155">
        <v>2008</v>
      </c>
      <c r="L1155">
        <v>2008</v>
      </c>
      <c r="M1155">
        <v>3.1</v>
      </c>
      <c r="N1155">
        <v>12.711</v>
      </c>
      <c r="O1155">
        <v>330.15</v>
      </c>
      <c r="P1155">
        <v>1.2</v>
      </c>
      <c r="Q1155">
        <v>0.71799999999999997</v>
      </c>
      <c r="R1155" t="s">
        <v>97</v>
      </c>
      <c r="S1155" t="s">
        <v>6665</v>
      </c>
      <c r="T1155" t="b">
        <v>1</v>
      </c>
      <c r="U1155" t="s">
        <v>6666</v>
      </c>
      <c r="V1155" t="s">
        <v>6667</v>
      </c>
      <c r="W1155" t="s">
        <v>6668</v>
      </c>
      <c r="X1155" t="s">
        <v>47</v>
      </c>
      <c r="AA1155" t="s">
        <v>102</v>
      </c>
      <c r="AB1155" t="s">
        <v>245</v>
      </c>
      <c r="AC1155" t="s">
        <v>103</v>
      </c>
      <c r="AD1155" t="b">
        <v>0</v>
      </c>
      <c r="AF1155">
        <v>1</v>
      </c>
      <c r="AG1155" t="s">
        <v>104</v>
      </c>
    </row>
    <row r="1156" spans="1:33" x14ac:dyDescent="0.2">
      <c r="A1156">
        <v>334</v>
      </c>
      <c r="B1156" t="s">
        <v>6669</v>
      </c>
      <c r="C1156" t="s">
        <v>34</v>
      </c>
      <c r="D1156" t="s">
        <v>35</v>
      </c>
      <c r="E1156" t="s">
        <v>3032</v>
      </c>
      <c r="F1156" t="s">
        <v>3033</v>
      </c>
      <c r="G1156" t="s">
        <v>68</v>
      </c>
      <c r="H1156" t="s">
        <v>69</v>
      </c>
      <c r="I1156" t="s">
        <v>265</v>
      </c>
      <c r="J1156" t="s">
        <v>266</v>
      </c>
      <c r="K1156">
        <v>1948</v>
      </c>
      <c r="L1156">
        <v>1948</v>
      </c>
      <c r="M1156">
        <v>4.9000000000000004</v>
      </c>
      <c r="N1156">
        <v>16.640999999999998</v>
      </c>
      <c r="O1156">
        <v>263.60000000000002</v>
      </c>
      <c r="P1156">
        <v>2.5</v>
      </c>
      <c r="Q1156">
        <v>0.54400000000000004</v>
      </c>
      <c r="R1156" t="s">
        <v>72</v>
      </c>
      <c r="S1156" t="s">
        <v>6670</v>
      </c>
      <c r="T1156" t="b">
        <v>1</v>
      </c>
      <c r="U1156" t="s">
        <v>6671</v>
      </c>
      <c r="V1156" t="s">
        <v>3036</v>
      </c>
      <c r="W1156" t="s">
        <v>6672</v>
      </c>
      <c r="X1156" t="s">
        <v>47</v>
      </c>
      <c r="AA1156" t="s">
        <v>6673</v>
      </c>
      <c r="AB1156" t="s">
        <v>308</v>
      </c>
      <c r="AC1156" t="s">
        <v>6674</v>
      </c>
      <c r="AD1156" t="b">
        <v>0</v>
      </c>
      <c r="AF1156">
        <v>8</v>
      </c>
      <c r="AG1156" t="s">
        <v>78</v>
      </c>
    </row>
    <row r="1157" spans="1:33" x14ac:dyDescent="0.2">
      <c r="A1157">
        <v>1404</v>
      </c>
      <c r="B1157" t="s">
        <v>6675</v>
      </c>
      <c r="C1157" t="s">
        <v>34</v>
      </c>
      <c r="D1157" t="s">
        <v>35</v>
      </c>
      <c r="E1157" t="s">
        <v>1085</v>
      </c>
      <c r="F1157" t="s">
        <v>1086</v>
      </c>
      <c r="G1157" t="s">
        <v>134</v>
      </c>
      <c r="H1157" t="s">
        <v>135</v>
      </c>
      <c r="I1157" t="s">
        <v>1094</v>
      </c>
      <c r="J1157" t="s">
        <v>426</v>
      </c>
      <c r="K1157">
        <v>2008</v>
      </c>
      <c r="L1157">
        <v>2008</v>
      </c>
      <c r="M1157">
        <v>9.6</v>
      </c>
      <c r="N1157">
        <v>42.942</v>
      </c>
      <c r="O1157">
        <v>126</v>
      </c>
      <c r="P1157">
        <v>9</v>
      </c>
      <c r="Q1157">
        <v>0.29599999999999999</v>
      </c>
      <c r="R1157" t="s">
        <v>42</v>
      </c>
      <c r="S1157" t="s">
        <v>6676</v>
      </c>
      <c r="T1157" t="b">
        <v>1</v>
      </c>
      <c r="U1157" t="s">
        <v>6677</v>
      </c>
      <c r="V1157" t="s">
        <v>1089</v>
      </c>
      <c r="W1157" t="s">
        <v>6678</v>
      </c>
      <c r="X1157" t="s">
        <v>47</v>
      </c>
      <c r="AA1157" t="s">
        <v>5155</v>
      </c>
      <c r="AB1157" t="s">
        <v>177</v>
      </c>
      <c r="AC1157" t="s">
        <v>6679</v>
      </c>
      <c r="AD1157" t="b">
        <v>0</v>
      </c>
      <c r="AF1157">
        <v>10</v>
      </c>
      <c r="AG1157" t="s">
        <v>143</v>
      </c>
    </row>
    <row r="1158" spans="1:33" x14ac:dyDescent="0.2">
      <c r="A1158">
        <v>1030</v>
      </c>
      <c r="B1158" t="s">
        <v>6680</v>
      </c>
      <c r="C1158" t="s">
        <v>34</v>
      </c>
      <c r="D1158" t="s">
        <v>35</v>
      </c>
      <c r="E1158" t="s">
        <v>6681</v>
      </c>
      <c r="F1158" t="s">
        <v>6682</v>
      </c>
      <c r="G1158" t="s">
        <v>503</v>
      </c>
      <c r="H1158" t="s">
        <v>462</v>
      </c>
      <c r="I1158" t="s">
        <v>2930</v>
      </c>
      <c r="J1158" t="s">
        <v>676</v>
      </c>
      <c r="K1158">
        <v>1996</v>
      </c>
      <c r="L1158">
        <v>1996</v>
      </c>
      <c r="M1158">
        <v>1.7999999999999999E-2</v>
      </c>
      <c r="N1158">
        <v>7.6999999999999999E-2</v>
      </c>
      <c r="R1158" t="s">
        <v>84</v>
      </c>
      <c r="S1158" t="s">
        <v>2931</v>
      </c>
      <c r="T1158" t="b">
        <v>1</v>
      </c>
      <c r="U1158" t="s">
        <v>439</v>
      </c>
      <c r="V1158" t="s">
        <v>6683</v>
      </c>
      <c r="W1158" t="s">
        <v>6684</v>
      </c>
      <c r="X1158" t="s">
        <v>47</v>
      </c>
      <c r="AA1158" t="s">
        <v>583</v>
      </c>
      <c r="AC1158" t="s">
        <v>585</v>
      </c>
      <c r="AD1158" t="b">
        <v>0</v>
      </c>
      <c r="AF1158">
        <v>3</v>
      </c>
      <c r="AG1158" t="s">
        <v>332</v>
      </c>
    </row>
    <row r="1159" spans="1:33" x14ac:dyDescent="0.2">
      <c r="A1159">
        <v>1974</v>
      </c>
      <c r="B1159" t="s">
        <v>6685</v>
      </c>
      <c r="C1159" t="s">
        <v>34</v>
      </c>
      <c r="D1159" t="s">
        <v>35</v>
      </c>
      <c r="E1159" t="s">
        <v>3146</v>
      </c>
      <c r="F1159" t="s">
        <v>3147</v>
      </c>
      <c r="G1159" t="s">
        <v>242</v>
      </c>
      <c r="H1159" t="s">
        <v>243</v>
      </c>
      <c r="I1159" t="s">
        <v>2581</v>
      </c>
      <c r="J1159" t="s">
        <v>94</v>
      </c>
      <c r="K1159">
        <v>2021</v>
      </c>
      <c r="L1159">
        <v>2021</v>
      </c>
      <c r="M1159">
        <v>5.35</v>
      </c>
      <c r="N1159">
        <v>13.218</v>
      </c>
      <c r="O1159">
        <v>355</v>
      </c>
      <c r="P1159">
        <v>1.8</v>
      </c>
      <c r="Q1159">
        <v>0.82599999999999996</v>
      </c>
      <c r="R1159" t="s">
        <v>72</v>
      </c>
      <c r="S1159" t="s">
        <v>246</v>
      </c>
      <c r="T1159" t="b">
        <v>1</v>
      </c>
      <c r="U1159" t="s">
        <v>316</v>
      </c>
      <c r="V1159" t="s">
        <v>3150</v>
      </c>
      <c r="W1159" t="s">
        <v>6686</v>
      </c>
      <c r="X1159" t="s">
        <v>47</v>
      </c>
      <c r="AA1159" t="s">
        <v>250</v>
      </c>
      <c r="AB1159" t="s">
        <v>109</v>
      </c>
      <c r="AC1159" t="s">
        <v>2585</v>
      </c>
      <c r="AD1159" t="b">
        <v>0</v>
      </c>
      <c r="AF1159">
        <v>9</v>
      </c>
      <c r="AG1159" t="s">
        <v>251</v>
      </c>
    </row>
    <row r="1160" spans="1:33" x14ac:dyDescent="0.2">
      <c r="A1160">
        <v>1766</v>
      </c>
      <c r="B1160" t="s">
        <v>6687</v>
      </c>
      <c r="C1160" t="s">
        <v>34</v>
      </c>
      <c r="D1160" t="s">
        <v>35</v>
      </c>
      <c r="E1160" t="s">
        <v>168</v>
      </c>
      <c r="F1160" t="s">
        <v>169</v>
      </c>
      <c r="G1160" t="s">
        <v>134</v>
      </c>
      <c r="H1160" t="s">
        <v>135</v>
      </c>
      <c r="I1160" t="s">
        <v>641</v>
      </c>
      <c r="J1160" t="s">
        <v>109</v>
      </c>
      <c r="K1160">
        <v>2014</v>
      </c>
      <c r="L1160">
        <v>2014</v>
      </c>
      <c r="M1160">
        <v>3.91</v>
      </c>
      <c r="N1160">
        <v>6.7069999999999999</v>
      </c>
      <c r="O1160">
        <v>567</v>
      </c>
      <c r="P1160">
        <v>0.8</v>
      </c>
      <c r="Q1160">
        <v>1.3580000000000001</v>
      </c>
      <c r="R1160" t="s">
        <v>42</v>
      </c>
      <c r="S1160" t="s">
        <v>6688</v>
      </c>
      <c r="T1160" t="b">
        <v>1</v>
      </c>
      <c r="U1160" t="s">
        <v>6689</v>
      </c>
      <c r="V1160" t="s">
        <v>174</v>
      </c>
      <c r="W1160" t="s">
        <v>6690</v>
      </c>
      <c r="X1160" t="s">
        <v>47</v>
      </c>
      <c r="AA1160" t="s">
        <v>645</v>
      </c>
      <c r="AB1160" t="s">
        <v>765</v>
      </c>
      <c r="AC1160" t="s">
        <v>3212</v>
      </c>
      <c r="AD1160" t="b">
        <v>0</v>
      </c>
      <c r="AF1160">
        <v>10</v>
      </c>
      <c r="AG1160" t="s">
        <v>143</v>
      </c>
    </row>
    <row r="1161" spans="1:33" x14ac:dyDescent="0.2">
      <c r="A1161">
        <v>1471</v>
      </c>
      <c r="B1161" t="s">
        <v>6691</v>
      </c>
      <c r="C1161" t="s">
        <v>34</v>
      </c>
      <c r="D1161" t="s">
        <v>35</v>
      </c>
      <c r="E1161" t="s">
        <v>6692</v>
      </c>
      <c r="F1161" t="s">
        <v>6693</v>
      </c>
      <c r="G1161" t="s">
        <v>53</v>
      </c>
      <c r="H1161" t="s">
        <v>54</v>
      </c>
      <c r="I1161" t="s">
        <v>325</v>
      </c>
      <c r="J1161" t="s">
        <v>135</v>
      </c>
      <c r="K1161">
        <v>2009</v>
      </c>
      <c r="L1161">
        <v>2009</v>
      </c>
      <c r="M1161">
        <v>0.45</v>
      </c>
      <c r="N1161">
        <v>1.1519999999999999</v>
      </c>
      <c r="O1161">
        <v>131</v>
      </c>
      <c r="P1161">
        <v>0.35</v>
      </c>
      <c r="Q1161">
        <v>0.35699999999999998</v>
      </c>
      <c r="R1161" t="s">
        <v>57</v>
      </c>
      <c r="S1161" t="s">
        <v>6694</v>
      </c>
      <c r="T1161" t="b">
        <v>1</v>
      </c>
      <c r="U1161" t="s">
        <v>6695</v>
      </c>
      <c r="V1161" t="s">
        <v>6696</v>
      </c>
      <c r="W1161" t="s">
        <v>6697</v>
      </c>
      <c r="X1161" t="s">
        <v>47</v>
      </c>
      <c r="AA1161" t="s">
        <v>1231</v>
      </c>
      <c r="AC1161" t="s">
        <v>63</v>
      </c>
      <c r="AD1161" t="b">
        <v>0</v>
      </c>
      <c r="AF1161">
        <v>6</v>
      </c>
      <c r="AG1161" t="s">
        <v>64</v>
      </c>
    </row>
    <row r="1162" spans="1:33" x14ac:dyDescent="0.2">
      <c r="A1162">
        <v>1472</v>
      </c>
      <c r="B1162" t="s">
        <v>6698</v>
      </c>
      <c r="C1162" t="s">
        <v>34</v>
      </c>
      <c r="D1162" t="s">
        <v>35</v>
      </c>
      <c r="E1162" t="s">
        <v>6692</v>
      </c>
      <c r="F1162" t="s">
        <v>6693</v>
      </c>
      <c r="G1162" t="s">
        <v>53</v>
      </c>
      <c r="H1162" t="s">
        <v>54</v>
      </c>
      <c r="I1162" t="s">
        <v>325</v>
      </c>
      <c r="J1162" t="s">
        <v>135</v>
      </c>
      <c r="K1162">
        <v>2009</v>
      </c>
      <c r="L1162">
        <v>2009</v>
      </c>
      <c r="M1162">
        <v>1</v>
      </c>
      <c r="N1162">
        <v>3.72</v>
      </c>
      <c r="O1162">
        <v>208</v>
      </c>
      <c r="P1162">
        <v>0.6</v>
      </c>
      <c r="Q1162">
        <v>0.49</v>
      </c>
      <c r="R1162" t="s">
        <v>57</v>
      </c>
      <c r="S1162" t="s">
        <v>6694</v>
      </c>
      <c r="T1162" t="b">
        <v>1</v>
      </c>
      <c r="U1162" t="s">
        <v>6695</v>
      </c>
      <c r="V1162" t="s">
        <v>6696</v>
      </c>
      <c r="W1162" t="s">
        <v>6699</v>
      </c>
      <c r="X1162" t="s">
        <v>47</v>
      </c>
      <c r="AA1162" t="s">
        <v>1231</v>
      </c>
      <c r="AC1162" t="s">
        <v>63</v>
      </c>
      <c r="AD1162" t="b">
        <v>0</v>
      </c>
      <c r="AF1162">
        <v>6</v>
      </c>
      <c r="AG1162" t="s">
        <v>64</v>
      </c>
    </row>
    <row r="1163" spans="1:33" x14ac:dyDescent="0.2">
      <c r="A1163">
        <v>335</v>
      </c>
      <c r="B1163" t="s">
        <v>6700</v>
      </c>
      <c r="C1163" t="s">
        <v>34</v>
      </c>
      <c r="D1163" t="s">
        <v>35</v>
      </c>
      <c r="E1163" t="s">
        <v>2311</v>
      </c>
      <c r="F1163" t="s">
        <v>2312</v>
      </c>
      <c r="G1163" t="s">
        <v>134</v>
      </c>
      <c r="H1163" t="s">
        <v>135</v>
      </c>
      <c r="I1163" t="s">
        <v>6701</v>
      </c>
      <c r="J1163" t="s">
        <v>1062</v>
      </c>
      <c r="K1163">
        <v>1953</v>
      </c>
      <c r="L1163">
        <v>1953</v>
      </c>
      <c r="M1163">
        <v>23.3</v>
      </c>
      <c r="N1163">
        <v>89.051000000000002</v>
      </c>
      <c r="O1163">
        <v>207.5</v>
      </c>
      <c r="P1163">
        <v>13.31</v>
      </c>
      <c r="Q1163">
        <v>0.43</v>
      </c>
      <c r="R1163" t="s">
        <v>42</v>
      </c>
      <c r="S1163" t="s">
        <v>6702</v>
      </c>
      <c r="T1163" t="b">
        <v>1</v>
      </c>
      <c r="U1163" t="s">
        <v>3745</v>
      </c>
      <c r="V1163" t="s">
        <v>2315</v>
      </c>
      <c r="W1163" t="s">
        <v>6703</v>
      </c>
      <c r="X1163" t="s">
        <v>47</v>
      </c>
      <c r="AA1163" t="s">
        <v>6704</v>
      </c>
      <c r="AB1163" t="s">
        <v>308</v>
      </c>
      <c r="AC1163" t="s">
        <v>6705</v>
      </c>
      <c r="AD1163" t="b">
        <v>0</v>
      </c>
      <c r="AF1163">
        <v>10</v>
      </c>
      <c r="AG1163" t="s">
        <v>143</v>
      </c>
    </row>
    <row r="1164" spans="1:33" x14ac:dyDescent="0.2">
      <c r="A1164">
        <v>1481</v>
      </c>
      <c r="B1164" t="s">
        <v>6706</v>
      </c>
      <c r="C1164" t="s">
        <v>34</v>
      </c>
      <c r="D1164" t="s">
        <v>35</v>
      </c>
      <c r="E1164" t="s">
        <v>6707</v>
      </c>
      <c r="F1164" t="s">
        <v>6708</v>
      </c>
      <c r="G1164" t="s">
        <v>503</v>
      </c>
      <c r="H1164" t="s">
        <v>462</v>
      </c>
      <c r="I1164" t="s">
        <v>2302</v>
      </c>
      <c r="J1164" t="s">
        <v>227</v>
      </c>
      <c r="K1164">
        <v>2009</v>
      </c>
      <c r="L1164">
        <v>2009</v>
      </c>
      <c r="M1164">
        <v>0.55800000000000005</v>
      </c>
      <c r="N1164">
        <v>1.6830000000000001</v>
      </c>
      <c r="O1164">
        <v>90</v>
      </c>
      <c r="P1164">
        <v>0.75</v>
      </c>
      <c r="Q1164">
        <v>0.20599999999999999</v>
      </c>
      <c r="R1164" t="s">
        <v>84</v>
      </c>
      <c r="S1164" t="s">
        <v>6709</v>
      </c>
      <c r="T1164" t="b">
        <v>1</v>
      </c>
      <c r="U1164" t="s">
        <v>6710</v>
      </c>
      <c r="V1164" t="s">
        <v>6711</v>
      </c>
      <c r="W1164" t="s">
        <v>6712</v>
      </c>
      <c r="X1164" t="s">
        <v>47</v>
      </c>
      <c r="AA1164" t="s">
        <v>583</v>
      </c>
      <c r="AC1164" t="s">
        <v>585</v>
      </c>
      <c r="AD1164" t="b">
        <v>0</v>
      </c>
      <c r="AF1164">
        <v>3</v>
      </c>
      <c r="AG1164" t="s">
        <v>332</v>
      </c>
    </row>
    <row r="1165" spans="1:33" x14ac:dyDescent="0.2">
      <c r="A1165">
        <v>1833</v>
      </c>
      <c r="B1165" t="s">
        <v>6713</v>
      </c>
      <c r="C1165" t="s">
        <v>34</v>
      </c>
      <c r="D1165" t="s">
        <v>35</v>
      </c>
      <c r="E1165" t="s">
        <v>6714</v>
      </c>
      <c r="F1165" t="s">
        <v>6715</v>
      </c>
      <c r="G1165" t="s">
        <v>312</v>
      </c>
      <c r="H1165" t="s">
        <v>313</v>
      </c>
      <c r="I1165" t="s">
        <v>618</v>
      </c>
      <c r="J1165" t="s">
        <v>227</v>
      </c>
      <c r="K1165">
        <v>2015</v>
      </c>
      <c r="L1165">
        <v>2015</v>
      </c>
      <c r="M1165">
        <v>7.4999999999999997E-2</v>
      </c>
      <c r="N1165">
        <v>0.17599999999999999</v>
      </c>
      <c r="O1165">
        <v>92</v>
      </c>
      <c r="P1165">
        <v>0.09</v>
      </c>
      <c r="Q1165">
        <v>0.23100000000000001</v>
      </c>
      <c r="R1165" t="s">
        <v>84</v>
      </c>
      <c r="S1165" t="s">
        <v>6716</v>
      </c>
      <c r="T1165" t="b">
        <v>1</v>
      </c>
      <c r="U1165" t="s">
        <v>6717</v>
      </c>
      <c r="V1165" t="s">
        <v>6718</v>
      </c>
      <c r="W1165" t="s">
        <v>6719</v>
      </c>
      <c r="X1165" t="s">
        <v>47</v>
      </c>
      <c r="AA1165" t="s">
        <v>114</v>
      </c>
      <c r="AC1165" t="s">
        <v>63</v>
      </c>
      <c r="AD1165" t="b">
        <v>0</v>
      </c>
      <c r="AF1165">
        <v>4</v>
      </c>
      <c r="AG1165" t="s">
        <v>321</v>
      </c>
    </row>
    <row r="1166" spans="1:33" x14ac:dyDescent="0.2">
      <c r="A1166">
        <v>336</v>
      </c>
      <c r="B1166" t="s">
        <v>3288</v>
      </c>
      <c r="C1166" t="s">
        <v>34</v>
      </c>
      <c r="D1166" t="s">
        <v>35</v>
      </c>
      <c r="E1166" t="s">
        <v>277</v>
      </c>
      <c r="F1166" t="s">
        <v>278</v>
      </c>
      <c r="G1166" t="s">
        <v>93</v>
      </c>
      <c r="H1166" t="s">
        <v>94</v>
      </c>
      <c r="I1166" t="s">
        <v>3288</v>
      </c>
      <c r="J1166" t="s">
        <v>41</v>
      </c>
      <c r="K1166">
        <v>1971</v>
      </c>
      <c r="L1166">
        <v>1971</v>
      </c>
      <c r="M1166">
        <v>100.5</v>
      </c>
      <c r="N1166">
        <v>727.68</v>
      </c>
      <c r="O1166">
        <v>209.69</v>
      </c>
      <c r="P1166">
        <v>60</v>
      </c>
      <c r="Q1166">
        <v>0.46500000000000002</v>
      </c>
      <c r="R1166" t="s">
        <v>97</v>
      </c>
      <c r="S1166" t="s">
        <v>6720</v>
      </c>
      <c r="T1166" t="b">
        <v>1</v>
      </c>
      <c r="U1166" t="s">
        <v>6721</v>
      </c>
      <c r="V1166" t="s">
        <v>6722</v>
      </c>
      <c r="W1166" t="s">
        <v>6723</v>
      </c>
      <c r="X1166" t="s">
        <v>47</v>
      </c>
      <c r="AA1166" t="s">
        <v>340</v>
      </c>
      <c r="AB1166" t="s">
        <v>964</v>
      </c>
      <c r="AC1166" t="s">
        <v>341</v>
      </c>
      <c r="AD1166" t="b">
        <v>0</v>
      </c>
      <c r="AF1166">
        <v>1</v>
      </c>
      <c r="AG1166" t="s">
        <v>104</v>
      </c>
    </row>
    <row r="1167" spans="1:33" x14ac:dyDescent="0.2">
      <c r="A1167">
        <v>1552</v>
      </c>
      <c r="B1167" t="s">
        <v>6724</v>
      </c>
      <c r="C1167" t="s">
        <v>34</v>
      </c>
      <c r="D1167" t="s">
        <v>35</v>
      </c>
      <c r="E1167" t="s">
        <v>180</v>
      </c>
      <c r="F1167" t="s">
        <v>181</v>
      </c>
      <c r="G1167" t="s">
        <v>134</v>
      </c>
      <c r="H1167" t="s">
        <v>135</v>
      </c>
      <c r="I1167" t="s">
        <v>2605</v>
      </c>
      <c r="J1167" t="s">
        <v>1303</v>
      </c>
      <c r="K1167">
        <v>2010</v>
      </c>
      <c r="L1167">
        <v>2010</v>
      </c>
      <c r="M1167">
        <v>2.8</v>
      </c>
      <c r="N1167">
        <v>8.3339999999999996</v>
      </c>
      <c r="O1167">
        <v>251.5</v>
      </c>
      <c r="P1167">
        <v>1.34</v>
      </c>
      <c r="Q1167">
        <v>0.57999999999999996</v>
      </c>
      <c r="R1167" t="s">
        <v>42</v>
      </c>
      <c r="S1167" t="s">
        <v>6725</v>
      </c>
      <c r="T1167" t="b">
        <v>1</v>
      </c>
      <c r="U1167" t="s">
        <v>6726</v>
      </c>
      <c r="V1167" t="s">
        <v>429</v>
      </c>
      <c r="W1167" t="s">
        <v>6727</v>
      </c>
      <c r="X1167" t="s">
        <v>47</v>
      </c>
      <c r="AA1167" t="s">
        <v>6728</v>
      </c>
      <c r="AB1167" t="s">
        <v>49</v>
      </c>
      <c r="AC1167" t="s">
        <v>6729</v>
      </c>
      <c r="AD1167" t="b">
        <v>0</v>
      </c>
      <c r="AF1167">
        <v>10</v>
      </c>
      <c r="AG1167" t="s">
        <v>143</v>
      </c>
    </row>
    <row r="1168" spans="1:33" x14ac:dyDescent="0.2">
      <c r="A1168">
        <v>1371</v>
      </c>
      <c r="B1168" t="s">
        <v>6730</v>
      </c>
      <c r="C1168" t="s">
        <v>34</v>
      </c>
      <c r="D1168" t="s">
        <v>35</v>
      </c>
      <c r="E1168" t="s">
        <v>4313</v>
      </c>
      <c r="F1168" t="s">
        <v>4314</v>
      </c>
      <c r="G1168" t="s">
        <v>242</v>
      </c>
      <c r="H1168" t="s">
        <v>243</v>
      </c>
      <c r="I1168" t="s">
        <v>3245</v>
      </c>
      <c r="J1168" t="s">
        <v>109</v>
      </c>
      <c r="K1168">
        <v>2007</v>
      </c>
      <c r="L1168">
        <v>2007</v>
      </c>
      <c r="M1168">
        <v>1</v>
      </c>
      <c r="N1168">
        <v>3.246</v>
      </c>
      <c r="O1168">
        <v>47</v>
      </c>
      <c r="P1168">
        <v>2.5</v>
      </c>
      <c r="Q1168">
        <v>0.111</v>
      </c>
      <c r="R1168" t="s">
        <v>72</v>
      </c>
      <c r="S1168" t="s">
        <v>6731</v>
      </c>
      <c r="T1168" t="b">
        <v>1</v>
      </c>
      <c r="U1168" t="s">
        <v>6732</v>
      </c>
      <c r="V1168" t="s">
        <v>4317</v>
      </c>
      <c r="W1168" t="s">
        <v>6733</v>
      </c>
      <c r="X1168" t="s">
        <v>47</v>
      </c>
      <c r="AA1168" t="s">
        <v>982</v>
      </c>
      <c r="AB1168" t="s">
        <v>765</v>
      </c>
      <c r="AC1168" t="s">
        <v>983</v>
      </c>
      <c r="AD1168" t="b">
        <v>0</v>
      </c>
      <c r="AF1168">
        <v>9</v>
      </c>
      <c r="AG1168" t="s">
        <v>251</v>
      </c>
    </row>
    <row r="1169" spans="1:33" x14ac:dyDescent="0.2">
      <c r="A1169">
        <v>337</v>
      </c>
      <c r="B1169" t="s">
        <v>6734</v>
      </c>
      <c r="C1169" t="s">
        <v>34</v>
      </c>
      <c r="D1169" t="s">
        <v>35</v>
      </c>
      <c r="E1169" t="s">
        <v>6735</v>
      </c>
      <c r="F1169" t="s">
        <v>6736</v>
      </c>
      <c r="G1169" t="s">
        <v>134</v>
      </c>
      <c r="H1169" t="s">
        <v>135</v>
      </c>
      <c r="I1169" t="s">
        <v>4520</v>
      </c>
      <c r="J1169" t="s">
        <v>485</v>
      </c>
      <c r="K1169">
        <v>1956</v>
      </c>
      <c r="L1169">
        <v>2021</v>
      </c>
      <c r="M1169">
        <v>9.0500000000000007</v>
      </c>
      <c r="N1169">
        <v>73.977999999999994</v>
      </c>
      <c r="O1169">
        <v>572.87</v>
      </c>
      <c r="P1169">
        <v>2.1</v>
      </c>
      <c r="Q1169">
        <v>1.1970000000000001</v>
      </c>
      <c r="R1169" t="s">
        <v>42</v>
      </c>
      <c r="S1169" t="s">
        <v>6737</v>
      </c>
      <c r="T1169" t="b">
        <v>1</v>
      </c>
      <c r="U1169" t="s">
        <v>6738</v>
      </c>
      <c r="V1169" t="s">
        <v>6739</v>
      </c>
      <c r="W1169" t="s">
        <v>6740</v>
      </c>
      <c r="X1169" t="s">
        <v>47</v>
      </c>
      <c r="AA1169" t="s">
        <v>6741</v>
      </c>
      <c r="AB1169" t="s">
        <v>49</v>
      </c>
      <c r="AC1169" t="s">
        <v>6742</v>
      </c>
      <c r="AD1169" t="b">
        <v>0</v>
      </c>
      <c r="AF1169">
        <v>10</v>
      </c>
      <c r="AG1169" t="s">
        <v>143</v>
      </c>
    </row>
    <row r="1170" spans="1:33" x14ac:dyDescent="0.2">
      <c r="A1170">
        <v>339</v>
      </c>
      <c r="B1170" t="s">
        <v>6743</v>
      </c>
      <c r="C1170" t="s">
        <v>34</v>
      </c>
      <c r="D1170" t="s">
        <v>35</v>
      </c>
      <c r="E1170" t="s">
        <v>6006</v>
      </c>
      <c r="F1170" t="s">
        <v>6007</v>
      </c>
      <c r="G1170" t="s">
        <v>38</v>
      </c>
      <c r="H1170" t="s">
        <v>39</v>
      </c>
      <c r="I1170" t="s">
        <v>6744</v>
      </c>
      <c r="J1170" t="s">
        <v>71</v>
      </c>
      <c r="K1170">
        <v>1953</v>
      </c>
      <c r="L1170">
        <v>1953</v>
      </c>
      <c r="M1170">
        <v>4.4000000000000004</v>
      </c>
      <c r="N1170">
        <v>21.052</v>
      </c>
      <c r="O1170">
        <v>172</v>
      </c>
      <c r="P1170">
        <v>2.8</v>
      </c>
      <c r="Q1170">
        <v>0.437</v>
      </c>
      <c r="R1170" t="s">
        <v>42</v>
      </c>
      <c r="S1170" t="s">
        <v>6745</v>
      </c>
      <c r="T1170" t="b">
        <v>1</v>
      </c>
      <c r="U1170" t="s">
        <v>6746</v>
      </c>
      <c r="V1170" t="s">
        <v>6010</v>
      </c>
      <c r="W1170" t="s">
        <v>6747</v>
      </c>
      <c r="X1170" t="s">
        <v>47</v>
      </c>
      <c r="AA1170" t="s">
        <v>6748</v>
      </c>
      <c r="AB1170" t="s">
        <v>49</v>
      </c>
      <c r="AC1170" t="s">
        <v>6749</v>
      </c>
      <c r="AD1170" t="b">
        <v>0</v>
      </c>
      <c r="AF1170">
        <v>12</v>
      </c>
      <c r="AG1170" t="s">
        <v>51</v>
      </c>
    </row>
    <row r="1171" spans="1:33" x14ac:dyDescent="0.2">
      <c r="A1171">
        <v>1515</v>
      </c>
      <c r="B1171" t="s">
        <v>6750</v>
      </c>
      <c r="C1171" t="s">
        <v>34</v>
      </c>
      <c r="D1171" t="s">
        <v>35</v>
      </c>
      <c r="E1171" t="s">
        <v>6751</v>
      </c>
      <c r="F1171" t="s">
        <v>6752</v>
      </c>
      <c r="G1171" t="s">
        <v>224</v>
      </c>
      <c r="H1171" t="s">
        <v>225</v>
      </c>
      <c r="I1171" t="s">
        <v>4804</v>
      </c>
      <c r="J1171" t="s">
        <v>171</v>
      </c>
      <c r="K1171">
        <v>2010</v>
      </c>
      <c r="L1171">
        <v>2010</v>
      </c>
      <c r="M1171">
        <v>1.9</v>
      </c>
      <c r="N1171">
        <v>5.298</v>
      </c>
      <c r="O1171">
        <v>172</v>
      </c>
      <c r="P1171">
        <v>1.37</v>
      </c>
      <c r="Q1171">
        <v>0.39700000000000002</v>
      </c>
      <c r="R1171" t="s">
        <v>57</v>
      </c>
      <c r="S1171" t="s">
        <v>6753</v>
      </c>
      <c r="T1171" t="b">
        <v>1</v>
      </c>
      <c r="U1171" t="s">
        <v>6754</v>
      </c>
      <c r="V1171" t="s">
        <v>6755</v>
      </c>
      <c r="W1171" t="s">
        <v>6756</v>
      </c>
      <c r="X1171" t="s">
        <v>47</v>
      </c>
      <c r="AA1171" t="s">
        <v>102</v>
      </c>
      <c r="AB1171" t="s">
        <v>1742</v>
      </c>
      <c r="AC1171" t="s">
        <v>103</v>
      </c>
      <c r="AD1171" t="b">
        <v>0</v>
      </c>
      <c r="AF1171">
        <v>2</v>
      </c>
      <c r="AG1171" t="s">
        <v>287</v>
      </c>
    </row>
    <row r="1172" spans="1:33" x14ac:dyDescent="0.2">
      <c r="A1172">
        <v>340</v>
      </c>
      <c r="B1172" t="s">
        <v>6757</v>
      </c>
      <c r="C1172" t="s">
        <v>34</v>
      </c>
      <c r="D1172" t="s">
        <v>35</v>
      </c>
      <c r="E1172" t="s">
        <v>6615</v>
      </c>
      <c r="F1172" t="s">
        <v>6616</v>
      </c>
      <c r="G1172" t="s">
        <v>68</v>
      </c>
      <c r="H1172" t="s">
        <v>69</v>
      </c>
      <c r="I1172" t="s">
        <v>1209</v>
      </c>
      <c r="J1172" t="s">
        <v>171</v>
      </c>
      <c r="K1172">
        <v>1918</v>
      </c>
      <c r="L1172">
        <v>2013</v>
      </c>
      <c r="M1172">
        <v>5.3</v>
      </c>
      <c r="N1172">
        <v>27.507999999999999</v>
      </c>
      <c r="O1172">
        <v>258.74</v>
      </c>
      <c r="P1172">
        <v>2.2999999999999998</v>
      </c>
      <c r="Q1172">
        <v>0.64</v>
      </c>
      <c r="R1172" t="s">
        <v>72</v>
      </c>
      <c r="S1172" t="s">
        <v>6758</v>
      </c>
      <c r="T1172" t="b">
        <v>1</v>
      </c>
      <c r="U1172" t="s">
        <v>6759</v>
      </c>
      <c r="V1172" t="s">
        <v>6619</v>
      </c>
      <c r="W1172" t="s">
        <v>6760</v>
      </c>
      <c r="X1172" t="s">
        <v>47</v>
      </c>
      <c r="AA1172" t="s">
        <v>6761</v>
      </c>
      <c r="AB1172" t="s">
        <v>49</v>
      </c>
      <c r="AC1172" t="s">
        <v>6762</v>
      </c>
      <c r="AD1172" t="b">
        <v>0</v>
      </c>
      <c r="AF1172">
        <v>8</v>
      </c>
      <c r="AG1172" t="s">
        <v>78</v>
      </c>
    </row>
    <row r="1173" spans="1:33" x14ac:dyDescent="0.2">
      <c r="A1173">
        <v>800</v>
      </c>
      <c r="B1173" t="s">
        <v>6763</v>
      </c>
      <c r="C1173" t="s">
        <v>34</v>
      </c>
      <c r="D1173" t="s">
        <v>35</v>
      </c>
      <c r="E1173" t="s">
        <v>6615</v>
      </c>
      <c r="F1173" t="s">
        <v>6616</v>
      </c>
      <c r="G1173" t="s">
        <v>68</v>
      </c>
      <c r="H1173" t="s">
        <v>69</v>
      </c>
      <c r="I1173" t="s">
        <v>1209</v>
      </c>
      <c r="J1173" t="s">
        <v>171</v>
      </c>
      <c r="K1173">
        <v>2003</v>
      </c>
      <c r="L1173">
        <v>2003</v>
      </c>
      <c r="M1173">
        <v>4.5</v>
      </c>
      <c r="N1173">
        <v>18.814</v>
      </c>
      <c r="O1173">
        <v>395</v>
      </c>
      <c r="P1173">
        <v>1.3</v>
      </c>
      <c r="Q1173">
        <v>0.96099999999999997</v>
      </c>
      <c r="R1173" t="s">
        <v>72</v>
      </c>
      <c r="S1173" t="s">
        <v>6764</v>
      </c>
      <c r="T1173" t="b">
        <v>1</v>
      </c>
      <c r="U1173" t="s">
        <v>6765</v>
      </c>
      <c r="V1173" t="s">
        <v>6619</v>
      </c>
      <c r="W1173" t="s">
        <v>6766</v>
      </c>
      <c r="X1173" t="s">
        <v>47</v>
      </c>
      <c r="AA1173" t="s">
        <v>6761</v>
      </c>
      <c r="AB1173" t="s">
        <v>177</v>
      </c>
      <c r="AC1173" t="s">
        <v>6762</v>
      </c>
      <c r="AD1173" t="b">
        <v>0</v>
      </c>
      <c r="AF1173">
        <v>8</v>
      </c>
      <c r="AG1173" t="s">
        <v>78</v>
      </c>
    </row>
    <row r="1174" spans="1:33" x14ac:dyDescent="0.2">
      <c r="A1174">
        <v>1097</v>
      </c>
      <c r="B1174" t="s">
        <v>6767</v>
      </c>
      <c r="C1174" t="s">
        <v>34</v>
      </c>
      <c r="D1174" t="s">
        <v>35</v>
      </c>
      <c r="E1174" t="s">
        <v>6768</v>
      </c>
      <c r="F1174" t="s">
        <v>6769</v>
      </c>
      <c r="G1174" t="s">
        <v>53</v>
      </c>
      <c r="H1174" t="s">
        <v>54</v>
      </c>
      <c r="I1174" t="s">
        <v>1808</v>
      </c>
      <c r="J1174" t="s">
        <v>69</v>
      </c>
      <c r="K1174">
        <v>2001</v>
      </c>
      <c r="L1174">
        <v>2001</v>
      </c>
      <c r="M1174">
        <v>0.96</v>
      </c>
      <c r="N1174">
        <v>2.1709999999999998</v>
      </c>
      <c r="O1174">
        <v>208</v>
      </c>
      <c r="P1174">
        <v>0.60499999999999998</v>
      </c>
      <c r="Q1174">
        <v>0.441</v>
      </c>
      <c r="R1174" t="s">
        <v>84</v>
      </c>
      <c r="S1174" t="s">
        <v>6770</v>
      </c>
      <c r="T1174" t="b">
        <v>1</v>
      </c>
      <c r="U1174" t="s">
        <v>1103</v>
      </c>
      <c r="V1174" t="s">
        <v>6771</v>
      </c>
      <c r="W1174" t="s">
        <v>6772</v>
      </c>
      <c r="X1174" t="s">
        <v>47</v>
      </c>
      <c r="AA1174" t="s">
        <v>6773</v>
      </c>
      <c r="AB1174" t="s">
        <v>49</v>
      </c>
      <c r="AC1174" t="s">
        <v>6774</v>
      </c>
      <c r="AD1174" t="b">
        <v>0</v>
      </c>
      <c r="AF1174">
        <v>5</v>
      </c>
      <c r="AG1174" t="s">
        <v>89</v>
      </c>
    </row>
    <row r="1175" spans="1:33" x14ac:dyDescent="0.2">
      <c r="A1175">
        <v>1759</v>
      </c>
      <c r="B1175" t="s">
        <v>6775</v>
      </c>
      <c r="C1175" t="s">
        <v>34</v>
      </c>
      <c r="D1175" t="s">
        <v>35</v>
      </c>
      <c r="E1175" t="s">
        <v>6776</v>
      </c>
      <c r="F1175" t="s">
        <v>6777</v>
      </c>
      <c r="G1175" t="s">
        <v>224</v>
      </c>
      <c r="H1175" t="s">
        <v>225</v>
      </c>
      <c r="I1175" t="s">
        <v>3124</v>
      </c>
      <c r="J1175" t="s">
        <v>71</v>
      </c>
      <c r="K1175">
        <v>2014</v>
      </c>
      <c r="L1175">
        <v>2014</v>
      </c>
      <c r="M1175">
        <v>1.5</v>
      </c>
      <c r="N1175">
        <v>3.4969999999999999</v>
      </c>
      <c r="O1175">
        <v>165</v>
      </c>
      <c r="P1175">
        <v>1.1599999999999999</v>
      </c>
      <c r="Q1175">
        <v>0.35899999999999999</v>
      </c>
      <c r="R1175" t="s">
        <v>57</v>
      </c>
      <c r="S1175" t="s">
        <v>6778</v>
      </c>
      <c r="T1175" t="b">
        <v>1</v>
      </c>
      <c r="U1175" t="s">
        <v>6779</v>
      </c>
      <c r="V1175" t="s">
        <v>6780</v>
      </c>
      <c r="W1175" t="s">
        <v>6781</v>
      </c>
      <c r="X1175" t="s">
        <v>47</v>
      </c>
      <c r="AA1175" t="s">
        <v>102</v>
      </c>
      <c r="AB1175" t="s">
        <v>215</v>
      </c>
      <c r="AC1175" t="s">
        <v>103</v>
      </c>
      <c r="AD1175" t="b">
        <v>0</v>
      </c>
      <c r="AF1175">
        <v>2</v>
      </c>
      <c r="AG1175" t="s">
        <v>287</v>
      </c>
    </row>
    <row r="1176" spans="1:33" x14ac:dyDescent="0.2">
      <c r="A1176">
        <v>1518</v>
      </c>
      <c r="B1176" t="s">
        <v>6782</v>
      </c>
      <c r="C1176" t="s">
        <v>34</v>
      </c>
      <c r="D1176" t="s">
        <v>35</v>
      </c>
      <c r="E1176" t="s">
        <v>6783</v>
      </c>
      <c r="F1176" t="s">
        <v>6784</v>
      </c>
      <c r="G1176" t="s">
        <v>68</v>
      </c>
      <c r="H1176" t="s">
        <v>69</v>
      </c>
      <c r="I1176" t="s">
        <v>1974</v>
      </c>
      <c r="J1176" t="s">
        <v>1975</v>
      </c>
      <c r="K1176">
        <v>2011</v>
      </c>
      <c r="L1176">
        <v>2011</v>
      </c>
      <c r="M1176">
        <v>5.85</v>
      </c>
      <c r="N1176">
        <v>16.873000000000001</v>
      </c>
      <c r="O1176">
        <v>151.73500000000001</v>
      </c>
      <c r="P1176">
        <v>4.7</v>
      </c>
      <c r="Q1176">
        <v>0.34599999999999997</v>
      </c>
      <c r="R1176" t="s">
        <v>72</v>
      </c>
      <c r="S1176" t="s">
        <v>6785</v>
      </c>
      <c r="T1176" t="b">
        <v>1</v>
      </c>
      <c r="U1176" t="s">
        <v>6786</v>
      </c>
      <c r="V1176" t="s">
        <v>6787</v>
      </c>
      <c r="W1176" t="s">
        <v>6788</v>
      </c>
      <c r="X1176" t="s">
        <v>47</v>
      </c>
      <c r="AA1176" t="s">
        <v>5124</v>
      </c>
      <c r="AB1176" t="s">
        <v>49</v>
      </c>
      <c r="AC1176" t="s">
        <v>5125</v>
      </c>
      <c r="AD1176" t="b">
        <v>0</v>
      </c>
      <c r="AF1176">
        <v>8</v>
      </c>
      <c r="AG1176" t="s">
        <v>78</v>
      </c>
    </row>
    <row r="1177" spans="1:33" x14ac:dyDescent="0.2">
      <c r="A1177">
        <v>1868</v>
      </c>
      <c r="B1177" t="s">
        <v>6789</v>
      </c>
      <c r="C1177" t="s">
        <v>34</v>
      </c>
      <c r="D1177" t="s">
        <v>35</v>
      </c>
      <c r="E1177" t="s">
        <v>36</v>
      </c>
      <c r="F1177" t="s">
        <v>37</v>
      </c>
      <c r="G1177" t="s">
        <v>53</v>
      </c>
      <c r="H1177" t="s">
        <v>54</v>
      </c>
      <c r="I1177" t="s">
        <v>325</v>
      </c>
      <c r="J1177" t="s">
        <v>135</v>
      </c>
      <c r="K1177">
        <v>2017</v>
      </c>
      <c r="L1177">
        <v>2017</v>
      </c>
      <c r="M1177">
        <v>23</v>
      </c>
      <c r="N1177">
        <v>53.030999999999999</v>
      </c>
      <c r="O1177">
        <v>513</v>
      </c>
      <c r="P1177">
        <v>5</v>
      </c>
      <c r="Q1177">
        <v>1.278</v>
      </c>
      <c r="R1177" t="s">
        <v>84</v>
      </c>
      <c r="S1177" t="s">
        <v>6790</v>
      </c>
      <c r="T1177" t="b">
        <v>1</v>
      </c>
      <c r="U1177" t="s">
        <v>6791</v>
      </c>
      <c r="V1177" t="s">
        <v>45</v>
      </c>
      <c r="W1177" t="s">
        <v>6792</v>
      </c>
      <c r="X1177" t="s">
        <v>47</v>
      </c>
      <c r="AA1177" t="s">
        <v>4161</v>
      </c>
      <c r="AB1177" t="s">
        <v>612</v>
      </c>
      <c r="AC1177" t="s">
        <v>4162</v>
      </c>
      <c r="AD1177" t="b">
        <v>0</v>
      </c>
      <c r="AF1177">
        <v>3</v>
      </c>
      <c r="AG1177" t="s">
        <v>332</v>
      </c>
    </row>
    <row r="1178" spans="1:33" x14ac:dyDescent="0.2">
      <c r="A1178">
        <v>1827</v>
      </c>
      <c r="B1178" t="s">
        <v>6793</v>
      </c>
      <c r="C1178" t="s">
        <v>34</v>
      </c>
      <c r="D1178" t="s">
        <v>35</v>
      </c>
      <c r="E1178" t="s">
        <v>6794</v>
      </c>
      <c r="F1178" t="s">
        <v>6795</v>
      </c>
      <c r="G1178" t="s">
        <v>53</v>
      </c>
      <c r="H1178" t="s">
        <v>54</v>
      </c>
      <c r="I1178" t="s">
        <v>55</v>
      </c>
      <c r="J1178" t="s">
        <v>56</v>
      </c>
      <c r="K1178">
        <v>2015</v>
      </c>
      <c r="L1178">
        <v>2015</v>
      </c>
      <c r="M1178">
        <v>0.05</v>
      </c>
      <c r="N1178">
        <v>0.22500000000000001</v>
      </c>
      <c r="O1178">
        <v>175.5</v>
      </c>
      <c r="P1178">
        <v>3.6999999999999998E-2</v>
      </c>
      <c r="Q1178">
        <v>0.375</v>
      </c>
      <c r="R1178" t="s">
        <v>57</v>
      </c>
      <c r="S1178" t="s">
        <v>6796</v>
      </c>
      <c r="T1178" t="b">
        <v>1</v>
      </c>
      <c r="U1178" t="s">
        <v>6797</v>
      </c>
      <c r="V1178" t="s">
        <v>6798</v>
      </c>
      <c r="W1178" t="s">
        <v>6799</v>
      </c>
      <c r="X1178" t="s">
        <v>47</v>
      </c>
      <c r="AA1178" t="s">
        <v>741</v>
      </c>
      <c r="AC1178" t="s">
        <v>742</v>
      </c>
      <c r="AD1178" t="b">
        <v>0</v>
      </c>
      <c r="AF1178">
        <v>6</v>
      </c>
      <c r="AG1178" t="s">
        <v>64</v>
      </c>
    </row>
    <row r="1179" spans="1:33" x14ac:dyDescent="0.2">
      <c r="A1179">
        <v>2016</v>
      </c>
      <c r="B1179" t="s">
        <v>6800</v>
      </c>
      <c r="C1179" t="s">
        <v>34</v>
      </c>
      <c r="D1179" t="s">
        <v>35</v>
      </c>
      <c r="E1179" t="s">
        <v>6801</v>
      </c>
      <c r="F1179" t="s">
        <v>6802</v>
      </c>
      <c r="G1179" t="s">
        <v>213</v>
      </c>
      <c r="H1179" t="s">
        <v>83</v>
      </c>
      <c r="I1179" t="s">
        <v>1527</v>
      </c>
      <c r="J1179" t="s">
        <v>245</v>
      </c>
      <c r="K1179">
        <v>2021</v>
      </c>
      <c r="L1179">
        <v>2021</v>
      </c>
      <c r="M1179">
        <v>6.46</v>
      </c>
      <c r="N1179">
        <v>19.184999999999999</v>
      </c>
      <c r="O1179">
        <v>232.5</v>
      </c>
      <c r="P1179">
        <v>3.3</v>
      </c>
      <c r="Q1179">
        <v>0.54400000000000004</v>
      </c>
      <c r="R1179" t="s">
        <v>84</v>
      </c>
      <c r="S1179" t="s">
        <v>6803</v>
      </c>
      <c r="T1179" t="b">
        <v>1</v>
      </c>
      <c r="U1179" t="s">
        <v>6154</v>
      </c>
      <c r="V1179" t="s">
        <v>6804</v>
      </c>
      <c r="W1179" t="s">
        <v>6805</v>
      </c>
      <c r="X1179" t="s">
        <v>47</v>
      </c>
      <c r="AA1179" t="s">
        <v>114</v>
      </c>
      <c r="AC1179" t="s">
        <v>63</v>
      </c>
      <c r="AD1179" t="b">
        <v>0</v>
      </c>
      <c r="AF1179">
        <v>5</v>
      </c>
      <c r="AG1179" t="s">
        <v>89</v>
      </c>
    </row>
    <row r="1180" spans="1:33" x14ac:dyDescent="0.2">
      <c r="A1180">
        <v>1015</v>
      </c>
      <c r="B1180" t="s">
        <v>6806</v>
      </c>
      <c r="C1180" t="s">
        <v>34</v>
      </c>
      <c r="D1180" t="s">
        <v>35</v>
      </c>
      <c r="G1180" t="s">
        <v>213</v>
      </c>
      <c r="H1180" t="s">
        <v>83</v>
      </c>
      <c r="I1180" t="s">
        <v>1527</v>
      </c>
      <c r="J1180" t="s">
        <v>245</v>
      </c>
      <c r="K1180">
        <v>1995</v>
      </c>
      <c r="L1180">
        <v>1995</v>
      </c>
      <c r="M1180">
        <v>1.2E-2</v>
      </c>
      <c r="N1180">
        <v>5.3999999999999999E-2</v>
      </c>
      <c r="R1180" t="s">
        <v>84</v>
      </c>
      <c r="S1180" t="s">
        <v>6803</v>
      </c>
      <c r="T1180" t="b">
        <v>1</v>
      </c>
      <c r="U1180" t="s">
        <v>2566</v>
      </c>
      <c r="V1180" t="s">
        <v>274</v>
      </c>
      <c r="W1180" t="s">
        <v>6807</v>
      </c>
      <c r="X1180" t="s">
        <v>47</v>
      </c>
      <c r="AA1180" t="s">
        <v>114</v>
      </c>
      <c r="AC1180" t="s">
        <v>63</v>
      </c>
      <c r="AD1180" t="b">
        <v>0</v>
      </c>
      <c r="AF1180">
        <v>5</v>
      </c>
      <c r="AG1180" t="s">
        <v>89</v>
      </c>
    </row>
    <row r="1181" spans="1:33" x14ac:dyDescent="0.2">
      <c r="A1181">
        <v>2000</v>
      </c>
      <c r="B1181" t="s">
        <v>6808</v>
      </c>
      <c r="C1181" t="s">
        <v>34</v>
      </c>
      <c r="D1181" t="s">
        <v>35</v>
      </c>
      <c r="E1181" t="s">
        <v>1320</v>
      </c>
      <c r="F1181" t="s">
        <v>1321</v>
      </c>
      <c r="G1181" t="s">
        <v>377</v>
      </c>
      <c r="H1181" t="s">
        <v>378</v>
      </c>
      <c r="I1181" t="s">
        <v>1958</v>
      </c>
      <c r="J1181" t="s">
        <v>49</v>
      </c>
      <c r="K1181">
        <v>2021</v>
      </c>
      <c r="L1181">
        <v>2021</v>
      </c>
      <c r="M1181">
        <v>8.77</v>
      </c>
      <c r="N1181">
        <v>22.24</v>
      </c>
      <c r="O1181">
        <v>335.6</v>
      </c>
      <c r="P1181">
        <v>3.2</v>
      </c>
      <c r="Q1181">
        <v>0.76100000000000001</v>
      </c>
      <c r="R1181" t="s">
        <v>42</v>
      </c>
      <c r="S1181" t="s">
        <v>6809</v>
      </c>
      <c r="T1181" t="b">
        <v>1</v>
      </c>
      <c r="U1181" t="s">
        <v>6810</v>
      </c>
      <c r="V1181" t="s">
        <v>1324</v>
      </c>
      <c r="W1181" t="s">
        <v>6811</v>
      </c>
      <c r="X1181" t="s">
        <v>47</v>
      </c>
      <c r="AA1181" t="s">
        <v>6808</v>
      </c>
      <c r="AC1181" t="s">
        <v>63</v>
      </c>
      <c r="AD1181" t="b">
        <v>0</v>
      </c>
      <c r="AF1181">
        <v>11</v>
      </c>
      <c r="AG1181" t="s">
        <v>198</v>
      </c>
    </row>
    <row r="1182" spans="1:33" x14ac:dyDescent="0.2">
      <c r="A1182">
        <v>2170</v>
      </c>
      <c r="B1182" t="s">
        <v>6812</v>
      </c>
      <c r="C1182" t="s">
        <v>34</v>
      </c>
      <c r="D1182" t="s">
        <v>35</v>
      </c>
      <c r="E1182" t="s">
        <v>1913</v>
      </c>
      <c r="F1182" t="s">
        <v>1914</v>
      </c>
      <c r="G1182" t="s">
        <v>93</v>
      </c>
      <c r="H1182" t="s">
        <v>94</v>
      </c>
      <c r="I1182" t="s">
        <v>5347</v>
      </c>
      <c r="J1182" t="s">
        <v>409</v>
      </c>
      <c r="K1182">
        <v>2025</v>
      </c>
      <c r="L1182">
        <v>2025</v>
      </c>
      <c r="M1182">
        <v>2.1</v>
      </c>
      <c r="N1182">
        <v>5.2</v>
      </c>
      <c r="O1182">
        <v>229.82</v>
      </c>
      <c r="P1182">
        <v>1.1200000000000001</v>
      </c>
      <c r="Q1182">
        <v>0.52100000000000002</v>
      </c>
      <c r="R1182" t="s">
        <v>97</v>
      </c>
      <c r="S1182" t="s">
        <v>6813</v>
      </c>
      <c r="T1182" t="b">
        <v>1</v>
      </c>
      <c r="U1182" t="s">
        <v>2571</v>
      </c>
      <c r="V1182" t="s">
        <v>6814</v>
      </c>
      <c r="W1182" t="s">
        <v>6815</v>
      </c>
      <c r="X1182" t="s">
        <v>47</v>
      </c>
      <c r="AA1182" t="s">
        <v>340</v>
      </c>
      <c r="AB1182" t="s">
        <v>378</v>
      </c>
      <c r="AC1182" t="s">
        <v>341</v>
      </c>
      <c r="AD1182" t="b">
        <v>0</v>
      </c>
      <c r="AF1182">
        <v>1</v>
      </c>
      <c r="AG1182" t="s">
        <v>104</v>
      </c>
    </row>
    <row r="1183" spans="1:33" x14ac:dyDescent="0.2">
      <c r="A1183">
        <v>825</v>
      </c>
      <c r="B1183" t="s">
        <v>6816</v>
      </c>
      <c r="C1183" t="s">
        <v>34</v>
      </c>
      <c r="D1183" t="s">
        <v>35</v>
      </c>
      <c r="E1183" t="s">
        <v>6817</v>
      </c>
      <c r="F1183" t="s">
        <v>6818</v>
      </c>
      <c r="G1183" t="s">
        <v>53</v>
      </c>
      <c r="H1183" t="s">
        <v>54</v>
      </c>
      <c r="I1183" t="s">
        <v>362</v>
      </c>
      <c r="J1183" t="s">
        <v>256</v>
      </c>
      <c r="K1183">
        <v>2005</v>
      </c>
      <c r="L1183">
        <v>2005</v>
      </c>
      <c r="M1183">
        <v>3.2</v>
      </c>
      <c r="N1183">
        <v>10.867000000000001</v>
      </c>
      <c r="O1183">
        <v>235</v>
      </c>
      <c r="P1183">
        <v>1.9</v>
      </c>
      <c r="Q1183">
        <v>0.46800000000000003</v>
      </c>
      <c r="R1183" t="s">
        <v>72</v>
      </c>
      <c r="S1183" t="s">
        <v>6819</v>
      </c>
      <c r="T1183" t="b">
        <v>1</v>
      </c>
      <c r="U1183" t="s">
        <v>6820</v>
      </c>
      <c r="V1183" t="s">
        <v>6821</v>
      </c>
      <c r="W1183" t="s">
        <v>6822</v>
      </c>
      <c r="X1183" t="s">
        <v>47</v>
      </c>
      <c r="AA1183" t="s">
        <v>6823</v>
      </c>
      <c r="AB1183" t="s">
        <v>49</v>
      </c>
      <c r="AC1183" t="s">
        <v>6824</v>
      </c>
      <c r="AD1183" t="b">
        <v>0</v>
      </c>
      <c r="AF1183">
        <v>13</v>
      </c>
      <c r="AG1183" t="s">
        <v>155</v>
      </c>
    </row>
    <row r="1184" spans="1:33" x14ac:dyDescent="0.2">
      <c r="A1184">
        <v>2166</v>
      </c>
      <c r="B1184" t="s">
        <v>6825</v>
      </c>
      <c r="C1184" t="s">
        <v>34</v>
      </c>
      <c r="D1184" t="s">
        <v>35</v>
      </c>
      <c r="E1184" t="s">
        <v>6826</v>
      </c>
      <c r="F1184" t="s">
        <v>6827</v>
      </c>
      <c r="G1184" t="s">
        <v>312</v>
      </c>
      <c r="H1184" t="s">
        <v>313</v>
      </c>
      <c r="I1184" t="s">
        <v>3024</v>
      </c>
      <c r="J1184" t="s">
        <v>262</v>
      </c>
      <c r="K1184">
        <v>2025</v>
      </c>
      <c r="L1184">
        <v>2025</v>
      </c>
      <c r="M1184">
        <v>2.1999999999999999E-2</v>
      </c>
      <c r="N1184">
        <v>0.09</v>
      </c>
      <c r="O1184">
        <v>85</v>
      </c>
      <c r="P1184">
        <v>4.3999999999999997E-2</v>
      </c>
      <c r="Q1184">
        <v>0.13900000000000001</v>
      </c>
      <c r="R1184" t="s">
        <v>84</v>
      </c>
      <c r="S1184" t="s">
        <v>6828</v>
      </c>
      <c r="T1184" t="b">
        <v>1</v>
      </c>
      <c r="U1184" t="s">
        <v>6829</v>
      </c>
      <c r="V1184" t="s">
        <v>6830</v>
      </c>
      <c r="W1184" t="s">
        <v>6831</v>
      </c>
      <c r="X1184" t="s">
        <v>47</v>
      </c>
      <c r="AA1184" t="s">
        <v>3029</v>
      </c>
      <c r="AC1184" t="s">
        <v>3030</v>
      </c>
      <c r="AD1184" t="b">
        <v>0</v>
      </c>
      <c r="AF1184">
        <v>4</v>
      </c>
      <c r="AG1184" t="s">
        <v>321</v>
      </c>
    </row>
    <row r="1185" spans="1:33" x14ac:dyDescent="0.2">
      <c r="A1185">
        <v>1586</v>
      </c>
      <c r="B1185" t="s">
        <v>6832</v>
      </c>
      <c r="C1185" t="s">
        <v>34</v>
      </c>
      <c r="D1185" t="s">
        <v>35</v>
      </c>
      <c r="E1185" t="s">
        <v>6833</v>
      </c>
      <c r="F1185" t="s">
        <v>6834</v>
      </c>
      <c r="G1185" t="s">
        <v>242</v>
      </c>
      <c r="H1185" t="s">
        <v>243</v>
      </c>
      <c r="I1185" t="s">
        <v>2193</v>
      </c>
      <c r="J1185" t="s">
        <v>378</v>
      </c>
      <c r="K1185">
        <v>2011</v>
      </c>
      <c r="L1185">
        <v>2011</v>
      </c>
      <c r="M1185">
        <v>1.7</v>
      </c>
      <c r="N1185">
        <v>4.3460000000000001</v>
      </c>
      <c r="O1185">
        <v>155</v>
      </c>
      <c r="P1185">
        <v>1.3</v>
      </c>
      <c r="Q1185">
        <v>0.32600000000000001</v>
      </c>
      <c r="R1185" t="s">
        <v>72</v>
      </c>
      <c r="S1185" t="s">
        <v>6835</v>
      </c>
      <c r="T1185" t="b">
        <v>1</v>
      </c>
      <c r="U1185" t="s">
        <v>6836</v>
      </c>
      <c r="V1185" t="s">
        <v>6837</v>
      </c>
      <c r="W1185" t="s">
        <v>6838</v>
      </c>
      <c r="X1185" t="s">
        <v>47</v>
      </c>
      <c r="AA1185" t="s">
        <v>6839</v>
      </c>
      <c r="AC1185" t="s">
        <v>63</v>
      </c>
      <c r="AD1185" t="b">
        <v>0</v>
      </c>
      <c r="AF1185">
        <v>8</v>
      </c>
      <c r="AG1185" t="s">
        <v>78</v>
      </c>
    </row>
    <row r="1186" spans="1:33" x14ac:dyDescent="0.2">
      <c r="A1186">
        <v>1698</v>
      </c>
      <c r="B1186" t="s">
        <v>6840</v>
      </c>
      <c r="C1186" t="s">
        <v>34</v>
      </c>
      <c r="D1186" t="s">
        <v>35</v>
      </c>
      <c r="G1186" t="s">
        <v>213</v>
      </c>
      <c r="H1186" t="s">
        <v>83</v>
      </c>
      <c r="I1186" t="s">
        <v>1152</v>
      </c>
      <c r="J1186" t="s">
        <v>676</v>
      </c>
      <c r="K1186">
        <v>2006</v>
      </c>
      <c r="L1186">
        <v>2006</v>
      </c>
      <c r="M1186">
        <v>0.15</v>
      </c>
      <c r="N1186">
        <v>0.35399999999999998</v>
      </c>
      <c r="R1186" t="s">
        <v>84</v>
      </c>
      <c r="S1186" t="s">
        <v>6841</v>
      </c>
      <c r="T1186" t="b">
        <v>1</v>
      </c>
      <c r="U1186" t="s">
        <v>1305</v>
      </c>
      <c r="V1186" t="s">
        <v>274</v>
      </c>
      <c r="W1186" t="s">
        <v>6842</v>
      </c>
      <c r="X1186" t="s">
        <v>47</v>
      </c>
      <c r="AA1186" t="s">
        <v>5530</v>
      </c>
      <c r="AC1186" t="s">
        <v>63</v>
      </c>
      <c r="AD1186" t="b">
        <v>0</v>
      </c>
      <c r="AF1186">
        <v>4</v>
      </c>
      <c r="AG1186" t="s">
        <v>321</v>
      </c>
    </row>
    <row r="1187" spans="1:33" x14ac:dyDescent="0.2">
      <c r="A1187">
        <v>605</v>
      </c>
      <c r="B1187" t="s">
        <v>6843</v>
      </c>
      <c r="C1187" t="s">
        <v>34</v>
      </c>
      <c r="D1187" t="s">
        <v>35</v>
      </c>
      <c r="E1187" t="s">
        <v>3742</v>
      </c>
      <c r="F1187" t="s">
        <v>3743</v>
      </c>
      <c r="G1187" t="s">
        <v>53</v>
      </c>
      <c r="H1187" t="s">
        <v>54</v>
      </c>
      <c r="I1187" t="s">
        <v>55</v>
      </c>
      <c r="J1187" t="s">
        <v>56</v>
      </c>
      <c r="K1187">
        <v>1989</v>
      </c>
      <c r="L1187">
        <v>1989</v>
      </c>
      <c r="M1187">
        <v>6</v>
      </c>
      <c r="N1187">
        <v>23.709</v>
      </c>
      <c r="O1187">
        <v>19.29</v>
      </c>
      <c r="P1187">
        <v>34.72</v>
      </c>
      <c r="Q1187">
        <v>4.8000000000000001E-2</v>
      </c>
      <c r="R1187" t="s">
        <v>57</v>
      </c>
      <c r="S1187" t="s">
        <v>6844</v>
      </c>
      <c r="T1187" t="b">
        <v>1</v>
      </c>
      <c r="U1187" t="s">
        <v>6845</v>
      </c>
      <c r="V1187" t="s">
        <v>3746</v>
      </c>
      <c r="W1187" t="s">
        <v>113</v>
      </c>
      <c r="X1187" t="s">
        <v>47</v>
      </c>
      <c r="AA1187" t="s">
        <v>741</v>
      </c>
      <c r="AB1187" t="s">
        <v>227</v>
      </c>
      <c r="AC1187" t="s">
        <v>742</v>
      </c>
      <c r="AD1187" t="b">
        <v>0</v>
      </c>
      <c r="AF1187">
        <v>6</v>
      </c>
      <c r="AG1187" t="s">
        <v>64</v>
      </c>
    </row>
    <row r="1188" spans="1:33" x14ac:dyDescent="0.2">
      <c r="A1188">
        <v>341</v>
      </c>
      <c r="B1188" t="s">
        <v>6846</v>
      </c>
      <c r="C1188" t="s">
        <v>574</v>
      </c>
      <c r="D1188" t="s">
        <v>575</v>
      </c>
      <c r="E1188" t="s">
        <v>91</v>
      </c>
      <c r="F1188" t="s">
        <v>92</v>
      </c>
      <c r="G1188" t="s">
        <v>503</v>
      </c>
      <c r="H1188" t="s">
        <v>462</v>
      </c>
      <c r="I1188" t="s">
        <v>504</v>
      </c>
      <c r="J1188" t="s">
        <v>109</v>
      </c>
      <c r="K1188">
        <v>1969</v>
      </c>
      <c r="L1188">
        <v>1969</v>
      </c>
      <c r="M1188">
        <v>-0.3</v>
      </c>
      <c r="N1188">
        <v>-2.6280000000000001</v>
      </c>
      <c r="O1188">
        <v>0</v>
      </c>
      <c r="P1188">
        <v>1</v>
      </c>
      <c r="Q1188">
        <v>-8.2000000000000003E-2</v>
      </c>
      <c r="R1188" t="s">
        <v>84</v>
      </c>
      <c r="S1188" t="s">
        <v>6847</v>
      </c>
      <c r="T1188" t="b">
        <v>1</v>
      </c>
      <c r="U1188" t="s">
        <v>4472</v>
      </c>
      <c r="V1188" t="s">
        <v>100</v>
      </c>
      <c r="W1188" t="s">
        <v>113</v>
      </c>
      <c r="X1188" t="s">
        <v>47</v>
      </c>
      <c r="AA1188" t="s">
        <v>509</v>
      </c>
      <c r="AB1188" t="s">
        <v>1697</v>
      </c>
      <c r="AC1188" t="s">
        <v>510</v>
      </c>
      <c r="AD1188" t="b">
        <v>0</v>
      </c>
      <c r="AF1188">
        <v>3</v>
      </c>
      <c r="AG1188" t="s">
        <v>332</v>
      </c>
    </row>
    <row r="1189" spans="1:33" x14ac:dyDescent="0.2">
      <c r="A1189">
        <v>1911</v>
      </c>
      <c r="B1189" t="s">
        <v>6848</v>
      </c>
      <c r="C1189" t="s">
        <v>34</v>
      </c>
      <c r="D1189" t="s">
        <v>35</v>
      </c>
      <c r="E1189" t="s">
        <v>459</v>
      </c>
      <c r="F1189" t="s">
        <v>460</v>
      </c>
      <c r="G1189" t="s">
        <v>53</v>
      </c>
      <c r="H1189" t="s">
        <v>54</v>
      </c>
      <c r="I1189" t="s">
        <v>461</v>
      </c>
      <c r="J1189" t="s">
        <v>462</v>
      </c>
      <c r="K1189">
        <v>2017</v>
      </c>
      <c r="L1189">
        <v>2017</v>
      </c>
      <c r="M1189">
        <v>8.6300000000000008</v>
      </c>
      <c r="N1189">
        <v>16.225999999999999</v>
      </c>
      <c r="O1189">
        <v>528</v>
      </c>
      <c r="P1189">
        <v>1.94</v>
      </c>
      <c r="Q1189">
        <v>1.236</v>
      </c>
      <c r="R1189" t="s">
        <v>57</v>
      </c>
      <c r="S1189" t="s">
        <v>6849</v>
      </c>
      <c r="T1189" t="b">
        <v>1</v>
      </c>
      <c r="U1189" t="s">
        <v>6850</v>
      </c>
      <c r="V1189" t="s">
        <v>465</v>
      </c>
      <c r="W1189" t="s">
        <v>6851</v>
      </c>
      <c r="X1189" t="s">
        <v>47</v>
      </c>
      <c r="AA1189" t="s">
        <v>6852</v>
      </c>
      <c r="AB1189" t="s">
        <v>49</v>
      </c>
      <c r="AC1189" t="s">
        <v>6853</v>
      </c>
      <c r="AD1189" t="b">
        <v>0</v>
      </c>
      <c r="AF1189">
        <v>7</v>
      </c>
      <c r="AG1189" t="s">
        <v>469</v>
      </c>
    </row>
    <row r="1190" spans="1:33" x14ac:dyDescent="0.2">
      <c r="A1190">
        <v>1243</v>
      </c>
      <c r="B1190" t="s">
        <v>6854</v>
      </c>
      <c r="C1190" t="s">
        <v>34</v>
      </c>
      <c r="D1190" t="s">
        <v>35</v>
      </c>
      <c r="E1190" t="s">
        <v>6855</v>
      </c>
      <c r="F1190" t="s">
        <v>6856</v>
      </c>
      <c r="G1190" t="s">
        <v>53</v>
      </c>
      <c r="H1190" t="s">
        <v>54</v>
      </c>
      <c r="I1190" t="s">
        <v>1039</v>
      </c>
      <c r="J1190" t="s">
        <v>243</v>
      </c>
      <c r="K1190">
        <v>2006</v>
      </c>
      <c r="L1190">
        <v>2006</v>
      </c>
      <c r="M1190">
        <v>3</v>
      </c>
      <c r="N1190">
        <v>12.144</v>
      </c>
      <c r="O1190">
        <v>190</v>
      </c>
      <c r="P1190">
        <v>1.9</v>
      </c>
      <c r="Q1190">
        <v>0.40899999999999997</v>
      </c>
      <c r="R1190" t="s">
        <v>72</v>
      </c>
      <c r="S1190" t="s">
        <v>6857</v>
      </c>
      <c r="T1190" t="b">
        <v>1</v>
      </c>
      <c r="U1190" t="s">
        <v>6858</v>
      </c>
      <c r="V1190" t="s">
        <v>6859</v>
      </c>
      <c r="W1190" t="s">
        <v>6860</v>
      </c>
      <c r="X1190" t="s">
        <v>47</v>
      </c>
      <c r="AA1190" t="s">
        <v>6861</v>
      </c>
      <c r="AB1190" t="s">
        <v>539</v>
      </c>
      <c r="AC1190" t="s">
        <v>6862</v>
      </c>
      <c r="AD1190" t="b">
        <v>0</v>
      </c>
      <c r="AF1190">
        <v>13</v>
      </c>
      <c r="AG1190" t="s">
        <v>155</v>
      </c>
    </row>
    <row r="1191" spans="1:33" x14ac:dyDescent="0.2">
      <c r="A1191">
        <v>342</v>
      </c>
      <c r="B1191" t="s">
        <v>6863</v>
      </c>
      <c r="C1191" t="s">
        <v>34</v>
      </c>
      <c r="D1191" t="s">
        <v>35</v>
      </c>
      <c r="E1191" t="s">
        <v>277</v>
      </c>
      <c r="F1191" t="s">
        <v>278</v>
      </c>
      <c r="G1191" t="s">
        <v>93</v>
      </c>
      <c r="H1191" t="s">
        <v>94</v>
      </c>
      <c r="I1191" t="s">
        <v>2295</v>
      </c>
      <c r="J1191" t="s">
        <v>280</v>
      </c>
      <c r="K1191">
        <v>1976</v>
      </c>
      <c r="L1191">
        <v>1976</v>
      </c>
      <c r="M1191">
        <v>5</v>
      </c>
      <c r="N1191">
        <v>31.93</v>
      </c>
      <c r="O1191">
        <v>473</v>
      </c>
      <c r="P1191">
        <v>1.3</v>
      </c>
      <c r="Q1191">
        <v>1.0669999999999999</v>
      </c>
      <c r="R1191" t="s">
        <v>97</v>
      </c>
      <c r="S1191" t="s">
        <v>6864</v>
      </c>
      <c r="T1191" t="b">
        <v>1</v>
      </c>
      <c r="U1191" t="s">
        <v>6865</v>
      </c>
      <c r="V1191" t="s">
        <v>389</v>
      </c>
      <c r="W1191" t="s">
        <v>6866</v>
      </c>
      <c r="X1191" t="s">
        <v>47</v>
      </c>
      <c r="AA1191" t="s">
        <v>340</v>
      </c>
      <c r="AB1191" t="s">
        <v>805</v>
      </c>
      <c r="AC1191" t="s">
        <v>1063</v>
      </c>
      <c r="AD1191" t="b">
        <v>0</v>
      </c>
      <c r="AF1191">
        <v>1</v>
      </c>
      <c r="AG1191" t="s">
        <v>104</v>
      </c>
    </row>
    <row r="1192" spans="1:33" x14ac:dyDescent="0.2">
      <c r="A1192">
        <v>1185</v>
      </c>
      <c r="B1192" t="s">
        <v>6867</v>
      </c>
      <c r="C1192" t="s">
        <v>34</v>
      </c>
      <c r="D1192" t="s">
        <v>35</v>
      </c>
      <c r="E1192" t="s">
        <v>6868</v>
      </c>
      <c r="F1192" t="s">
        <v>6869</v>
      </c>
      <c r="G1192" t="s">
        <v>53</v>
      </c>
      <c r="H1192" t="s">
        <v>54</v>
      </c>
      <c r="I1192" t="s">
        <v>118</v>
      </c>
      <c r="J1192" t="s">
        <v>119</v>
      </c>
      <c r="K1192">
        <v>1957</v>
      </c>
      <c r="L1192">
        <v>1957</v>
      </c>
      <c r="M1192">
        <v>0.5</v>
      </c>
      <c r="N1192">
        <v>4.0209999999999999</v>
      </c>
      <c r="R1192" t="s">
        <v>84</v>
      </c>
      <c r="S1192" t="s">
        <v>6870</v>
      </c>
      <c r="T1192" t="b">
        <v>1</v>
      </c>
      <c r="U1192" t="s">
        <v>1583</v>
      </c>
      <c r="V1192" t="s">
        <v>6871</v>
      </c>
      <c r="W1192" t="s">
        <v>113</v>
      </c>
      <c r="X1192" t="s">
        <v>47</v>
      </c>
      <c r="AA1192" t="s">
        <v>3341</v>
      </c>
      <c r="AC1192" t="s">
        <v>3342</v>
      </c>
      <c r="AD1192" t="b">
        <v>0</v>
      </c>
      <c r="AF1192">
        <v>5</v>
      </c>
      <c r="AG1192" t="s">
        <v>89</v>
      </c>
    </row>
    <row r="1193" spans="1:33" x14ac:dyDescent="0.2">
      <c r="A1193">
        <v>343</v>
      </c>
      <c r="B1193" t="s">
        <v>6872</v>
      </c>
      <c r="C1193" t="s">
        <v>34</v>
      </c>
      <c r="D1193" t="s">
        <v>35</v>
      </c>
      <c r="E1193" t="s">
        <v>1670</v>
      </c>
      <c r="F1193" t="s">
        <v>1671</v>
      </c>
      <c r="G1193" t="s">
        <v>312</v>
      </c>
      <c r="H1193" t="s">
        <v>313</v>
      </c>
      <c r="I1193" t="s">
        <v>1049</v>
      </c>
      <c r="J1193" t="s">
        <v>171</v>
      </c>
      <c r="K1193">
        <v>1979</v>
      </c>
      <c r="L1193">
        <v>1979</v>
      </c>
      <c r="M1193">
        <v>50</v>
      </c>
      <c r="N1193">
        <v>109.563</v>
      </c>
      <c r="O1193">
        <v>88</v>
      </c>
      <c r="P1193">
        <v>67.09</v>
      </c>
      <c r="Q1193">
        <v>0.20699999999999999</v>
      </c>
      <c r="R1193" t="s">
        <v>84</v>
      </c>
      <c r="S1193" t="s">
        <v>6873</v>
      </c>
      <c r="T1193" t="b">
        <v>1</v>
      </c>
      <c r="U1193" t="s">
        <v>6874</v>
      </c>
      <c r="V1193" t="s">
        <v>1675</v>
      </c>
      <c r="W1193" t="s">
        <v>6875</v>
      </c>
      <c r="X1193" t="s">
        <v>47</v>
      </c>
      <c r="AA1193" t="s">
        <v>498</v>
      </c>
      <c r="AB1193" t="s">
        <v>1975</v>
      </c>
      <c r="AC1193" t="s">
        <v>616</v>
      </c>
      <c r="AD1193" t="b">
        <v>0</v>
      </c>
      <c r="AF1193">
        <v>4</v>
      </c>
      <c r="AG1193" t="s">
        <v>321</v>
      </c>
    </row>
    <row r="1194" spans="1:33" x14ac:dyDescent="0.2">
      <c r="A1194">
        <v>1804</v>
      </c>
      <c r="B1194" t="s">
        <v>6876</v>
      </c>
      <c r="C1194" t="s">
        <v>34</v>
      </c>
      <c r="D1194" t="s">
        <v>35</v>
      </c>
      <c r="E1194" t="s">
        <v>277</v>
      </c>
      <c r="F1194" t="s">
        <v>278</v>
      </c>
      <c r="G1194" t="s">
        <v>93</v>
      </c>
      <c r="H1194" t="s">
        <v>94</v>
      </c>
      <c r="I1194" t="s">
        <v>6093</v>
      </c>
      <c r="J1194" t="s">
        <v>1303</v>
      </c>
      <c r="K1194">
        <v>2018</v>
      </c>
      <c r="L1194">
        <v>2018</v>
      </c>
      <c r="M1194">
        <v>80</v>
      </c>
      <c r="N1194">
        <v>216.32499999999999</v>
      </c>
      <c r="O1194">
        <v>103.5</v>
      </c>
      <c r="P1194">
        <v>85</v>
      </c>
      <c r="Q1194">
        <v>0.26100000000000001</v>
      </c>
      <c r="R1194" t="s">
        <v>72</v>
      </c>
      <c r="S1194" t="s">
        <v>6877</v>
      </c>
      <c r="T1194" t="b">
        <v>1</v>
      </c>
      <c r="U1194" t="s">
        <v>6878</v>
      </c>
      <c r="V1194" t="s">
        <v>6879</v>
      </c>
      <c r="W1194" t="s">
        <v>6880</v>
      </c>
      <c r="X1194" t="s">
        <v>47</v>
      </c>
      <c r="AA1194" t="s">
        <v>340</v>
      </c>
      <c r="AB1194" t="s">
        <v>109</v>
      </c>
      <c r="AC1194" t="s">
        <v>1063</v>
      </c>
      <c r="AD1194" t="b">
        <v>0</v>
      </c>
      <c r="AF1194">
        <v>8</v>
      </c>
      <c r="AG1194" t="s">
        <v>78</v>
      </c>
    </row>
    <row r="1195" spans="1:33" x14ac:dyDescent="0.2">
      <c r="A1195">
        <v>967</v>
      </c>
      <c r="B1195" t="s">
        <v>6881</v>
      </c>
      <c r="C1195" t="s">
        <v>34</v>
      </c>
      <c r="D1195" t="s">
        <v>35</v>
      </c>
      <c r="E1195" t="s">
        <v>6882</v>
      </c>
      <c r="F1195" t="s">
        <v>6883</v>
      </c>
      <c r="G1195" t="s">
        <v>483</v>
      </c>
      <c r="H1195" t="s">
        <v>109</v>
      </c>
      <c r="I1195" t="s">
        <v>6884</v>
      </c>
      <c r="J1195" t="s">
        <v>109</v>
      </c>
      <c r="K1195">
        <v>1906</v>
      </c>
      <c r="L1195">
        <v>1940</v>
      </c>
      <c r="M1195">
        <v>0.3</v>
      </c>
      <c r="N1195">
        <v>0.997</v>
      </c>
      <c r="O1195">
        <v>12</v>
      </c>
      <c r="P1195">
        <v>3.1</v>
      </c>
      <c r="Q1195">
        <v>2.7E-2</v>
      </c>
      <c r="R1195" t="s">
        <v>97</v>
      </c>
      <c r="S1195" t="s">
        <v>6885</v>
      </c>
      <c r="T1195" t="b">
        <v>1</v>
      </c>
      <c r="U1195" t="s">
        <v>6886</v>
      </c>
      <c r="V1195" t="s">
        <v>6887</v>
      </c>
      <c r="W1195" t="s">
        <v>6888</v>
      </c>
      <c r="X1195" t="s">
        <v>47</v>
      </c>
      <c r="AA1195" t="s">
        <v>340</v>
      </c>
      <c r="AC1195" t="s">
        <v>341</v>
      </c>
      <c r="AD1195" t="b">
        <v>0</v>
      </c>
      <c r="AF1195">
        <v>1</v>
      </c>
      <c r="AG1195" t="s">
        <v>104</v>
      </c>
    </row>
    <row r="1196" spans="1:33" x14ac:dyDescent="0.2">
      <c r="A1196">
        <v>344</v>
      </c>
      <c r="B1196" t="s">
        <v>6889</v>
      </c>
      <c r="C1196" t="s">
        <v>34</v>
      </c>
      <c r="D1196" t="s">
        <v>35</v>
      </c>
      <c r="E1196" t="s">
        <v>512</v>
      </c>
      <c r="F1196" t="s">
        <v>513</v>
      </c>
      <c r="G1196" t="s">
        <v>377</v>
      </c>
      <c r="H1196" t="s">
        <v>378</v>
      </c>
      <c r="I1196" t="s">
        <v>2746</v>
      </c>
      <c r="J1196" t="s">
        <v>485</v>
      </c>
      <c r="K1196">
        <v>1952</v>
      </c>
      <c r="L1196">
        <v>2010</v>
      </c>
      <c r="M1196">
        <v>5.49</v>
      </c>
      <c r="N1196">
        <v>20.233000000000001</v>
      </c>
      <c r="O1196">
        <v>448.84</v>
      </c>
      <c r="P1196">
        <v>1.5</v>
      </c>
      <c r="Q1196">
        <v>1.0169999999999999</v>
      </c>
      <c r="R1196" t="s">
        <v>42</v>
      </c>
      <c r="S1196" t="s">
        <v>6890</v>
      </c>
      <c r="T1196" t="b">
        <v>1</v>
      </c>
      <c r="U1196" t="s">
        <v>3347</v>
      </c>
      <c r="V1196" t="s">
        <v>518</v>
      </c>
      <c r="W1196" t="s">
        <v>6891</v>
      </c>
      <c r="X1196" t="s">
        <v>47</v>
      </c>
      <c r="AA1196" t="s">
        <v>6892</v>
      </c>
      <c r="AB1196" t="s">
        <v>49</v>
      </c>
      <c r="AC1196" t="s">
        <v>6893</v>
      </c>
      <c r="AD1196" t="b">
        <v>0</v>
      </c>
      <c r="AF1196">
        <v>11</v>
      </c>
      <c r="AG1196" t="s">
        <v>198</v>
      </c>
    </row>
    <row r="1197" spans="1:33" x14ac:dyDescent="0.2">
      <c r="A1197">
        <v>936</v>
      </c>
      <c r="B1197" t="s">
        <v>6894</v>
      </c>
      <c r="C1197" t="s">
        <v>34</v>
      </c>
      <c r="D1197" t="s">
        <v>35</v>
      </c>
      <c r="G1197" t="s">
        <v>68</v>
      </c>
      <c r="H1197" t="s">
        <v>69</v>
      </c>
      <c r="I1197" t="s">
        <v>597</v>
      </c>
      <c r="J1197" t="s">
        <v>83</v>
      </c>
      <c r="K1197">
        <v>2004</v>
      </c>
      <c r="L1197">
        <v>2004</v>
      </c>
      <c r="M1197">
        <v>0.05</v>
      </c>
      <c r="N1197">
        <v>0.10199999999999999</v>
      </c>
      <c r="R1197" t="s">
        <v>72</v>
      </c>
      <c r="S1197" t="s">
        <v>6895</v>
      </c>
      <c r="T1197" t="b">
        <v>1</v>
      </c>
      <c r="U1197" t="s">
        <v>637</v>
      </c>
      <c r="V1197" t="s">
        <v>274</v>
      </c>
      <c r="W1197" t="s">
        <v>113</v>
      </c>
      <c r="X1197" t="s">
        <v>47</v>
      </c>
      <c r="AA1197" t="s">
        <v>6896</v>
      </c>
      <c r="AC1197" t="s">
        <v>6897</v>
      </c>
      <c r="AD1197" t="b">
        <v>0</v>
      </c>
      <c r="AF1197">
        <v>13</v>
      </c>
      <c r="AG1197" t="s">
        <v>155</v>
      </c>
    </row>
    <row r="1198" spans="1:33" x14ac:dyDescent="0.2">
      <c r="A1198">
        <v>1592</v>
      </c>
      <c r="B1198" t="s">
        <v>6898</v>
      </c>
      <c r="C1198" t="s">
        <v>34</v>
      </c>
      <c r="D1198" t="s">
        <v>35</v>
      </c>
      <c r="E1198" t="s">
        <v>4474</v>
      </c>
      <c r="F1198" t="s">
        <v>4475</v>
      </c>
      <c r="G1198" t="s">
        <v>53</v>
      </c>
      <c r="H1198" t="s">
        <v>54</v>
      </c>
      <c r="I1198" t="s">
        <v>461</v>
      </c>
      <c r="J1198" t="s">
        <v>462</v>
      </c>
      <c r="K1198">
        <v>2008</v>
      </c>
      <c r="L1198">
        <v>2008</v>
      </c>
      <c r="M1198">
        <v>0.66</v>
      </c>
      <c r="N1198">
        <v>1.1299999999999999</v>
      </c>
      <c r="R1198" t="s">
        <v>57</v>
      </c>
      <c r="S1198" t="s">
        <v>6899</v>
      </c>
      <c r="T1198" t="b">
        <v>1</v>
      </c>
      <c r="U1198" t="s">
        <v>6900</v>
      </c>
      <c r="V1198" t="s">
        <v>4477</v>
      </c>
      <c r="W1198" t="s">
        <v>6901</v>
      </c>
      <c r="X1198" t="s">
        <v>47</v>
      </c>
      <c r="AA1198" t="s">
        <v>114</v>
      </c>
      <c r="AC1198" t="s">
        <v>63</v>
      </c>
      <c r="AD1198" t="b">
        <v>0</v>
      </c>
      <c r="AF1198">
        <v>7</v>
      </c>
      <c r="AG1198" t="s">
        <v>469</v>
      </c>
    </row>
    <row r="1199" spans="1:33" x14ac:dyDescent="0.2">
      <c r="A1199">
        <v>1152</v>
      </c>
      <c r="B1199" t="s">
        <v>6902</v>
      </c>
      <c r="C1199" t="s">
        <v>34</v>
      </c>
      <c r="D1199" t="s">
        <v>35</v>
      </c>
      <c r="G1199" t="s">
        <v>224</v>
      </c>
      <c r="H1199" t="s">
        <v>225</v>
      </c>
      <c r="I1199" t="s">
        <v>226</v>
      </c>
      <c r="J1199" t="s">
        <v>227</v>
      </c>
      <c r="K1199">
        <v>1935</v>
      </c>
      <c r="L1199">
        <v>1935</v>
      </c>
      <c r="M1199">
        <v>0.09</v>
      </c>
      <c r="N1199">
        <v>0.379</v>
      </c>
      <c r="O1199">
        <v>25</v>
      </c>
      <c r="R1199" t="s">
        <v>97</v>
      </c>
      <c r="S1199" t="s">
        <v>6903</v>
      </c>
      <c r="T1199" t="b">
        <v>1</v>
      </c>
      <c r="U1199" t="s">
        <v>6904</v>
      </c>
      <c r="V1199" t="s">
        <v>274</v>
      </c>
      <c r="W1199" t="s">
        <v>113</v>
      </c>
      <c r="X1199" t="s">
        <v>47</v>
      </c>
      <c r="AA1199" t="s">
        <v>102</v>
      </c>
      <c r="AC1199" t="s">
        <v>103</v>
      </c>
      <c r="AD1199" t="b">
        <v>0</v>
      </c>
      <c r="AF1199">
        <v>1</v>
      </c>
      <c r="AG1199" t="s">
        <v>104</v>
      </c>
    </row>
    <row r="1200" spans="1:33" x14ac:dyDescent="0.2">
      <c r="A1200">
        <v>1932</v>
      </c>
      <c r="B1200" t="s">
        <v>6905</v>
      </c>
      <c r="C1200" t="s">
        <v>34</v>
      </c>
      <c r="D1200" t="s">
        <v>35</v>
      </c>
      <c r="E1200" t="s">
        <v>6906</v>
      </c>
      <c r="F1200" t="s">
        <v>6907</v>
      </c>
      <c r="G1200" t="s">
        <v>213</v>
      </c>
      <c r="H1200" t="s">
        <v>83</v>
      </c>
      <c r="I1200" t="s">
        <v>611</v>
      </c>
      <c r="J1200" t="s">
        <v>612</v>
      </c>
      <c r="K1200">
        <v>2019</v>
      </c>
      <c r="L1200">
        <v>2019</v>
      </c>
      <c r="M1200">
        <v>5.49</v>
      </c>
      <c r="N1200">
        <v>19.239999999999998</v>
      </c>
      <c r="O1200">
        <v>206</v>
      </c>
      <c r="P1200">
        <v>3.05</v>
      </c>
      <c r="Q1200">
        <v>0.5</v>
      </c>
      <c r="R1200" t="s">
        <v>84</v>
      </c>
      <c r="S1200" t="s">
        <v>6908</v>
      </c>
      <c r="T1200" t="b">
        <v>1</v>
      </c>
      <c r="U1200" t="s">
        <v>6909</v>
      </c>
      <c r="V1200" t="s">
        <v>6910</v>
      </c>
      <c r="W1200" t="s">
        <v>6911</v>
      </c>
      <c r="X1200" t="s">
        <v>47</v>
      </c>
      <c r="AA1200" t="s">
        <v>615</v>
      </c>
      <c r="AB1200" t="s">
        <v>71</v>
      </c>
      <c r="AC1200" t="s">
        <v>616</v>
      </c>
      <c r="AD1200" t="b">
        <v>0</v>
      </c>
      <c r="AF1200">
        <v>4</v>
      </c>
      <c r="AG1200" t="s">
        <v>321</v>
      </c>
    </row>
    <row r="1201" spans="1:33" x14ac:dyDescent="0.2">
      <c r="A1201">
        <v>1084</v>
      </c>
      <c r="B1201" t="s">
        <v>6912</v>
      </c>
      <c r="C1201" t="s">
        <v>34</v>
      </c>
      <c r="D1201" t="s">
        <v>35</v>
      </c>
      <c r="E1201" t="s">
        <v>6913</v>
      </c>
      <c r="F1201" t="s">
        <v>6914</v>
      </c>
      <c r="G1201" t="s">
        <v>53</v>
      </c>
      <c r="H1201" t="s">
        <v>54</v>
      </c>
      <c r="I1201" t="s">
        <v>55</v>
      </c>
      <c r="J1201" t="s">
        <v>56</v>
      </c>
      <c r="K1201">
        <v>2003</v>
      </c>
      <c r="L1201">
        <v>2003</v>
      </c>
      <c r="M1201">
        <v>0.04</v>
      </c>
      <c r="N1201">
        <v>0.20399999999999999</v>
      </c>
      <c r="R1201" t="s">
        <v>57</v>
      </c>
      <c r="S1201" t="s">
        <v>58</v>
      </c>
      <c r="T1201" t="b">
        <v>1</v>
      </c>
      <c r="U1201" t="s">
        <v>2246</v>
      </c>
      <c r="V1201" t="s">
        <v>6915</v>
      </c>
      <c r="W1201" t="s">
        <v>6916</v>
      </c>
      <c r="X1201" t="s">
        <v>47</v>
      </c>
      <c r="AA1201" t="s">
        <v>62</v>
      </c>
      <c r="AC1201" t="s">
        <v>1271</v>
      </c>
      <c r="AD1201" t="b">
        <v>0</v>
      </c>
      <c r="AF1201">
        <v>6</v>
      </c>
      <c r="AG1201" t="s">
        <v>64</v>
      </c>
    </row>
    <row r="1202" spans="1:33" x14ac:dyDescent="0.2">
      <c r="A1202">
        <v>1751</v>
      </c>
      <c r="B1202" t="s">
        <v>6917</v>
      </c>
      <c r="C1202" t="s">
        <v>34</v>
      </c>
      <c r="D1202" t="s">
        <v>35</v>
      </c>
      <c r="E1202" t="s">
        <v>6918</v>
      </c>
      <c r="F1202" t="s">
        <v>6919</v>
      </c>
      <c r="G1202" t="s">
        <v>93</v>
      </c>
      <c r="H1202" t="s">
        <v>94</v>
      </c>
      <c r="I1202" t="s">
        <v>6920</v>
      </c>
      <c r="J1202" t="s">
        <v>567</v>
      </c>
      <c r="K1202">
        <v>2013</v>
      </c>
      <c r="L1202">
        <v>2013</v>
      </c>
      <c r="M1202">
        <v>3.488</v>
      </c>
      <c r="N1202">
        <v>8.8810000000000002</v>
      </c>
      <c r="O1202">
        <v>247.3</v>
      </c>
      <c r="P1202">
        <v>1.66</v>
      </c>
      <c r="Q1202">
        <v>0.58399999999999996</v>
      </c>
      <c r="R1202" t="s">
        <v>72</v>
      </c>
      <c r="S1202" t="s">
        <v>6921</v>
      </c>
      <c r="T1202" t="b">
        <v>1</v>
      </c>
      <c r="U1202" t="s">
        <v>6922</v>
      </c>
      <c r="V1202" t="s">
        <v>6923</v>
      </c>
      <c r="W1202" t="s">
        <v>6924</v>
      </c>
      <c r="X1202" t="s">
        <v>47</v>
      </c>
      <c r="AA1202" t="s">
        <v>340</v>
      </c>
      <c r="AC1202" t="s">
        <v>341</v>
      </c>
      <c r="AD1202" t="b">
        <v>0</v>
      </c>
      <c r="AF1202">
        <v>8</v>
      </c>
      <c r="AG1202" t="s">
        <v>78</v>
      </c>
    </row>
    <row r="1203" spans="1:33" x14ac:dyDescent="0.2">
      <c r="A1203">
        <v>345</v>
      </c>
      <c r="B1203" t="s">
        <v>6925</v>
      </c>
      <c r="C1203" t="s">
        <v>34</v>
      </c>
      <c r="D1203" t="s">
        <v>35</v>
      </c>
      <c r="E1203" t="s">
        <v>404</v>
      </c>
      <c r="F1203" t="s">
        <v>405</v>
      </c>
      <c r="G1203" t="s">
        <v>312</v>
      </c>
      <c r="H1203" t="s">
        <v>313</v>
      </c>
      <c r="I1203" t="s">
        <v>3172</v>
      </c>
      <c r="J1203" t="s">
        <v>177</v>
      </c>
      <c r="K1203">
        <v>1978</v>
      </c>
      <c r="L1203">
        <v>1978</v>
      </c>
      <c r="M1203">
        <v>55</v>
      </c>
      <c r="N1203">
        <v>273.38</v>
      </c>
      <c r="O1203">
        <v>36.200000000000003</v>
      </c>
      <c r="P1203">
        <v>172.5</v>
      </c>
      <c r="Q1203">
        <v>8.8999999999999996E-2</v>
      </c>
      <c r="R1203" t="s">
        <v>84</v>
      </c>
      <c r="S1203" t="s">
        <v>6926</v>
      </c>
      <c r="T1203" t="b">
        <v>1</v>
      </c>
      <c r="U1203" t="s">
        <v>1529</v>
      </c>
      <c r="V1203" t="s">
        <v>408</v>
      </c>
      <c r="W1203" t="s">
        <v>6927</v>
      </c>
      <c r="X1203" t="s">
        <v>47</v>
      </c>
      <c r="AA1203" t="s">
        <v>509</v>
      </c>
      <c r="AB1203" t="s">
        <v>177</v>
      </c>
      <c r="AC1203" t="s">
        <v>510</v>
      </c>
      <c r="AD1203" t="b">
        <v>0</v>
      </c>
      <c r="AF1203">
        <v>4</v>
      </c>
      <c r="AG1203" t="s">
        <v>321</v>
      </c>
    </row>
    <row r="1204" spans="1:33" x14ac:dyDescent="0.2">
      <c r="A1204">
        <v>1852</v>
      </c>
      <c r="B1204" t="s">
        <v>6928</v>
      </c>
      <c r="C1204" t="s">
        <v>34</v>
      </c>
      <c r="D1204" t="s">
        <v>35</v>
      </c>
      <c r="E1204" t="s">
        <v>404</v>
      </c>
      <c r="F1204" t="s">
        <v>405</v>
      </c>
      <c r="G1204" t="s">
        <v>312</v>
      </c>
      <c r="H1204" t="s">
        <v>313</v>
      </c>
      <c r="I1204" t="s">
        <v>3172</v>
      </c>
      <c r="J1204" t="s">
        <v>177</v>
      </c>
      <c r="K1204">
        <v>1992</v>
      </c>
      <c r="L1204">
        <v>1992</v>
      </c>
      <c r="M1204">
        <v>0.11</v>
      </c>
      <c r="N1204">
        <v>0.41499999999999998</v>
      </c>
      <c r="O1204">
        <v>15</v>
      </c>
      <c r="P1204">
        <v>1</v>
      </c>
      <c r="Q1204">
        <v>3.1E-2</v>
      </c>
      <c r="R1204" t="s">
        <v>84</v>
      </c>
      <c r="S1204" t="s">
        <v>6929</v>
      </c>
      <c r="T1204" t="b">
        <v>1</v>
      </c>
      <c r="U1204" t="s">
        <v>5269</v>
      </c>
      <c r="V1204" t="s">
        <v>408</v>
      </c>
      <c r="W1204" t="s">
        <v>113</v>
      </c>
      <c r="X1204" t="s">
        <v>47</v>
      </c>
      <c r="AA1204" t="s">
        <v>509</v>
      </c>
      <c r="AC1204" t="s">
        <v>510</v>
      </c>
      <c r="AD1204" t="b">
        <v>0</v>
      </c>
      <c r="AF1204">
        <v>4</v>
      </c>
      <c r="AG1204" t="s">
        <v>321</v>
      </c>
    </row>
    <row r="1205" spans="1:33" x14ac:dyDescent="0.2">
      <c r="A1205">
        <v>2084</v>
      </c>
      <c r="B1205" t="s">
        <v>6930</v>
      </c>
      <c r="C1205" t="s">
        <v>34</v>
      </c>
      <c r="D1205" t="s">
        <v>35</v>
      </c>
      <c r="E1205" t="s">
        <v>1492</v>
      </c>
      <c r="F1205" t="s">
        <v>1493</v>
      </c>
      <c r="G1205" t="s">
        <v>93</v>
      </c>
      <c r="H1205" t="s">
        <v>94</v>
      </c>
      <c r="I1205" t="s">
        <v>95</v>
      </c>
      <c r="J1205" t="s">
        <v>96</v>
      </c>
      <c r="K1205">
        <v>2022</v>
      </c>
      <c r="L1205">
        <v>2022</v>
      </c>
      <c r="M1205">
        <v>3.4</v>
      </c>
      <c r="N1205">
        <v>8.5</v>
      </c>
      <c r="O1205">
        <v>143</v>
      </c>
      <c r="P1205">
        <v>2.9</v>
      </c>
      <c r="Q1205">
        <v>0.32600000000000001</v>
      </c>
      <c r="R1205" t="s">
        <v>97</v>
      </c>
      <c r="S1205" t="s">
        <v>6931</v>
      </c>
      <c r="T1205" t="b">
        <v>1</v>
      </c>
      <c r="U1205" t="s">
        <v>6932</v>
      </c>
      <c r="V1205" t="s">
        <v>1496</v>
      </c>
      <c r="W1205" t="s">
        <v>6933</v>
      </c>
      <c r="X1205" t="s">
        <v>47</v>
      </c>
      <c r="AA1205" t="s">
        <v>102</v>
      </c>
      <c r="AC1205" t="s">
        <v>103</v>
      </c>
      <c r="AD1205" t="b">
        <v>0</v>
      </c>
      <c r="AF1205">
        <v>1</v>
      </c>
      <c r="AG1205" t="s">
        <v>104</v>
      </c>
    </row>
    <row r="1206" spans="1:33" x14ac:dyDescent="0.2">
      <c r="A1206">
        <v>821</v>
      </c>
      <c r="B1206" t="s">
        <v>6934</v>
      </c>
      <c r="C1206" t="s">
        <v>34</v>
      </c>
      <c r="D1206" t="s">
        <v>35</v>
      </c>
      <c r="E1206" t="s">
        <v>6935</v>
      </c>
      <c r="F1206" t="s">
        <v>6936</v>
      </c>
      <c r="G1206" t="s">
        <v>53</v>
      </c>
      <c r="H1206" t="s">
        <v>54</v>
      </c>
      <c r="I1206" t="s">
        <v>1039</v>
      </c>
      <c r="J1206" t="s">
        <v>243</v>
      </c>
      <c r="K1206">
        <v>1999</v>
      </c>
      <c r="L1206">
        <v>1999</v>
      </c>
      <c r="M1206">
        <v>1.32</v>
      </c>
      <c r="N1206">
        <v>5.2119999999999997</v>
      </c>
      <c r="O1206">
        <v>197</v>
      </c>
      <c r="P1206">
        <v>0.8</v>
      </c>
      <c r="Q1206">
        <v>0.45800000000000002</v>
      </c>
      <c r="R1206" t="s">
        <v>72</v>
      </c>
      <c r="S1206" t="s">
        <v>6937</v>
      </c>
      <c r="T1206" t="b">
        <v>1</v>
      </c>
      <c r="U1206" t="s">
        <v>6938</v>
      </c>
      <c r="V1206" t="s">
        <v>6939</v>
      </c>
      <c r="W1206" t="s">
        <v>6940</v>
      </c>
      <c r="X1206" t="s">
        <v>47</v>
      </c>
      <c r="AA1206" t="s">
        <v>400</v>
      </c>
      <c r="AB1206" t="s">
        <v>1077</v>
      </c>
      <c r="AC1206" t="s">
        <v>402</v>
      </c>
      <c r="AD1206" t="b">
        <v>0</v>
      </c>
      <c r="AF1206">
        <v>13</v>
      </c>
      <c r="AG1206" t="s">
        <v>155</v>
      </c>
    </row>
    <row r="1207" spans="1:33" x14ac:dyDescent="0.2">
      <c r="A1207">
        <v>845</v>
      </c>
      <c r="B1207" t="s">
        <v>6934</v>
      </c>
      <c r="C1207" t="s">
        <v>34</v>
      </c>
      <c r="D1207" t="s">
        <v>35</v>
      </c>
      <c r="E1207" t="s">
        <v>168</v>
      </c>
      <c r="F1207" t="s">
        <v>169</v>
      </c>
      <c r="G1207" t="s">
        <v>68</v>
      </c>
      <c r="H1207" t="s">
        <v>69</v>
      </c>
      <c r="I1207" t="s">
        <v>265</v>
      </c>
      <c r="J1207" t="s">
        <v>266</v>
      </c>
      <c r="K1207">
        <v>2006</v>
      </c>
      <c r="L1207">
        <v>2006</v>
      </c>
      <c r="M1207">
        <v>1.95</v>
      </c>
      <c r="N1207">
        <v>6.74</v>
      </c>
      <c r="O1207">
        <v>218</v>
      </c>
      <c r="P1207">
        <v>1.1000000000000001</v>
      </c>
      <c r="Q1207">
        <v>0.49199999999999999</v>
      </c>
      <c r="R1207" t="s">
        <v>72</v>
      </c>
      <c r="S1207" t="s">
        <v>4270</v>
      </c>
      <c r="T1207" t="b">
        <v>1</v>
      </c>
      <c r="U1207" t="s">
        <v>6941</v>
      </c>
      <c r="V1207" t="s">
        <v>174</v>
      </c>
      <c r="W1207" t="s">
        <v>4272</v>
      </c>
      <c r="X1207" t="s">
        <v>47</v>
      </c>
      <c r="AA1207" t="s">
        <v>4273</v>
      </c>
      <c r="AB1207" t="s">
        <v>177</v>
      </c>
      <c r="AC1207" t="s">
        <v>4274</v>
      </c>
      <c r="AD1207" t="b">
        <v>0</v>
      </c>
      <c r="AF1207">
        <v>8</v>
      </c>
      <c r="AG1207" t="s">
        <v>78</v>
      </c>
    </row>
    <row r="1208" spans="1:33" x14ac:dyDescent="0.2">
      <c r="A1208">
        <v>1298</v>
      </c>
      <c r="B1208" t="s">
        <v>6942</v>
      </c>
      <c r="C1208" t="s">
        <v>34</v>
      </c>
      <c r="D1208" t="s">
        <v>35</v>
      </c>
      <c r="E1208" t="s">
        <v>6943</v>
      </c>
      <c r="F1208" t="s">
        <v>6944</v>
      </c>
      <c r="G1208" t="s">
        <v>242</v>
      </c>
      <c r="H1208" t="s">
        <v>243</v>
      </c>
      <c r="I1208" t="s">
        <v>2625</v>
      </c>
      <c r="J1208" t="s">
        <v>2626</v>
      </c>
      <c r="K1208">
        <v>2008</v>
      </c>
      <c r="L1208">
        <v>2008</v>
      </c>
      <c r="M1208">
        <v>0.85</v>
      </c>
      <c r="N1208">
        <v>2.3359999999999999</v>
      </c>
      <c r="R1208" t="s">
        <v>72</v>
      </c>
      <c r="S1208" t="s">
        <v>6945</v>
      </c>
      <c r="T1208" t="b">
        <v>1</v>
      </c>
      <c r="U1208" t="s">
        <v>5250</v>
      </c>
      <c r="V1208" t="s">
        <v>6946</v>
      </c>
      <c r="W1208" t="s">
        <v>6947</v>
      </c>
      <c r="X1208" t="s">
        <v>47</v>
      </c>
      <c r="AA1208" t="s">
        <v>1017</v>
      </c>
      <c r="AC1208" t="s">
        <v>1018</v>
      </c>
      <c r="AD1208" t="b">
        <v>0</v>
      </c>
      <c r="AF1208">
        <v>8</v>
      </c>
      <c r="AG1208" t="s">
        <v>78</v>
      </c>
    </row>
    <row r="1209" spans="1:33" x14ac:dyDescent="0.2">
      <c r="A1209">
        <v>1420</v>
      </c>
      <c r="B1209" t="s">
        <v>6948</v>
      </c>
      <c r="C1209" t="s">
        <v>34</v>
      </c>
      <c r="D1209" t="s">
        <v>35</v>
      </c>
      <c r="E1209" t="s">
        <v>36</v>
      </c>
      <c r="F1209" t="s">
        <v>37</v>
      </c>
      <c r="G1209" t="s">
        <v>224</v>
      </c>
      <c r="H1209" t="s">
        <v>225</v>
      </c>
      <c r="I1209" t="s">
        <v>1544</v>
      </c>
      <c r="J1209" t="s">
        <v>426</v>
      </c>
      <c r="K1209">
        <v>2009</v>
      </c>
      <c r="L1209">
        <v>2009</v>
      </c>
      <c r="M1209">
        <v>2.9</v>
      </c>
      <c r="N1209">
        <v>16.818000000000001</v>
      </c>
      <c r="O1209">
        <v>60.66</v>
      </c>
      <c r="P1209">
        <v>5.5</v>
      </c>
      <c r="Q1209">
        <v>0.14599999999999999</v>
      </c>
      <c r="R1209" t="s">
        <v>57</v>
      </c>
      <c r="S1209" t="s">
        <v>6949</v>
      </c>
      <c r="T1209" t="b">
        <v>1</v>
      </c>
      <c r="U1209" t="s">
        <v>6950</v>
      </c>
      <c r="V1209" t="s">
        <v>45</v>
      </c>
      <c r="W1209" t="s">
        <v>6951</v>
      </c>
      <c r="X1209" t="s">
        <v>47</v>
      </c>
      <c r="AA1209" t="s">
        <v>1548</v>
      </c>
      <c r="AB1209" t="s">
        <v>973</v>
      </c>
      <c r="AC1209" t="s">
        <v>1549</v>
      </c>
      <c r="AD1209" t="b">
        <v>0</v>
      </c>
      <c r="AF1209">
        <v>2</v>
      </c>
      <c r="AG1209" t="s">
        <v>287</v>
      </c>
    </row>
    <row r="1210" spans="1:33" x14ac:dyDescent="0.2">
      <c r="A1210">
        <v>842</v>
      </c>
      <c r="B1210" t="s">
        <v>6952</v>
      </c>
      <c r="C1210" t="s">
        <v>34</v>
      </c>
      <c r="D1210" t="s">
        <v>35</v>
      </c>
      <c r="E1210" t="s">
        <v>818</v>
      </c>
      <c r="F1210" t="s">
        <v>819</v>
      </c>
      <c r="G1210" t="s">
        <v>213</v>
      </c>
      <c r="H1210" t="s">
        <v>83</v>
      </c>
      <c r="I1210" t="s">
        <v>214</v>
      </c>
      <c r="J1210" t="s">
        <v>215</v>
      </c>
      <c r="K1210">
        <v>2006</v>
      </c>
      <c r="L1210">
        <v>2006</v>
      </c>
      <c r="M1210">
        <v>9</v>
      </c>
      <c r="N1210">
        <v>33.152999999999999</v>
      </c>
      <c r="O1210">
        <v>245</v>
      </c>
      <c r="P1210">
        <v>4.25</v>
      </c>
      <c r="Q1210">
        <v>0.58799999999999997</v>
      </c>
      <c r="R1210" t="s">
        <v>84</v>
      </c>
      <c r="S1210" t="s">
        <v>6953</v>
      </c>
      <c r="T1210" t="b">
        <v>1</v>
      </c>
      <c r="U1210" t="s">
        <v>6954</v>
      </c>
      <c r="V1210" t="s">
        <v>822</v>
      </c>
      <c r="W1210" t="s">
        <v>6955</v>
      </c>
      <c r="X1210" t="s">
        <v>47</v>
      </c>
      <c r="AA1210" t="s">
        <v>6956</v>
      </c>
      <c r="AB1210" t="s">
        <v>49</v>
      </c>
      <c r="AC1210" t="s">
        <v>6957</v>
      </c>
      <c r="AD1210" t="b">
        <v>0</v>
      </c>
      <c r="AF1210">
        <v>5</v>
      </c>
      <c r="AG1210" t="s">
        <v>89</v>
      </c>
    </row>
    <row r="1211" spans="1:33" x14ac:dyDescent="0.2">
      <c r="A1211">
        <v>1817</v>
      </c>
      <c r="B1211" t="s">
        <v>6958</v>
      </c>
      <c r="C1211" t="s">
        <v>34</v>
      </c>
      <c r="D1211" t="s">
        <v>35</v>
      </c>
      <c r="E1211" t="s">
        <v>682</v>
      </c>
      <c r="F1211" t="s">
        <v>683</v>
      </c>
      <c r="G1211" t="s">
        <v>68</v>
      </c>
      <c r="H1211" t="s">
        <v>69</v>
      </c>
      <c r="I1211" t="s">
        <v>1974</v>
      </c>
      <c r="J1211" t="s">
        <v>1975</v>
      </c>
      <c r="K1211">
        <v>2015</v>
      </c>
      <c r="L1211">
        <v>2015</v>
      </c>
      <c r="M1211">
        <v>2.15</v>
      </c>
      <c r="N1211">
        <v>5.2489999999999997</v>
      </c>
      <c r="O1211">
        <v>38</v>
      </c>
      <c r="P1211">
        <v>6.33</v>
      </c>
      <c r="Q1211">
        <v>9.4E-2</v>
      </c>
      <c r="R1211" t="s">
        <v>72</v>
      </c>
      <c r="S1211" t="s">
        <v>6959</v>
      </c>
      <c r="T1211" t="b">
        <v>1</v>
      </c>
      <c r="U1211" t="s">
        <v>6960</v>
      </c>
      <c r="V1211" t="s">
        <v>686</v>
      </c>
      <c r="W1211" t="s">
        <v>6961</v>
      </c>
      <c r="X1211" t="s">
        <v>47</v>
      </c>
      <c r="AA1211" t="s">
        <v>479</v>
      </c>
      <c r="AB1211" t="s">
        <v>401</v>
      </c>
      <c r="AC1211" t="s">
        <v>1980</v>
      </c>
      <c r="AD1211" t="b">
        <v>0</v>
      </c>
      <c r="AF1211">
        <v>8</v>
      </c>
      <c r="AG1211" t="s">
        <v>78</v>
      </c>
    </row>
    <row r="1212" spans="1:33" x14ac:dyDescent="0.2">
      <c r="A1212">
        <v>922</v>
      </c>
      <c r="B1212" t="s">
        <v>6962</v>
      </c>
      <c r="C1212" t="s">
        <v>34</v>
      </c>
      <c r="D1212" t="s">
        <v>35</v>
      </c>
      <c r="G1212" t="s">
        <v>68</v>
      </c>
      <c r="H1212" t="s">
        <v>69</v>
      </c>
      <c r="I1212" t="s">
        <v>445</v>
      </c>
      <c r="J1212" t="s">
        <v>203</v>
      </c>
      <c r="K1212">
        <v>2001</v>
      </c>
      <c r="L1212">
        <v>2001</v>
      </c>
      <c r="M1212">
        <v>7.0000000000000007E-2</v>
      </c>
      <c r="N1212">
        <v>0.49199999999999999</v>
      </c>
      <c r="R1212" t="s">
        <v>72</v>
      </c>
      <c r="S1212" t="s">
        <v>6963</v>
      </c>
      <c r="T1212" t="b">
        <v>1</v>
      </c>
      <c r="U1212" t="s">
        <v>1103</v>
      </c>
      <c r="V1212" t="s">
        <v>60</v>
      </c>
      <c r="W1212" t="s">
        <v>6964</v>
      </c>
      <c r="X1212" t="s">
        <v>47</v>
      </c>
      <c r="AA1212" t="s">
        <v>445</v>
      </c>
      <c r="AC1212" t="s">
        <v>3000</v>
      </c>
      <c r="AD1212" t="b">
        <v>0</v>
      </c>
      <c r="AF1212">
        <v>8</v>
      </c>
      <c r="AG1212" t="s">
        <v>78</v>
      </c>
    </row>
    <row r="1213" spans="1:33" x14ac:dyDescent="0.2">
      <c r="A1213">
        <v>1961</v>
      </c>
      <c r="B1213" t="s">
        <v>6965</v>
      </c>
      <c r="C1213" t="s">
        <v>34</v>
      </c>
      <c r="D1213" t="s">
        <v>35</v>
      </c>
      <c r="E1213" t="s">
        <v>892</v>
      </c>
      <c r="F1213" t="s">
        <v>893</v>
      </c>
      <c r="G1213" t="s">
        <v>68</v>
      </c>
      <c r="H1213" t="s">
        <v>69</v>
      </c>
      <c r="I1213" t="s">
        <v>597</v>
      </c>
      <c r="J1213" t="s">
        <v>83</v>
      </c>
      <c r="K1213">
        <v>2019</v>
      </c>
      <c r="L1213">
        <v>2019</v>
      </c>
      <c r="M1213">
        <v>3.21</v>
      </c>
      <c r="N1213">
        <v>13.3</v>
      </c>
      <c r="O1213">
        <v>212.3</v>
      </c>
      <c r="P1213">
        <v>1.95</v>
      </c>
      <c r="Q1213">
        <v>0.45700000000000002</v>
      </c>
      <c r="R1213" t="s">
        <v>72</v>
      </c>
      <c r="S1213" t="s">
        <v>3532</v>
      </c>
      <c r="T1213" t="b">
        <v>1</v>
      </c>
      <c r="U1213" t="s">
        <v>6966</v>
      </c>
      <c r="V1213" t="s">
        <v>896</v>
      </c>
      <c r="W1213" t="s">
        <v>6967</v>
      </c>
      <c r="X1213" t="s">
        <v>47</v>
      </c>
      <c r="AA1213" t="s">
        <v>1463</v>
      </c>
      <c r="AC1213" t="s">
        <v>63</v>
      </c>
      <c r="AD1213" t="b">
        <v>0</v>
      </c>
      <c r="AF1213">
        <v>13</v>
      </c>
      <c r="AG1213" t="s">
        <v>155</v>
      </c>
    </row>
    <row r="1214" spans="1:33" x14ac:dyDescent="0.2">
      <c r="A1214">
        <v>346</v>
      </c>
      <c r="B1214" t="s">
        <v>6968</v>
      </c>
      <c r="C1214" t="s">
        <v>34</v>
      </c>
      <c r="D1214" t="s">
        <v>35</v>
      </c>
      <c r="E1214" t="s">
        <v>1027</v>
      </c>
      <c r="F1214" t="s">
        <v>1028</v>
      </c>
      <c r="G1214" t="s">
        <v>53</v>
      </c>
      <c r="H1214" t="s">
        <v>54</v>
      </c>
      <c r="I1214" t="s">
        <v>325</v>
      </c>
      <c r="J1214" t="s">
        <v>135</v>
      </c>
      <c r="K1214">
        <v>1966</v>
      </c>
      <c r="L1214">
        <v>1966</v>
      </c>
      <c r="M1214">
        <v>166</v>
      </c>
      <c r="N1214">
        <v>889.03700000000003</v>
      </c>
      <c r="O1214">
        <v>365</v>
      </c>
      <c r="P1214">
        <v>56</v>
      </c>
      <c r="Q1214">
        <v>0.82299999999999995</v>
      </c>
      <c r="R1214" t="s">
        <v>84</v>
      </c>
      <c r="S1214" t="s">
        <v>6969</v>
      </c>
      <c r="T1214" t="b">
        <v>1</v>
      </c>
      <c r="U1214" t="s">
        <v>2896</v>
      </c>
      <c r="V1214" t="s">
        <v>4854</v>
      </c>
      <c r="W1214" t="s">
        <v>6970</v>
      </c>
      <c r="X1214" t="s">
        <v>47</v>
      </c>
      <c r="AA1214" t="s">
        <v>958</v>
      </c>
      <c r="AB1214" t="s">
        <v>280</v>
      </c>
      <c r="AC1214" t="s">
        <v>959</v>
      </c>
      <c r="AD1214" t="b">
        <v>0</v>
      </c>
      <c r="AF1214">
        <v>3</v>
      </c>
      <c r="AG1214" t="s">
        <v>332</v>
      </c>
    </row>
    <row r="1215" spans="1:33" x14ac:dyDescent="0.2">
      <c r="A1215">
        <v>1864</v>
      </c>
      <c r="B1215" t="s">
        <v>6971</v>
      </c>
      <c r="C1215" t="s">
        <v>34</v>
      </c>
      <c r="D1215" t="s">
        <v>35</v>
      </c>
      <c r="E1215" t="s">
        <v>1492</v>
      </c>
      <c r="F1215" t="s">
        <v>1493</v>
      </c>
      <c r="G1215" t="s">
        <v>53</v>
      </c>
      <c r="H1215" t="s">
        <v>54</v>
      </c>
      <c r="I1215" t="s">
        <v>532</v>
      </c>
      <c r="J1215" t="s">
        <v>533</v>
      </c>
      <c r="K1215">
        <v>2016</v>
      </c>
      <c r="L1215">
        <v>2016</v>
      </c>
      <c r="M1215">
        <v>4.3</v>
      </c>
      <c r="N1215">
        <v>10.759</v>
      </c>
      <c r="O1215">
        <v>487.35</v>
      </c>
      <c r="P1215">
        <v>1.04</v>
      </c>
      <c r="Q1215">
        <v>1.149</v>
      </c>
      <c r="R1215" t="s">
        <v>57</v>
      </c>
      <c r="S1215" t="s">
        <v>6972</v>
      </c>
      <c r="T1215" t="b">
        <v>1</v>
      </c>
      <c r="U1215" t="s">
        <v>6973</v>
      </c>
      <c r="V1215" t="s">
        <v>1496</v>
      </c>
      <c r="W1215" t="s">
        <v>6974</v>
      </c>
      <c r="X1215" t="s">
        <v>47</v>
      </c>
      <c r="AA1215" t="s">
        <v>2689</v>
      </c>
      <c r="AB1215" t="s">
        <v>71</v>
      </c>
      <c r="AC1215" t="s">
        <v>2690</v>
      </c>
      <c r="AD1215" t="b">
        <v>0</v>
      </c>
      <c r="AF1215">
        <v>7</v>
      </c>
      <c r="AG1215" t="s">
        <v>469</v>
      </c>
    </row>
    <row r="1216" spans="1:33" x14ac:dyDescent="0.2">
      <c r="A1216">
        <v>935</v>
      </c>
      <c r="B1216" t="s">
        <v>6975</v>
      </c>
      <c r="C1216" t="s">
        <v>34</v>
      </c>
      <c r="D1216" t="s">
        <v>35</v>
      </c>
      <c r="E1216" t="s">
        <v>6976</v>
      </c>
      <c r="F1216" t="s">
        <v>6977</v>
      </c>
      <c r="G1216" t="s">
        <v>68</v>
      </c>
      <c r="H1216" t="s">
        <v>69</v>
      </c>
      <c r="I1216" t="s">
        <v>1458</v>
      </c>
      <c r="J1216" t="s">
        <v>1459</v>
      </c>
      <c r="K1216">
        <v>2006</v>
      </c>
      <c r="L1216">
        <v>2006</v>
      </c>
      <c r="M1216">
        <v>1.7999999999999999E-2</v>
      </c>
      <c r="N1216">
        <v>6.2E-2</v>
      </c>
      <c r="R1216" t="s">
        <v>72</v>
      </c>
      <c r="S1216" t="s">
        <v>6978</v>
      </c>
      <c r="T1216" t="b">
        <v>1</v>
      </c>
      <c r="U1216" t="s">
        <v>1305</v>
      </c>
      <c r="V1216" t="s">
        <v>6979</v>
      </c>
      <c r="W1216" t="s">
        <v>6980</v>
      </c>
      <c r="X1216" t="s">
        <v>47</v>
      </c>
      <c r="AA1216" t="s">
        <v>114</v>
      </c>
      <c r="AC1216" t="s">
        <v>63</v>
      </c>
      <c r="AD1216" t="b">
        <v>0</v>
      </c>
      <c r="AF1216">
        <v>13</v>
      </c>
      <c r="AG1216" t="s">
        <v>155</v>
      </c>
    </row>
    <row r="1217" spans="1:33" x14ac:dyDescent="0.2">
      <c r="A1217">
        <v>1049</v>
      </c>
      <c r="B1217" t="s">
        <v>6981</v>
      </c>
      <c r="C1217" t="s">
        <v>34</v>
      </c>
      <c r="D1217" t="s">
        <v>35</v>
      </c>
      <c r="E1217" t="s">
        <v>6982</v>
      </c>
      <c r="F1217" t="s">
        <v>6983</v>
      </c>
      <c r="G1217" t="s">
        <v>213</v>
      </c>
      <c r="H1217" t="s">
        <v>83</v>
      </c>
      <c r="I1217" t="s">
        <v>6404</v>
      </c>
      <c r="J1217" t="s">
        <v>308</v>
      </c>
      <c r="K1217">
        <v>2004</v>
      </c>
      <c r="L1217">
        <v>2004</v>
      </c>
      <c r="M1217">
        <v>9.9000000000000005E-2</v>
      </c>
      <c r="N1217">
        <v>0.47499999999999998</v>
      </c>
      <c r="R1217" t="s">
        <v>84</v>
      </c>
      <c r="S1217" t="s">
        <v>6984</v>
      </c>
      <c r="T1217" t="b">
        <v>1</v>
      </c>
      <c r="U1217" t="s">
        <v>6985</v>
      </c>
      <c r="V1217" t="s">
        <v>6986</v>
      </c>
      <c r="W1217" t="s">
        <v>6987</v>
      </c>
      <c r="X1217" t="s">
        <v>47</v>
      </c>
      <c r="AA1217" t="s">
        <v>114</v>
      </c>
      <c r="AC1217" t="s">
        <v>63</v>
      </c>
      <c r="AD1217" t="b">
        <v>0</v>
      </c>
      <c r="AF1217">
        <v>3</v>
      </c>
      <c r="AG1217" t="s">
        <v>332</v>
      </c>
    </row>
    <row r="1218" spans="1:33" x14ac:dyDescent="0.2">
      <c r="A1218">
        <v>890</v>
      </c>
      <c r="B1218" t="s">
        <v>6988</v>
      </c>
      <c r="C1218" t="s">
        <v>34</v>
      </c>
      <c r="D1218" t="s">
        <v>35</v>
      </c>
      <c r="E1218" t="s">
        <v>6989</v>
      </c>
      <c r="F1218" t="s">
        <v>6990</v>
      </c>
      <c r="G1218" t="s">
        <v>213</v>
      </c>
      <c r="H1218" t="s">
        <v>83</v>
      </c>
      <c r="I1218" t="s">
        <v>635</v>
      </c>
      <c r="J1218" t="s">
        <v>94</v>
      </c>
      <c r="K1218">
        <v>2003</v>
      </c>
      <c r="L1218">
        <v>2003</v>
      </c>
      <c r="M1218">
        <v>7.0000000000000007E-2</v>
      </c>
      <c r="N1218">
        <v>0.59899999999999998</v>
      </c>
      <c r="R1218" t="s">
        <v>84</v>
      </c>
      <c r="S1218" t="s">
        <v>6991</v>
      </c>
      <c r="T1218" t="b">
        <v>1</v>
      </c>
      <c r="U1218" t="s">
        <v>2246</v>
      </c>
      <c r="V1218" t="s">
        <v>6992</v>
      </c>
      <c r="W1218" t="s">
        <v>6993</v>
      </c>
      <c r="X1218" t="s">
        <v>47</v>
      </c>
      <c r="AA1218" t="s">
        <v>3369</v>
      </c>
      <c r="AC1218" t="s">
        <v>63</v>
      </c>
      <c r="AD1218" t="b">
        <v>0</v>
      </c>
      <c r="AF1218">
        <v>3</v>
      </c>
      <c r="AG1218" t="s">
        <v>332</v>
      </c>
    </row>
    <row r="1219" spans="1:33" x14ac:dyDescent="0.2">
      <c r="A1219">
        <v>1081</v>
      </c>
      <c r="B1219" t="s">
        <v>6994</v>
      </c>
      <c r="C1219" t="s">
        <v>34</v>
      </c>
      <c r="D1219" t="s">
        <v>35</v>
      </c>
      <c r="G1219" t="s">
        <v>242</v>
      </c>
      <c r="H1219" t="s">
        <v>243</v>
      </c>
      <c r="I1219" t="s">
        <v>799</v>
      </c>
      <c r="J1219" t="s">
        <v>96</v>
      </c>
      <c r="K1219">
        <v>1997</v>
      </c>
      <c r="L1219">
        <v>1997</v>
      </c>
      <c r="M1219">
        <v>1.0999999999999999E-2</v>
      </c>
      <c r="N1219">
        <v>0.03</v>
      </c>
      <c r="R1219" t="s">
        <v>72</v>
      </c>
      <c r="S1219" t="s">
        <v>6995</v>
      </c>
      <c r="T1219" t="b">
        <v>1</v>
      </c>
      <c r="U1219" t="s">
        <v>111</v>
      </c>
      <c r="V1219" t="s">
        <v>274</v>
      </c>
      <c r="W1219" t="s">
        <v>6996</v>
      </c>
      <c r="X1219" t="s">
        <v>47</v>
      </c>
      <c r="AA1219" t="s">
        <v>114</v>
      </c>
      <c r="AC1219" t="s">
        <v>63</v>
      </c>
      <c r="AD1219" t="b">
        <v>0</v>
      </c>
      <c r="AF1219">
        <v>9</v>
      </c>
      <c r="AG1219" t="s">
        <v>251</v>
      </c>
    </row>
    <row r="1220" spans="1:33" x14ac:dyDescent="0.2">
      <c r="A1220">
        <v>1271</v>
      </c>
      <c r="B1220" t="s">
        <v>6997</v>
      </c>
      <c r="C1220" t="s">
        <v>34</v>
      </c>
      <c r="D1220" t="s">
        <v>35</v>
      </c>
      <c r="G1220" t="s">
        <v>134</v>
      </c>
      <c r="H1220" t="s">
        <v>135</v>
      </c>
      <c r="I1220" t="s">
        <v>641</v>
      </c>
      <c r="J1220" t="s">
        <v>109</v>
      </c>
      <c r="K1220">
        <v>2004</v>
      </c>
      <c r="L1220">
        <v>2004</v>
      </c>
      <c r="M1220">
        <v>3.0000000000000001E-3</v>
      </c>
      <c r="N1220">
        <v>1.4999999999999999E-2</v>
      </c>
      <c r="R1220" t="s">
        <v>42</v>
      </c>
      <c r="S1220" t="s">
        <v>6998</v>
      </c>
      <c r="T1220" t="b">
        <v>1</v>
      </c>
      <c r="U1220" t="s">
        <v>637</v>
      </c>
      <c r="V1220" t="s">
        <v>274</v>
      </c>
      <c r="W1220" t="s">
        <v>6999</v>
      </c>
      <c r="X1220" t="s">
        <v>47</v>
      </c>
      <c r="AA1220" t="s">
        <v>645</v>
      </c>
      <c r="AC1220" t="s">
        <v>63</v>
      </c>
      <c r="AD1220" t="b">
        <v>0</v>
      </c>
      <c r="AF1220">
        <v>10</v>
      </c>
      <c r="AG1220" t="s">
        <v>143</v>
      </c>
    </row>
    <row r="1221" spans="1:33" x14ac:dyDescent="0.2">
      <c r="A1221">
        <v>1564</v>
      </c>
      <c r="B1221" t="s">
        <v>7000</v>
      </c>
      <c r="C1221" t="s">
        <v>34</v>
      </c>
      <c r="D1221" t="s">
        <v>35</v>
      </c>
      <c r="E1221" t="s">
        <v>523</v>
      </c>
      <c r="F1221" t="s">
        <v>524</v>
      </c>
      <c r="G1221" t="s">
        <v>242</v>
      </c>
      <c r="H1221" t="s">
        <v>243</v>
      </c>
      <c r="I1221" t="s">
        <v>799</v>
      </c>
      <c r="J1221" t="s">
        <v>96</v>
      </c>
      <c r="K1221">
        <v>2010</v>
      </c>
      <c r="L1221">
        <v>2010</v>
      </c>
      <c r="M1221">
        <v>2.8</v>
      </c>
      <c r="N1221">
        <v>5.4580000000000002</v>
      </c>
      <c r="O1221">
        <v>83.2</v>
      </c>
      <c r="P1221">
        <v>4</v>
      </c>
      <c r="Q1221">
        <v>0.19400000000000001</v>
      </c>
      <c r="R1221" t="s">
        <v>72</v>
      </c>
      <c r="S1221" t="s">
        <v>7001</v>
      </c>
      <c r="T1221" t="b">
        <v>1</v>
      </c>
      <c r="U1221" t="s">
        <v>7002</v>
      </c>
      <c r="V1221" t="s">
        <v>527</v>
      </c>
      <c r="W1221" t="s">
        <v>7003</v>
      </c>
      <c r="X1221" t="s">
        <v>47</v>
      </c>
      <c r="AA1221" t="s">
        <v>7004</v>
      </c>
      <c r="AB1221" t="s">
        <v>49</v>
      </c>
      <c r="AC1221" t="s">
        <v>7005</v>
      </c>
      <c r="AD1221" t="b">
        <v>0</v>
      </c>
      <c r="AF1221">
        <v>9</v>
      </c>
      <c r="AG1221" t="s">
        <v>251</v>
      </c>
    </row>
    <row r="1222" spans="1:33" x14ac:dyDescent="0.2">
      <c r="A1222">
        <v>347</v>
      </c>
      <c r="B1222" t="s">
        <v>7006</v>
      </c>
      <c r="C1222" t="s">
        <v>34</v>
      </c>
      <c r="D1222" t="s">
        <v>35</v>
      </c>
      <c r="E1222" t="s">
        <v>4825</v>
      </c>
      <c r="F1222" t="s">
        <v>4826</v>
      </c>
      <c r="G1222" t="s">
        <v>93</v>
      </c>
      <c r="H1222" t="s">
        <v>94</v>
      </c>
      <c r="I1222" t="s">
        <v>7007</v>
      </c>
      <c r="J1222" t="s">
        <v>515</v>
      </c>
      <c r="K1222">
        <v>1913</v>
      </c>
      <c r="L1222">
        <v>1913</v>
      </c>
      <c r="M1222">
        <v>3</v>
      </c>
      <c r="N1222">
        <v>17.596</v>
      </c>
      <c r="O1222">
        <v>9.5</v>
      </c>
      <c r="P1222">
        <v>40</v>
      </c>
      <c r="Q1222">
        <v>2.1000000000000001E-2</v>
      </c>
      <c r="R1222" t="s">
        <v>97</v>
      </c>
      <c r="S1222" t="s">
        <v>7008</v>
      </c>
      <c r="T1222" t="b">
        <v>1</v>
      </c>
      <c r="U1222" t="s">
        <v>7009</v>
      </c>
      <c r="V1222" t="s">
        <v>4830</v>
      </c>
      <c r="W1222" t="s">
        <v>113</v>
      </c>
      <c r="X1222" t="s">
        <v>47</v>
      </c>
      <c r="AA1222" t="s">
        <v>340</v>
      </c>
      <c r="AB1222" t="s">
        <v>7010</v>
      </c>
      <c r="AC1222" t="s">
        <v>341</v>
      </c>
      <c r="AD1222" t="b">
        <v>0</v>
      </c>
      <c r="AF1222">
        <v>1</v>
      </c>
      <c r="AG1222" t="s">
        <v>104</v>
      </c>
    </row>
    <row r="1223" spans="1:33" x14ac:dyDescent="0.2">
      <c r="A1223">
        <v>2073</v>
      </c>
      <c r="B1223" t="s">
        <v>7011</v>
      </c>
      <c r="C1223" t="s">
        <v>34</v>
      </c>
      <c r="D1223" t="s">
        <v>35</v>
      </c>
      <c r="E1223" t="s">
        <v>501</v>
      </c>
      <c r="F1223" t="s">
        <v>502</v>
      </c>
      <c r="G1223" t="s">
        <v>134</v>
      </c>
      <c r="H1223" t="s">
        <v>135</v>
      </c>
      <c r="I1223" t="s">
        <v>2074</v>
      </c>
      <c r="J1223" t="s">
        <v>225</v>
      </c>
      <c r="K1223">
        <v>2022</v>
      </c>
      <c r="L1223">
        <v>2022</v>
      </c>
      <c r="M1223">
        <v>6.94</v>
      </c>
      <c r="N1223">
        <v>20.323</v>
      </c>
      <c r="O1223">
        <v>138.4</v>
      </c>
      <c r="P1223">
        <v>5.86</v>
      </c>
      <c r="Q1223">
        <v>0.32900000000000001</v>
      </c>
      <c r="R1223" t="s">
        <v>42</v>
      </c>
      <c r="S1223" t="s">
        <v>7012</v>
      </c>
      <c r="T1223" t="b">
        <v>1</v>
      </c>
      <c r="U1223" t="s">
        <v>2232</v>
      </c>
      <c r="V1223" t="s">
        <v>507</v>
      </c>
      <c r="W1223" t="s">
        <v>7013</v>
      </c>
      <c r="X1223" t="s">
        <v>47</v>
      </c>
      <c r="AA1223" t="s">
        <v>2652</v>
      </c>
      <c r="AC1223" t="s">
        <v>2653</v>
      </c>
      <c r="AD1223" t="b">
        <v>0</v>
      </c>
      <c r="AF1223">
        <v>10</v>
      </c>
      <c r="AG1223" t="s">
        <v>143</v>
      </c>
    </row>
    <row r="1224" spans="1:33" x14ac:dyDescent="0.2">
      <c r="A1224">
        <v>1249</v>
      </c>
      <c r="B1224" t="s">
        <v>7014</v>
      </c>
      <c r="C1224" t="s">
        <v>34</v>
      </c>
      <c r="D1224" t="s">
        <v>35</v>
      </c>
      <c r="E1224" t="s">
        <v>180</v>
      </c>
      <c r="F1224" t="s">
        <v>181</v>
      </c>
      <c r="G1224" t="s">
        <v>312</v>
      </c>
      <c r="H1224" t="s">
        <v>313</v>
      </c>
      <c r="I1224" t="s">
        <v>493</v>
      </c>
      <c r="J1224" t="s">
        <v>409</v>
      </c>
      <c r="K1224">
        <v>2004</v>
      </c>
      <c r="L1224">
        <v>2004</v>
      </c>
      <c r="M1224">
        <v>1.33</v>
      </c>
      <c r="N1224">
        <v>3.7869999999999999</v>
      </c>
      <c r="O1224">
        <v>40</v>
      </c>
      <c r="P1224">
        <v>3.8</v>
      </c>
      <c r="Q1224">
        <v>9.7000000000000003E-2</v>
      </c>
      <c r="R1224" t="s">
        <v>84</v>
      </c>
      <c r="S1224" t="s">
        <v>7015</v>
      </c>
      <c r="T1224" t="b">
        <v>1</v>
      </c>
      <c r="U1224" t="s">
        <v>7016</v>
      </c>
      <c r="V1224" t="s">
        <v>185</v>
      </c>
      <c r="W1224" t="s">
        <v>7017</v>
      </c>
      <c r="X1224" t="s">
        <v>47</v>
      </c>
      <c r="AA1224" t="s">
        <v>498</v>
      </c>
      <c r="AB1224" t="s">
        <v>231</v>
      </c>
      <c r="AC1224" t="s">
        <v>499</v>
      </c>
      <c r="AD1224" t="b">
        <v>0</v>
      </c>
      <c r="AF1224">
        <v>4</v>
      </c>
      <c r="AG1224" t="s">
        <v>321</v>
      </c>
    </row>
    <row r="1225" spans="1:33" x14ac:dyDescent="0.2">
      <c r="A1225">
        <v>1218</v>
      </c>
      <c r="B1225" t="s">
        <v>7018</v>
      </c>
      <c r="C1225" t="s">
        <v>34</v>
      </c>
      <c r="D1225" t="s">
        <v>35</v>
      </c>
      <c r="E1225" t="s">
        <v>7019</v>
      </c>
      <c r="F1225" t="s">
        <v>7020</v>
      </c>
      <c r="G1225" t="s">
        <v>134</v>
      </c>
      <c r="H1225" t="s">
        <v>135</v>
      </c>
      <c r="I1225" t="s">
        <v>345</v>
      </c>
      <c r="J1225" t="s">
        <v>256</v>
      </c>
      <c r="K1225">
        <v>2006</v>
      </c>
      <c r="L1225">
        <v>2006</v>
      </c>
      <c r="M1225">
        <v>2.7</v>
      </c>
      <c r="N1225">
        <v>11.019</v>
      </c>
      <c r="O1225">
        <v>109</v>
      </c>
      <c r="P1225">
        <v>2.9</v>
      </c>
      <c r="Q1225">
        <v>0.27800000000000002</v>
      </c>
      <c r="R1225" t="s">
        <v>42</v>
      </c>
      <c r="S1225" t="s">
        <v>7021</v>
      </c>
      <c r="T1225" t="b">
        <v>1</v>
      </c>
      <c r="U1225" t="s">
        <v>1305</v>
      </c>
      <c r="V1225" t="s">
        <v>7022</v>
      </c>
      <c r="W1225" t="s">
        <v>7023</v>
      </c>
      <c r="X1225" t="s">
        <v>47</v>
      </c>
      <c r="AA1225" t="s">
        <v>7024</v>
      </c>
      <c r="AB1225" t="s">
        <v>177</v>
      </c>
      <c r="AC1225" t="s">
        <v>7025</v>
      </c>
      <c r="AD1225" t="b">
        <v>0</v>
      </c>
      <c r="AF1225">
        <v>10</v>
      </c>
      <c r="AG1225" t="s">
        <v>143</v>
      </c>
    </row>
    <row r="1226" spans="1:33" x14ac:dyDescent="0.2">
      <c r="A1226">
        <v>2037</v>
      </c>
      <c r="B1226" t="s">
        <v>7026</v>
      </c>
      <c r="C1226" t="s">
        <v>34</v>
      </c>
      <c r="D1226" t="s">
        <v>35</v>
      </c>
      <c r="E1226" t="s">
        <v>892</v>
      </c>
      <c r="F1226" t="s">
        <v>893</v>
      </c>
      <c r="G1226" t="s">
        <v>53</v>
      </c>
      <c r="H1226" t="s">
        <v>54</v>
      </c>
      <c r="I1226" t="s">
        <v>1039</v>
      </c>
      <c r="J1226" t="s">
        <v>243</v>
      </c>
      <c r="K1226">
        <v>2021</v>
      </c>
      <c r="L1226">
        <v>2021</v>
      </c>
      <c r="M1226">
        <v>1.45</v>
      </c>
      <c r="N1226">
        <v>5.032</v>
      </c>
      <c r="O1226">
        <v>69.599999999999994</v>
      </c>
      <c r="P1226">
        <v>2.46</v>
      </c>
      <c r="Q1226">
        <v>0.16400000000000001</v>
      </c>
      <c r="R1226" t="s">
        <v>72</v>
      </c>
      <c r="S1226" t="s">
        <v>7027</v>
      </c>
      <c r="T1226" t="b">
        <v>1</v>
      </c>
      <c r="U1226" t="s">
        <v>7028</v>
      </c>
      <c r="V1226" t="s">
        <v>896</v>
      </c>
      <c r="W1226" t="s">
        <v>7029</v>
      </c>
      <c r="X1226" t="s">
        <v>47</v>
      </c>
      <c r="AA1226" t="s">
        <v>3480</v>
      </c>
      <c r="AC1226" t="s">
        <v>5511</v>
      </c>
      <c r="AD1226" t="b">
        <v>0</v>
      </c>
      <c r="AF1226">
        <v>13</v>
      </c>
      <c r="AG1226" t="s">
        <v>155</v>
      </c>
    </row>
    <row r="1227" spans="1:33" x14ac:dyDescent="0.2">
      <c r="A1227">
        <v>348</v>
      </c>
      <c r="B1227" t="s">
        <v>7030</v>
      </c>
      <c r="C1227" t="s">
        <v>34</v>
      </c>
      <c r="D1227" t="s">
        <v>35</v>
      </c>
      <c r="E1227" t="s">
        <v>253</v>
      </c>
      <c r="F1227" t="s">
        <v>254</v>
      </c>
      <c r="G1227" t="s">
        <v>242</v>
      </c>
      <c r="H1227" t="s">
        <v>243</v>
      </c>
      <c r="I1227" t="s">
        <v>2767</v>
      </c>
      <c r="J1227" t="s">
        <v>1072</v>
      </c>
      <c r="K1227">
        <v>1965</v>
      </c>
      <c r="L1227">
        <v>1965</v>
      </c>
      <c r="M1227">
        <v>16.600000000000001</v>
      </c>
      <c r="N1227">
        <v>89.768000000000001</v>
      </c>
      <c r="O1227">
        <v>28.5</v>
      </c>
      <c r="P1227">
        <v>68.81</v>
      </c>
      <c r="Q1227">
        <v>6.7000000000000004E-2</v>
      </c>
      <c r="R1227" t="s">
        <v>42</v>
      </c>
      <c r="S1227" t="s">
        <v>7031</v>
      </c>
      <c r="T1227" t="b">
        <v>1</v>
      </c>
      <c r="U1227" t="s">
        <v>7032</v>
      </c>
      <c r="V1227" t="s">
        <v>259</v>
      </c>
      <c r="W1227" t="s">
        <v>7033</v>
      </c>
      <c r="X1227" t="s">
        <v>47</v>
      </c>
      <c r="AA1227" t="s">
        <v>2159</v>
      </c>
      <c r="AB1227" t="s">
        <v>1072</v>
      </c>
      <c r="AC1227" t="s">
        <v>263</v>
      </c>
      <c r="AD1227" t="b">
        <v>0</v>
      </c>
      <c r="AF1227">
        <v>10</v>
      </c>
      <c r="AG1227" t="s">
        <v>143</v>
      </c>
    </row>
    <row r="1228" spans="1:33" x14ac:dyDescent="0.2">
      <c r="A1228">
        <v>1551</v>
      </c>
      <c r="B1228" t="s">
        <v>7034</v>
      </c>
      <c r="C1228" t="s">
        <v>34</v>
      </c>
      <c r="D1228" t="s">
        <v>35</v>
      </c>
      <c r="E1228" t="s">
        <v>2661</v>
      </c>
      <c r="F1228" t="s">
        <v>2662</v>
      </c>
      <c r="G1228" t="s">
        <v>242</v>
      </c>
      <c r="H1228" t="s">
        <v>243</v>
      </c>
      <c r="I1228" t="s">
        <v>1273</v>
      </c>
      <c r="J1228" t="s">
        <v>409</v>
      </c>
      <c r="K1228">
        <v>2008</v>
      </c>
      <c r="L1228">
        <v>2008</v>
      </c>
      <c r="M1228">
        <v>0.34599999999999997</v>
      </c>
      <c r="N1228">
        <v>1.2330000000000001</v>
      </c>
      <c r="O1228">
        <v>33</v>
      </c>
      <c r="P1228">
        <v>1.2</v>
      </c>
      <c r="Q1228">
        <v>0.08</v>
      </c>
      <c r="R1228" t="s">
        <v>72</v>
      </c>
      <c r="S1228" t="s">
        <v>6450</v>
      </c>
      <c r="T1228" t="b">
        <v>1</v>
      </c>
      <c r="U1228" t="s">
        <v>7035</v>
      </c>
      <c r="V1228" t="s">
        <v>2666</v>
      </c>
      <c r="W1228" t="s">
        <v>7036</v>
      </c>
      <c r="X1228" t="s">
        <v>47</v>
      </c>
      <c r="AA1228" t="s">
        <v>1276</v>
      </c>
      <c r="AC1228" t="s">
        <v>1277</v>
      </c>
      <c r="AD1228" t="b">
        <v>0</v>
      </c>
      <c r="AF1228">
        <v>8</v>
      </c>
      <c r="AG1228" t="s">
        <v>78</v>
      </c>
    </row>
    <row r="1229" spans="1:33" x14ac:dyDescent="0.2">
      <c r="A1229">
        <v>349</v>
      </c>
      <c r="B1229" t="s">
        <v>7037</v>
      </c>
      <c r="C1229" t="s">
        <v>34</v>
      </c>
      <c r="D1229" t="s">
        <v>35</v>
      </c>
      <c r="E1229" t="s">
        <v>587</v>
      </c>
      <c r="F1229" t="s">
        <v>588</v>
      </c>
      <c r="G1229" t="s">
        <v>483</v>
      </c>
      <c r="H1229" t="s">
        <v>109</v>
      </c>
      <c r="I1229" t="s">
        <v>2587</v>
      </c>
      <c r="J1229" t="s">
        <v>171</v>
      </c>
      <c r="K1229">
        <v>1921</v>
      </c>
      <c r="L1229">
        <v>1983</v>
      </c>
      <c r="M1229">
        <v>128.4</v>
      </c>
      <c r="N1229">
        <v>572.09699999999998</v>
      </c>
      <c r="O1229">
        <v>12.3</v>
      </c>
      <c r="P1229">
        <v>1215</v>
      </c>
      <c r="Q1229">
        <v>2.9000000000000001E-2</v>
      </c>
      <c r="R1229" t="s">
        <v>97</v>
      </c>
      <c r="S1229" t="s">
        <v>7038</v>
      </c>
      <c r="T1229" t="b">
        <v>1</v>
      </c>
      <c r="U1229" t="s">
        <v>3994</v>
      </c>
      <c r="V1229" t="s">
        <v>592</v>
      </c>
      <c r="W1229" t="s">
        <v>7039</v>
      </c>
      <c r="X1229" t="s">
        <v>47</v>
      </c>
      <c r="AA1229" t="s">
        <v>340</v>
      </c>
      <c r="AB1229" t="s">
        <v>676</v>
      </c>
      <c r="AC1229" t="s">
        <v>341</v>
      </c>
      <c r="AD1229" t="b">
        <v>0</v>
      </c>
      <c r="AF1229">
        <v>1</v>
      </c>
      <c r="AG1229" t="s">
        <v>104</v>
      </c>
    </row>
    <row r="1230" spans="1:33" x14ac:dyDescent="0.2">
      <c r="A1230">
        <v>1534</v>
      </c>
      <c r="B1230" t="s">
        <v>7040</v>
      </c>
      <c r="C1230" t="s">
        <v>34</v>
      </c>
      <c r="D1230" t="s">
        <v>35</v>
      </c>
      <c r="E1230" t="s">
        <v>1320</v>
      </c>
      <c r="F1230" t="s">
        <v>1321</v>
      </c>
      <c r="G1230" t="s">
        <v>68</v>
      </c>
      <c r="H1230" t="s">
        <v>69</v>
      </c>
      <c r="I1230" t="s">
        <v>413</v>
      </c>
      <c r="J1230" t="s">
        <v>414</v>
      </c>
      <c r="K1230">
        <v>2010</v>
      </c>
      <c r="L1230">
        <v>2010</v>
      </c>
      <c r="M1230">
        <v>4.9450000000000003</v>
      </c>
      <c r="N1230">
        <v>16.388999999999999</v>
      </c>
      <c r="O1230">
        <v>410.2</v>
      </c>
      <c r="P1230">
        <v>1.5</v>
      </c>
      <c r="Q1230">
        <v>0.91600000000000004</v>
      </c>
      <c r="R1230" t="s">
        <v>72</v>
      </c>
      <c r="S1230" t="s">
        <v>7041</v>
      </c>
      <c r="T1230" t="b">
        <v>1</v>
      </c>
      <c r="U1230" t="s">
        <v>7042</v>
      </c>
      <c r="V1230" t="s">
        <v>1324</v>
      </c>
      <c r="W1230" t="s">
        <v>7043</v>
      </c>
      <c r="X1230" t="s">
        <v>47</v>
      </c>
      <c r="AB1230" t="s">
        <v>49</v>
      </c>
      <c r="AC1230" t="s">
        <v>7044</v>
      </c>
      <c r="AD1230" t="b">
        <v>0</v>
      </c>
      <c r="AF1230">
        <v>8</v>
      </c>
      <c r="AG1230" t="s">
        <v>78</v>
      </c>
    </row>
    <row r="1231" spans="1:33" x14ac:dyDescent="0.2">
      <c r="A1231">
        <v>1310</v>
      </c>
      <c r="B1231" t="s">
        <v>7045</v>
      </c>
      <c r="C1231" t="s">
        <v>34</v>
      </c>
      <c r="D1231" t="s">
        <v>35</v>
      </c>
      <c r="E1231" t="s">
        <v>6681</v>
      </c>
      <c r="F1231" t="s">
        <v>6682</v>
      </c>
      <c r="G1231" t="s">
        <v>503</v>
      </c>
      <c r="H1231" t="s">
        <v>462</v>
      </c>
      <c r="I1231" t="s">
        <v>2930</v>
      </c>
      <c r="J1231" t="s">
        <v>676</v>
      </c>
      <c r="K1231">
        <v>2006</v>
      </c>
      <c r="L1231">
        <v>2006</v>
      </c>
      <c r="M1231">
        <v>0.4</v>
      </c>
      <c r="N1231">
        <v>1.2809999999999999</v>
      </c>
      <c r="R1231" t="s">
        <v>84</v>
      </c>
      <c r="S1231" t="s">
        <v>2931</v>
      </c>
      <c r="T1231" t="b">
        <v>1</v>
      </c>
      <c r="U1231" t="s">
        <v>7046</v>
      </c>
      <c r="V1231" t="s">
        <v>6683</v>
      </c>
      <c r="W1231" t="s">
        <v>7047</v>
      </c>
      <c r="X1231" t="s">
        <v>47</v>
      </c>
      <c r="AA1231" t="s">
        <v>583</v>
      </c>
      <c r="AC1231" t="s">
        <v>585</v>
      </c>
      <c r="AD1231" t="b">
        <v>0</v>
      </c>
      <c r="AF1231">
        <v>3</v>
      </c>
      <c r="AG1231" t="s">
        <v>332</v>
      </c>
    </row>
    <row r="1232" spans="1:33" x14ac:dyDescent="0.2">
      <c r="A1232">
        <v>1560</v>
      </c>
      <c r="B1232" t="s">
        <v>7048</v>
      </c>
      <c r="C1232" t="s">
        <v>34</v>
      </c>
      <c r="D1232" t="s">
        <v>35</v>
      </c>
      <c r="E1232" t="s">
        <v>6681</v>
      </c>
      <c r="F1232" t="s">
        <v>6682</v>
      </c>
      <c r="G1232" t="s">
        <v>503</v>
      </c>
      <c r="H1232" t="s">
        <v>462</v>
      </c>
      <c r="I1232" t="s">
        <v>2930</v>
      </c>
      <c r="J1232" t="s">
        <v>676</v>
      </c>
      <c r="K1232">
        <v>2009</v>
      </c>
      <c r="L1232">
        <v>2009</v>
      </c>
      <c r="M1232">
        <v>0.32500000000000001</v>
      </c>
      <c r="N1232">
        <v>0.88700000000000001</v>
      </c>
      <c r="O1232">
        <v>195</v>
      </c>
      <c r="P1232">
        <v>0.38800000000000001</v>
      </c>
      <c r="R1232" t="s">
        <v>84</v>
      </c>
      <c r="S1232" t="s">
        <v>2931</v>
      </c>
      <c r="T1232" t="b">
        <v>1</v>
      </c>
      <c r="U1232" t="s">
        <v>6950</v>
      </c>
      <c r="V1232" t="s">
        <v>6683</v>
      </c>
      <c r="W1232" t="s">
        <v>7049</v>
      </c>
      <c r="X1232" t="s">
        <v>47</v>
      </c>
      <c r="AA1232" t="s">
        <v>583</v>
      </c>
      <c r="AC1232" t="s">
        <v>585</v>
      </c>
      <c r="AD1232" t="b">
        <v>0</v>
      </c>
      <c r="AF1232">
        <v>3</v>
      </c>
      <c r="AG1232" t="s">
        <v>332</v>
      </c>
    </row>
    <row r="1233" spans="1:33" x14ac:dyDescent="0.2">
      <c r="A1233">
        <v>1561</v>
      </c>
      <c r="B1233" t="s">
        <v>7050</v>
      </c>
      <c r="C1233" t="s">
        <v>34</v>
      </c>
      <c r="D1233" t="s">
        <v>35</v>
      </c>
      <c r="E1233" t="s">
        <v>6681</v>
      </c>
      <c r="F1233" t="s">
        <v>6682</v>
      </c>
      <c r="G1233" t="s">
        <v>503</v>
      </c>
      <c r="H1233" t="s">
        <v>462</v>
      </c>
      <c r="I1233" t="s">
        <v>2930</v>
      </c>
      <c r="J1233" t="s">
        <v>676</v>
      </c>
      <c r="K1233">
        <v>2009</v>
      </c>
      <c r="L1233">
        <v>2009</v>
      </c>
      <c r="M1233">
        <v>0.15</v>
      </c>
      <c r="N1233">
        <v>0.46100000000000002</v>
      </c>
      <c r="O1233">
        <v>185</v>
      </c>
      <c r="P1233">
        <v>0.18</v>
      </c>
      <c r="Q1233">
        <v>0.23100000000000001</v>
      </c>
      <c r="R1233" t="s">
        <v>84</v>
      </c>
      <c r="S1233" t="s">
        <v>2931</v>
      </c>
      <c r="T1233" t="b">
        <v>1</v>
      </c>
      <c r="U1233" t="s">
        <v>6950</v>
      </c>
      <c r="V1233" t="s">
        <v>6683</v>
      </c>
      <c r="W1233" t="s">
        <v>7051</v>
      </c>
      <c r="X1233" t="s">
        <v>47</v>
      </c>
      <c r="AA1233" t="s">
        <v>583</v>
      </c>
      <c r="AC1233" t="s">
        <v>585</v>
      </c>
      <c r="AD1233" t="b">
        <v>0</v>
      </c>
      <c r="AF1233">
        <v>3</v>
      </c>
      <c r="AG1233" t="s">
        <v>332</v>
      </c>
    </row>
    <row r="1234" spans="1:33" x14ac:dyDescent="0.2">
      <c r="A1234">
        <v>350</v>
      </c>
      <c r="B1234" t="s">
        <v>7052</v>
      </c>
      <c r="C1234" t="s">
        <v>34</v>
      </c>
      <c r="D1234" t="s">
        <v>35</v>
      </c>
      <c r="E1234" t="s">
        <v>501</v>
      </c>
      <c r="F1234" t="s">
        <v>502</v>
      </c>
      <c r="G1234" t="s">
        <v>242</v>
      </c>
      <c r="H1234" t="s">
        <v>243</v>
      </c>
      <c r="I1234" t="s">
        <v>1439</v>
      </c>
      <c r="J1234" t="s">
        <v>171</v>
      </c>
      <c r="K1234">
        <v>1916</v>
      </c>
      <c r="L1234">
        <v>1916</v>
      </c>
      <c r="M1234">
        <v>1.2</v>
      </c>
      <c r="N1234">
        <v>2.6030000000000002</v>
      </c>
      <c r="O1234">
        <v>26.6</v>
      </c>
      <c r="P1234">
        <v>5.94</v>
      </c>
      <c r="Q1234">
        <v>5.6000000000000001E-2</v>
      </c>
      <c r="R1234" t="s">
        <v>72</v>
      </c>
      <c r="S1234" t="s">
        <v>7053</v>
      </c>
      <c r="T1234" t="b">
        <v>1</v>
      </c>
      <c r="U1234" t="s">
        <v>7054</v>
      </c>
      <c r="V1234" t="s">
        <v>507</v>
      </c>
      <c r="W1234" t="s">
        <v>7055</v>
      </c>
      <c r="X1234" t="s">
        <v>47</v>
      </c>
      <c r="AA1234" t="s">
        <v>1444</v>
      </c>
      <c r="AB1234" t="s">
        <v>49</v>
      </c>
      <c r="AC1234" t="s">
        <v>7056</v>
      </c>
      <c r="AD1234" t="b">
        <v>0</v>
      </c>
      <c r="AF1234">
        <v>8</v>
      </c>
      <c r="AG1234" t="s">
        <v>78</v>
      </c>
    </row>
    <row r="1235" spans="1:33" x14ac:dyDescent="0.2">
      <c r="A1235">
        <v>351</v>
      </c>
      <c r="B1235" t="s">
        <v>7057</v>
      </c>
      <c r="C1235" t="s">
        <v>34</v>
      </c>
      <c r="D1235" t="s">
        <v>35</v>
      </c>
      <c r="E1235" t="s">
        <v>7058</v>
      </c>
      <c r="F1235" t="s">
        <v>7059</v>
      </c>
      <c r="G1235" t="s">
        <v>53</v>
      </c>
      <c r="H1235" t="s">
        <v>54</v>
      </c>
      <c r="I1235" t="s">
        <v>532</v>
      </c>
      <c r="J1235" t="s">
        <v>533</v>
      </c>
      <c r="K1235">
        <v>2001</v>
      </c>
      <c r="L1235">
        <v>2001</v>
      </c>
      <c r="M1235">
        <v>8.9</v>
      </c>
      <c r="N1235">
        <v>36.024000000000001</v>
      </c>
      <c r="O1235">
        <v>340</v>
      </c>
      <c r="P1235">
        <v>3</v>
      </c>
      <c r="Q1235">
        <v>0.82399999999999995</v>
      </c>
      <c r="R1235" t="s">
        <v>57</v>
      </c>
      <c r="S1235" t="s">
        <v>7060</v>
      </c>
      <c r="T1235" t="b">
        <v>1</v>
      </c>
      <c r="U1235" t="s">
        <v>1103</v>
      </c>
      <c r="V1235" t="s">
        <v>7061</v>
      </c>
      <c r="W1235" t="s">
        <v>7062</v>
      </c>
      <c r="X1235" t="s">
        <v>47</v>
      </c>
      <c r="AA1235" t="s">
        <v>5059</v>
      </c>
      <c r="AB1235" t="s">
        <v>177</v>
      </c>
      <c r="AC1235" t="s">
        <v>5060</v>
      </c>
      <c r="AD1235" t="b">
        <v>0</v>
      </c>
      <c r="AF1235">
        <v>7</v>
      </c>
      <c r="AG1235" t="s">
        <v>469</v>
      </c>
    </row>
    <row r="1236" spans="1:33" x14ac:dyDescent="0.2">
      <c r="A1236">
        <v>352</v>
      </c>
      <c r="B1236" t="s">
        <v>7063</v>
      </c>
      <c r="C1236" t="s">
        <v>34</v>
      </c>
      <c r="D1236" t="s">
        <v>35</v>
      </c>
      <c r="E1236" t="s">
        <v>277</v>
      </c>
      <c r="F1236" t="s">
        <v>278</v>
      </c>
      <c r="G1236" t="s">
        <v>312</v>
      </c>
      <c r="H1236" t="s">
        <v>313</v>
      </c>
      <c r="I1236" t="s">
        <v>493</v>
      </c>
      <c r="J1236" t="s">
        <v>409</v>
      </c>
      <c r="K1236">
        <v>1901</v>
      </c>
      <c r="L1236">
        <v>1988</v>
      </c>
      <c r="M1236">
        <v>2.9</v>
      </c>
      <c r="N1236">
        <v>5.7610000000000001</v>
      </c>
      <c r="O1236">
        <v>106</v>
      </c>
      <c r="P1236">
        <v>3.29</v>
      </c>
      <c r="Q1236">
        <v>0.24399999999999999</v>
      </c>
      <c r="R1236" t="s">
        <v>84</v>
      </c>
      <c r="S1236" t="s">
        <v>7064</v>
      </c>
      <c r="T1236" t="b">
        <v>1</v>
      </c>
      <c r="U1236" t="s">
        <v>1059</v>
      </c>
      <c r="V1236" t="s">
        <v>1129</v>
      </c>
      <c r="W1236" t="s">
        <v>113</v>
      </c>
      <c r="X1236" t="s">
        <v>47</v>
      </c>
      <c r="AA1236" t="s">
        <v>2952</v>
      </c>
      <c r="AB1236" t="s">
        <v>49</v>
      </c>
      <c r="AC1236" t="s">
        <v>7065</v>
      </c>
      <c r="AD1236" t="b">
        <v>0</v>
      </c>
      <c r="AF1236">
        <v>4</v>
      </c>
      <c r="AG1236" t="s">
        <v>321</v>
      </c>
    </row>
    <row r="1237" spans="1:33" x14ac:dyDescent="0.2">
      <c r="A1237">
        <v>353</v>
      </c>
      <c r="B1237" t="s">
        <v>7066</v>
      </c>
      <c r="C1237" t="s">
        <v>34</v>
      </c>
      <c r="D1237" t="s">
        <v>35</v>
      </c>
      <c r="E1237" t="s">
        <v>728</v>
      </c>
      <c r="F1237" t="s">
        <v>729</v>
      </c>
      <c r="G1237" t="s">
        <v>53</v>
      </c>
      <c r="H1237" t="s">
        <v>54</v>
      </c>
      <c r="I1237" t="s">
        <v>1039</v>
      </c>
      <c r="J1237" t="s">
        <v>243</v>
      </c>
      <c r="K1237">
        <v>1986</v>
      </c>
      <c r="L1237">
        <v>1986</v>
      </c>
      <c r="M1237">
        <v>10.1</v>
      </c>
      <c r="N1237">
        <v>40.420999999999999</v>
      </c>
      <c r="O1237">
        <v>61</v>
      </c>
      <c r="P1237">
        <v>18.3</v>
      </c>
      <c r="Q1237">
        <v>0.14699999999999999</v>
      </c>
      <c r="R1237" t="s">
        <v>72</v>
      </c>
      <c r="S1237" t="s">
        <v>7067</v>
      </c>
      <c r="T1237" t="b">
        <v>1</v>
      </c>
      <c r="U1237" t="s">
        <v>7068</v>
      </c>
      <c r="V1237" t="s">
        <v>2923</v>
      </c>
      <c r="W1237" t="s">
        <v>7069</v>
      </c>
      <c r="X1237" t="s">
        <v>47</v>
      </c>
      <c r="AA1237" t="s">
        <v>3480</v>
      </c>
      <c r="AB1237" t="s">
        <v>177</v>
      </c>
      <c r="AC1237" t="s">
        <v>5511</v>
      </c>
      <c r="AD1237" t="b">
        <v>0</v>
      </c>
      <c r="AF1237">
        <v>13</v>
      </c>
      <c r="AG1237" t="s">
        <v>155</v>
      </c>
    </row>
    <row r="1238" spans="1:33" x14ac:dyDescent="0.2">
      <c r="A1238">
        <v>1292</v>
      </c>
      <c r="B1238" t="s">
        <v>2952</v>
      </c>
      <c r="C1238" t="s">
        <v>34</v>
      </c>
      <c r="D1238" t="s">
        <v>35</v>
      </c>
      <c r="E1238" t="s">
        <v>7070</v>
      </c>
      <c r="F1238" t="s">
        <v>7071</v>
      </c>
      <c r="G1238" t="s">
        <v>93</v>
      </c>
      <c r="H1238" t="s">
        <v>94</v>
      </c>
      <c r="I1238" t="s">
        <v>4970</v>
      </c>
      <c r="J1238" t="s">
        <v>109</v>
      </c>
      <c r="K1238">
        <v>2006</v>
      </c>
      <c r="L1238">
        <v>2006</v>
      </c>
      <c r="M1238">
        <v>0.63</v>
      </c>
      <c r="N1238">
        <v>3.214</v>
      </c>
      <c r="R1238" t="s">
        <v>72</v>
      </c>
      <c r="S1238" t="s">
        <v>7072</v>
      </c>
      <c r="T1238" t="b">
        <v>1</v>
      </c>
      <c r="U1238" t="s">
        <v>7073</v>
      </c>
      <c r="V1238" t="s">
        <v>7074</v>
      </c>
      <c r="W1238" t="s">
        <v>7075</v>
      </c>
      <c r="X1238" t="s">
        <v>47</v>
      </c>
      <c r="AA1238" t="s">
        <v>445</v>
      </c>
      <c r="AC1238" t="s">
        <v>63</v>
      </c>
      <c r="AD1238" t="b">
        <v>0</v>
      </c>
      <c r="AF1238">
        <v>8</v>
      </c>
      <c r="AG1238" t="s">
        <v>78</v>
      </c>
    </row>
    <row r="1239" spans="1:33" x14ac:dyDescent="0.2">
      <c r="A1239">
        <v>1355</v>
      </c>
      <c r="B1239" t="s">
        <v>2952</v>
      </c>
      <c r="C1239" t="s">
        <v>34</v>
      </c>
      <c r="D1239" t="s">
        <v>35</v>
      </c>
      <c r="E1239" t="s">
        <v>7076</v>
      </c>
      <c r="F1239" t="s">
        <v>7077</v>
      </c>
      <c r="G1239" t="s">
        <v>53</v>
      </c>
      <c r="H1239" t="s">
        <v>54</v>
      </c>
      <c r="I1239" t="s">
        <v>147</v>
      </c>
      <c r="J1239" t="s">
        <v>148</v>
      </c>
      <c r="K1239">
        <v>2007</v>
      </c>
      <c r="L1239">
        <v>2007</v>
      </c>
      <c r="M1239">
        <v>0.65</v>
      </c>
      <c r="N1239">
        <v>1.923</v>
      </c>
      <c r="O1239">
        <v>81</v>
      </c>
      <c r="P1239">
        <v>1</v>
      </c>
      <c r="Q1239">
        <v>0.18099999999999999</v>
      </c>
      <c r="R1239" t="s">
        <v>72</v>
      </c>
      <c r="S1239" t="s">
        <v>6649</v>
      </c>
      <c r="T1239" t="b">
        <v>1</v>
      </c>
      <c r="U1239" t="s">
        <v>7078</v>
      </c>
      <c r="V1239" t="s">
        <v>7079</v>
      </c>
      <c r="W1239" t="s">
        <v>7080</v>
      </c>
      <c r="X1239" t="s">
        <v>47</v>
      </c>
      <c r="AA1239" t="s">
        <v>153</v>
      </c>
      <c r="AC1239" t="s">
        <v>154</v>
      </c>
      <c r="AD1239" t="b">
        <v>0</v>
      </c>
      <c r="AF1239">
        <v>13</v>
      </c>
      <c r="AG1239" t="s">
        <v>155</v>
      </c>
    </row>
    <row r="1240" spans="1:33" x14ac:dyDescent="0.2">
      <c r="A1240">
        <v>1904</v>
      </c>
      <c r="B1240" t="s">
        <v>2952</v>
      </c>
      <c r="C1240" t="s">
        <v>34</v>
      </c>
      <c r="D1240" t="s">
        <v>35</v>
      </c>
      <c r="E1240" t="s">
        <v>7081</v>
      </c>
      <c r="F1240" t="s">
        <v>7082</v>
      </c>
      <c r="G1240" t="s">
        <v>242</v>
      </c>
      <c r="H1240" t="s">
        <v>243</v>
      </c>
      <c r="I1240" t="s">
        <v>244</v>
      </c>
      <c r="J1240" t="s">
        <v>245</v>
      </c>
      <c r="K1240">
        <v>2019</v>
      </c>
      <c r="L1240">
        <v>2019</v>
      </c>
      <c r="M1240">
        <v>2.8</v>
      </c>
      <c r="N1240">
        <v>8.3849999999999998</v>
      </c>
      <c r="O1240">
        <v>162.5</v>
      </c>
      <c r="P1240">
        <v>2.1</v>
      </c>
      <c r="Q1240">
        <v>0.37</v>
      </c>
      <c r="R1240" t="s">
        <v>72</v>
      </c>
      <c r="S1240" t="s">
        <v>7083</v>
      </c>
      <c r="T1240" t="b">
        <v>1</v>
      </c>
      <c r="U1240" t="s">
        <v>7084</v>
      </c>
      <c r="V1240" t="s">
        <v>7085</v>
      </c>
      <c r="W1240" t="s">
        <v>7086</v>
      </c>
      <c r="X1240" t="s">
        <v>47</v>
      </c>
      <c r="AA1240" t="s">
        <v>250</v>
      </c>
      <c r="AC1240" t="s">
        <v>2585</v>
      </c>
      <c r="AD1240" t="b">
        <v>0</v>
      </c>
      <c r="AF1240">
        <v>9</v>
      </c>
      <c r="AG1240" t="s">
        <v>251</v>
      </c>
    </row>
    <row r="1241" spans="1:33" x14ac:dyDescent="0.2">
      <c r="A1241">
        <v>1101</v>
      </c>
      <c r="B1241" t="s">
        <v>7087</v>
      </c>
      <c r="C1241" t="s">
        <v>34</v>
      </c>
      <c r="D1241" t="s">
        <v>35</v>
      </c>
      <c r="E1241" t="s">
        <v>4857</v>
      </c>
      <c r="F1241" t="s">
        <v>4858</v>
      </c>
      <c r="G1241" t="s">
        <v>134</v>
      </c>
      <c r="H1241" t="s">
        <v>135</v>
      </c>
      <c r="I1241" t="s">
        <v>2074</v>
      </c>
      <c r="J1241" t="s">
        <v>225</v>
      </c>
      <c r="K1241">
        <v>2001</v>
      </c>
      <c r="L1241">
        <v>2001</v>
      </c>
      <c r="M1241">
        <v>0.55500000000000005</v>
      </c>
      <c r="N1241">
        <v>1.214</v>
      </c>
      <c r="O1241">
        <v>150</v>
      </c>
      <c r="P1241">
        <v>0.56999999999999995</v>
      </c>
      <c r="R1241" t="s">
        <v>42</v>
      </c>
      <c r="S1241" t="s">
        <v>4859</v>
      </c>
      <c r="T1241" t="b">
        <v>1</v>
      </c>
      <c r="U1241" t="s">
        <v>1103</v>
      </c>
      <c r="V1241" t="s">
        <v>7088</v>
      </c>
      <c r="W1241" t="s">
        <v>7089</v>
      </c>
      <c r="X1241" t="s">
        <v>47</v>
      </c>
      <c r="AA1241" t="s">
        <v>2652</v>
      </c>
      <c r="AC1241" t="s">
        <v>2653</v>
      </c>
      <c r="AD1241" t="b">
        <v>0</v>
      </c>
      <c r="AF1241">
        <v>10</v>
      </c>
      <c r="AG1241" t="s">
        <v>143</v>
      </c>
    </row>
    <row r="1242" spans="1:33" x14ac:dyDescent="0.2">
      <c r="A1242">
        <v>1102</v>
      </c>
      <c r="B1242" t="s">
        <v>7090</v>
      </c>
      <c r="C1242" t="s">
        <v>34</v>
      </c>
      <c r="D1242" t="s">
        <v>35</v>
      </c>
      <c r="E1242" t="s">
        <v>4857</v>
      </c>
      <c r="F1242" t="s">
        <v>4858</v>
      </c>
      <c r="G1242" t="s">
        <v>134</v>
      </c>
      <c r="H1242" t="s">
        <v>135</v>
      </c>
      <c r="I1242" t="s">
        <v>2074</v>
      </c>
      <c r="J1242" t="s">
        <v>225</v>
      </c>
      <c r="K1242">
        <v>2002</v>
      </c>
      <c r="L1242">
        <v>2002</v>
      </c>
      <c r="M1242">
        <v>0.435</v>
      </c>
      <c r="N1242">
        <v>0.85699999999999998</v>
      </c>
      <c r="O1242">
        <v>85</v>
      </c>
      <c r="P1242">
        <v>0.78</v>
      </c>
      <c r="R1242" t="s">
        <v>42</v>
      </c>
      <c r="S1242" t="s">
        <v>4859</v>
      </c>
      <c r="T1242" t="b">
        <v>1</v>
      </c>
      <c r="U1242" t="s">
        <v>247</v>
      </c>
      <c r="V1242" t="s">
        <v>7088</v>
      </c>
      <c r="W1242" t="s">
        <v>7091</v>
      </c>
      <c r="X1242" t="s">
        <v>47</v>
      </c>
      <c r="AA1242" t="s">
        <v>2652</v>
      </c>
      <c r="AC1242" t="s">
        <v>2653</v>
      </c>
      <c r="AD1242" t="b">
        <v>0</v>
      </c>
      <c r="AF1242">
        <v>10</v>
      </c>
      <c r="AG1242" t="s">
        <v>143</v>
      </c>
    </row>
    <row r="1243" spans="1:33" x14ac:dyDescent="0.2">
      <c r="A1243">
        <v>1478</v>
      </c>
      <c r="B1243" t="s">
        <v>7092</v>
      </c>
      <c r="C1243" t="s">
        <v>34</v>
      </c>
      <c r="D1243" t="s">
        <v>35</v>
      </c>
      <c r="E1243" t="s">
        <v>168</v>
      </c>
      <c r="F1243" t="s">
        <v>169</v>
      </c>
      <c r="G1243" t="s">
        <v>53</v>
      </c>
      <c r="H1243" t="s">
        <v>54</v>
      </c>
      <c r="I1243" t="s">
        <v>461</v>
      </c>
      <c r="J1243" t="s">
        <v>462</v>
      </c>
      <c r="K1243">
        <v>2012</v>
      </c>
      <c r="L1243">
        <v>2012</v>
      </c>
      <c r="M1243">
        <v>2.2999999999999998</v>
      </c>
      <c r="N1243">
        <v>4.8680000000000003</v>
      </c>
      <c r="O1243">
        <v>429</v>
      </c>
      <c r="P1243">
        <v>0.61</v>
      </c>
      <c r="Q1243">
        <v>1.0469999999999999</v>
      </c>
      <c r="R1243" t="s">
        <v>57</v>
      </c>
      <c r="S1243" t="s">
        <v>7093</v>
      </c>
      <c r="T1243" t="b">
        <v>1</v>
      </c>
      <c r="U1243" t="s">
        <v>5542</v>
      </c>
      <c r="V1243" t="s">
        <v>174</v>
      </c>
      <c r="W1243" t="s">
        <v>7094</v>
      </c>
      <c r="X1243" t="s">
        <v>47</v>
      </c>
      <c r="AA1243" t="s">
        <v>114</v>
      </c>
      <c r="AB1243" t="s">
        <v>49</v>
      </c>
      <c r="AC1243" t="s">
        <v>7095</v>
      </c>
      <c r="AD1243" t="b">
        <v>0</v>
      </c>
      <c r="AF1243">
        <v>7</v>
      </c>
      <c r="AG1243" t="s">
        <v>469</v>
      </c>
    </row>
    <row r="1244" spans="1:33" x14ac:dyDescent="0.2">
      <c r="A1244">
        <v>823</v>
      </c>
      <c r="B1244" t="s">
        <v>7096</v>
      </c>
      <c r="C1244" t="s">
        <v>34</v>
      </c>
      <c r="D1244" t="s">
        <v>35</v>
      </c>
      <c r="E1244" t="s">
        <v>7097</v>
      </c>
      <c r="F1244" t="s">
        <v>7098</v>
      </c>
      <c r="G1244" t="s">
        <v>53</v>
      </c>
      <c r="H1244" t="s">
        <v>54</v>
      </c>
      <c r="I1244" t="s">
        <v>1143</v>
      </c>
      <c r="J1244" t="s">
        <v>54</v>
      </c>
      <c r="K1244">
        <v>2004</v>
      </c>
      <c r="L1244">
        <v>2004</v>
      </c>
      <c r="M1244">
        <v>4.45</v>
      </c>
      <c r="N1244">
        <v>15.657999999999999</v>
      </c>
      <c r="O1244">
        <v>306.5</v>
      </c>
      <c r="P1244">
        <v>1.9</v>
      </c>
      <c r="Q1244">
        <v>0.67300000000000004</v>
      </c>
      <c r="R1244" t="s">
        <v>72</v>
      </c>
      <c r="S1244" t="s">
        <v>7099</v>
      </c>
      <c r="T1244" t="b">
        <v>1</v>
      </c>
      <c r="U1244" t="s">
        <v>7100</v>
      </c>
      <c r="V1244" t="s">
        <v>7101</v>
      </c>
      <c r="W1244" t="s">
        <v>7102</v>
      </c>
      <c r="X1244" t="s">
        <v>47</v>
      </c>
      <c r="AA1244" t="s">
        <v>7103</v>
      </c>
      <c r="AB1244" t="s">
        <v>49</v>
      </c>
      <c r="AC1244" t="s">
        <v>7104</v>
      </c>
      <c r="AD1244" t="b">
        <v>0</v>
      </c>
      <c r="AF1244">
        <v>13</v>
      </c>
      <c r="AG1244" t="s">
        <v>155</v>
      </c>
    </row>
    <row r="1245" spans="1:33" x14ac:dyDescent="0.2">
      <c r="A1245">
        <v>354</v>
      </c>
      <c r="B1245" t="s">
        <v>7105</v>
      </c>
      <c r="C1245" t="s">
        <v>34</v>
      </c>
      <c r="D1245" t="s">
        <v>35</v>
      </c>
      <c r="E1245" t="s">
        <v>2311</v>
      </c>
      <c r="F1245" t="s">
        <v>2312</v>
      </c>
      <c r="G1245" t="s">
        <v>134</v>
      </c>
      <c r="H1245" t="s">
        <v>135</v>
      </c>
      <c r="I1245" t="s">
        <v>6701</v>
      </c>
      <c r="J1245" t="s">
        <v>1062</v>
      </c>
      <c r="K1245">
        <v>1979</v>
      </c>
      <c r="L1245">
        <v>1979</v>
      </c>
      <c r="M1245">
        <v>11.3</v>
      </c>
      <c r="N1245">
        <v>44.375</v>
      </c>
      <c r="O1245">
        <v>45</v>
      </c>
      <c r="P1245">
        <v>28.54</v>
      </c>
      <c r="Q1245">
        <v>0.109</v>
      </c>
      <c r="R1245" t="s">
        <v>42</v>
      </c>
      <c r="S1245" t="s">
        <v>7106</v>
      </c>
      <c r="T1245" t="b">
        <v>1</v>
      </c>
      <c r="U1245" t="s">
        <v>7107</v>
      </c>
      <c r="V1245" t="s">
        <v>2315</v>
      </c>
      <c r="W1245" t="s">
        <v>7108</v>
      </c>
      <c r="X1245" t="s">
        <v>47</v>
      </c>
      <c r="AA1245" t="s">
        <v>6704</v>
      </c>
      <c r="AB1245" t="s">
        <v>49</v>
      </c>
      <c r="AC1245" t="s">
        <v>6705</v>
      </c>
      <c r="AD1245" t="b">
        <v>0</v>
      </c>
      <c r="AF1245">
        <v>10</v>
      </c>
      <c r="AG1245" t="s">
        <v>143</v>
      </c>
    </row>
    <row r="1246" spans="1:33" x14ac:dyDescent="0.2">
      <c r="A1246">
        <v>966</v>
      </c>
      <c r="B1246" t="s">
        <v>7105</v>
      </c>
      <c r="C1246" t="s">
        <v>34</v>
      </c>
      <c r="D1246" t="s">
        <v>35</v>
      </c>
      <c r="E1246" t="s">
        <v>7109</v>
      </c>
      <c r="F1246" t="s">
        <v>7110</v>
      </c>
      <c r="G1246" t="s">
        <v>483</v>
      </c>
      <c r="H1246" t="s">
        <v>109</v>
      </c>
      <c r="I1246" t="s">
        <v>6884</v>
      </c>
      <c r="J1246" t="s">
        <v>109</v>
      </c>
      <c r="K1246">
        <v>2008</v>
      </c>
      <c r="L1246">
        <v>2008</v>
      </c>
      <c r="M1246">
        <v>0.34699999999999998</v>
      </c>
      <c r="N1246">
        <v>1.1779999999999999</v>
      </c>
      <c r="O1246">
        <v>10</v>
      </c>
      <c r="P1246">
        <v>4</v>
      </c>
      <c r="R1246" t="s">
        <v>97</v>
      </c>
      <c r="S1246" t="s">
        <v>7111</v>
      </c>
      <c r="T1246" t="b">
        <v>1</v>
      </c>
      <c r="U1246" t="s">
        <v>7112</v>
      </c>
      <c r="V1246" t="s">
        <v>7113</v>
      </c>
      <c r="W1246" t="s">
        <v>113</v>
      </c>
      <c r="X1246" t="s">
        <v>47</v>
      </c>
      <c r="AA1246" t="s">
        <v>340</v>
      </c>
      <c r="AC1246" t="s">
        <v>341</v>
      </c>
      <c r="AD1246" t="b">
        <v>0</v>
      </c>
      <c r="AF1246">
        <v>1</v>
      </c>
      <c r="AG1246" t="s">
        <v>104</v>
      </c>
    </row>
    <row r="1247" spans="1:33" x14ac:dyDescent="0.2">
      <c r="A1247">
        <v>1123</v>
      </c>
      <c r="B1247" t="s">
        <v>7105</v>
      </c>
      <c r="C1247" t="s">
        <v>34</v>
      </c>
      <c r="D1247" t="s">
        <v>35</v>
      </c>
      <c r="E1247" t="s">
        <v>91</v>
      </c>
      <c r="F1247" t="s">
        <v>92</v>
      </c>
      <c r="G1247" t="s">
        <v>503</v>
      </c>
      <c r="H1247" t="s">
        <v>462</v>
      </c>
      <c r="I1247" t="s">
        <v>3770</v>
      </c>
      <c r="J1247" t="s">
        <v>539</v>
      </c>
      <c r="K1247">
        <v>1988</v>
      </c>
      <c r="L1247">
        <v>1988</v>
      </c>
      <c r="M1247">
        <v>0.8</v>
      </c>
      <c r="N1247">
        <v>3.101</v>
      </c>
      <c r="R1247" t="s">
        <v>84</v>
      </c>
      <c r="S1247" t="s">
        <v>3771</v>
      </c>
      <c r="T1247" t="b">
        <v>1</v>
      </c>
      <c r="U1247" t="s">
        <v>7114</v>
      </c>
      <c r="V1247" t="s">
        <v>100</v>
      </c>
      <c r="W1247" t="s">
        <v>113</v>
      </c>
      <c r="X1247" t="s">
        <v>47</v>
      </c>
      <c r="AA1247" t="s">
        <v>2555</v>
      </c>
      <c r="AC1247" t="s">
        <v>2556</v>
      </c>
      <c r="AD1247" t="b">
        <v>0</v>
      </c>
      <c r="AF1247">
        <v>3</v>
      </c>
      <c r="AG1247" t="s">
        <v>332</v>
      </c>
    </row>
    <row r="1248" spans="1:33" x14ac:dyDescent="0.2">
      <c r="A1248">
        <v>355</v>
      </c>
      <c r="B1248" t="s">
        <v>7115</v>
      </c>
      <c r="C1248" t="s">
        <v>34</v>
      </c>
      <c r="D1248" t="s">
        <v>35</v>
      </c>
      <c r="E1248" t="s">
        <v>277</v>
      </c>
      <c r="F1248" t="s">
        <v>278</v>
      </c>
      <c r="G1248" t="s">
        <v>93</v>
      </c>
      <c r="H1248" t="s">
        <v>94</v>
      </c>
      <c r="I1248" t="s">
        <v>5454</v>
      </c>
      <c r="J1248" t="s">
        <v>56</v>
      </c>
      <c r="K1248">
        <v>1943</v>
      </c>
      <c r="L1248">
        <v>2004</v>
      </c>
      <c r="M1248">
        <v>6.2</v>
      </c>
      <c r="N1248">
        <v>29.952999999999999</v>
      </c>
      <c r="O1248">
        <v>9.5</v>
      </c>
      <c r="P1248">
        <v>75</v>
      </c>
      <c r="Q1248">
        <v>2.3E-2</v>
      </c>
      <c r="R1248" t="s">
        <v>97</v>
      </c>
      <c r="S1248" t="s">
        <v>7116</v>
      </c>
      <c r="T1248" t="b">
        <v>1</v>
      </c>
      <c r="U1248" t="s">
        <v>7117</v>
      </c>
      <c r="V1248" t="s">
        <v>389</v>
      </c>
      <c r="W1248" t="s">
        <v>7118</v>
      </c>
      <c r="X1248" t="s">
        <v>47</v>
      </c>
      <c r="AA1248" t="s">
        <v>4061</v>
      </c>
      <c r="AB1248" t="s">
        <v>177</v>
      </c>
      <c r="AC1248" t="s">
        <v>4062</v>
      </c>
      <c r="AD1248" t="b">
        <v>0</v>
      </c>
      <c r="AF1248">
        <v>1</v>
      </c>
      <c r="AG1248" t="s">
        <v>104</v>
      </c>
    </row>
    <row r="1249" spans="1:33" x14ac:dyDescent="0.2">
      <c r="A1249">
        <v>2040</v>
      </c>
      <c r="B1249" t="s">
        <v>7119</v>
      </c>
      <c r="C1249" t="s">
        <v>34</v>
      </c>
      <c r="D1249" t="s">
        <v>35</v>
      </c>
      <c r="E1249" t="s">
        <v>892</v>
      </c>
      <c r="F1249" t="s">
        <v>893</v>
      </c>
      <c r="G1249" t="s">
        <v>213</v>
      </c>
      <c r="H1249" t="s">
        <v>83</v>
      </c>
      <c r="I1249" t="s">
        <v>1029</v>
      </c>
      <c r="J1249" t="s">
        <v>225</v>
      </c>
      <c r="K1249">
        <v>2021</v>
      </c>
      <c r="L1249">
        <v>2021</v>
      </c>
      <c r="M1249">
        <v>3.67</v>
      </c>
      <c r="N1249">
        <v>11.728</v>
      </c>
      <c r="O1249">
        <v>422.7</v>
      </c>
      <c r="P1249">
        <v>1.05</v>
      </c>
      <c r="Q1249">
        <v>0.97099999999999997</v>
      </c>
      <c r="R1249" t="s">
        <v>84</v>
      </c>
      <c r="S1249" t="s">
        <v>7120</v>
      </c>
      <c r="T1249" t="b">
        <v>1</v>
      </c>
      <c r="U1249" t="s">
        <v>7121</v>
      </c>
      <c r="V1249" t="s">
        <v>896</v>
      </c>
      <c r="W1249" t="s">
        <v>7122</v>
      </c>
      <c r="X1249" t="s">
        <v>47</v>
      </c>
      <c r="AA1249" t="s">
        <v>716</v>
      </c>
      <c r="AC1249" t="s">
        <v>717</v>
      </c>
      <c r="AD1249" t="b">
        <v>0</v>
      </c>
      <c r="AF1249">
        <v>4</v>
      </c>
      <c r="AG1249" t="s">
        <v>321</v>
      </c>
    </row>
    <row r="1250" spans="1:33" x14ac:dyDescent="0.2">
      <c r="A1250">
        <v>1021</v>
      </c>
      <c r="B1250" t="s">
        <v>7123</v>
      </c>
      <c r="C1250" t="s">
        <v>34</v>
      </c>
      <c r="D1250" t="s">
        <v>35</v>
      </c>
      <c r="E1250" t="s">
        <v>7124</v>
      </c>
      <c r="F1250" t="s">
        <v>7125</v>
      </c>
      <c r="G1250" t="s">
        <v>213</v>
      </c>
      <c r="H1250" t="s">
        <v>83</v>
      </c>
      <c r="I1250" t="s">
        <v>627</v>
      </c>
      <c r="J1250" t="s">
        <v>54</v>
      </c>
      <c r="K1250">
        <v>2001</v>
      </c>
      <c r="L1250">
        <v>2001</v>
      </c>
      <c r="M1250">
        <v>0.112</v>
      </c>
      <c r="N1250">
        <v>0.33800000000000002</v>
      </c>
      <c r="R1250" t="s">
        <v>84</v>
      </c>
      <c r="S1250" t="s">
        <v>1453</v>
      </c>
      <c r="T1250" t="b">
        <v>1</v>
      </c>
      <c r="U1250" t="s">
        <v>3971</v>
      </c>
      <c r="V1250" t="s">
        <v>7126</v>
      </c>
      <c r="W1250" t="s">
        <v>7127</v>
      </c>
      <c r="X1250" t="s">
        <v>47</v>
      </c>
      <c r="AA1250" t="s">
        <v>114</v>
      </c>
      <c r="AC1250" t="s">
        <v>63</v>
      </c>
      <c r="AD1250" t="b">
        <v>0</v>
      </c>
      <c r="AF1250">
        <v>5</v>
      </c>
      <c r="AG1250" t="s">
        <v>89</v>
      </c>
    </row>
    <row r="1251" spans="1:33" x14ac:dyDescent="0.2">
      <c r="A1251">
        <v>1103</v>
      </c>
      <c r="B1251" t="s">
        <v>7128</v>
      </c>
      <c r="C1251" t="s">
        <v>34</v>
      </c>
      <c r="D1251" t="s">
        <v>35</v>
      </c>
      <c r="E1251" t="s">
        <v>5168</v>
      </c>
      <c r="F1251" t="s">
        <v>5169</v>
      </c>
      <c r="G1251" t="s">
        <v>134</v>
      </c>
      <c r="H1251" t="s">
        <v>135</v>
      </c>
      <c r="I1251" t="s">
        <v>2074</v>
      </c>
      <c r="J1251" t="s">
        <v>225</v>
      </c>
      <c r="K1251">
        <v>2004</v>
      </c>
      <c r="L1251">
        <v>2004</v>
      </c>
      <c r="M1251">
        <v>0.96</v>
      </c>
      <c r="N1251">
        <v>4.0490000000000004</v>
      </c>
      <c r="P1251">
        <v>0.9</v>
      </c>
      <c r="R1251" t="s">
        <v>42</v>
      </c>
      <c r="S1251" t="s">
        <v>2648</v>
      </c>
      <c r="T1251" t="b">
        <v>1</v>
      </c>
      <c r="U1251" t="s">
        <v>637</v>
      </c>
      <c r="V1251" t="s">
        <v>5172</v>
      </c>
      <c r="W1251" t="s">
        <v>7129</v>
      </c>
      <c r="X1251" t="s">
        <v>47</v>
      </c>
      <c r="AA1251" t="s">
        <v>2652</v>
      </c>
      <c r="AC1251" t="s">
        <v>2653</v>
      </c>
      <c r="AD1251" t="b">
        <v>0</v>
      </c>
      <c r="AF1251">
        <v>10</v>
      </c>
      <c r="AG1251" t="s">
        <v>143</v>
      </c>
    </row>
    <row r="1252" spans="1:33" x14ac:dyDescent="0.2">
      <c r="A1252">
        <v>1587</v>
      </c>
      <c r="B1252" t="s">
        <v>7130</v>
      </c>
      <c r="C1252" t="s">
        <v>34</v>
      </c>
      <c r="D1252" t="s">
        <v>35</v>
      </c>
      <c r="E1252" t="s">
        <v>7131</v>
      </c>
      <c r="F1252" t="s">
        <v>7132</v>
      </c>
      <c r="G1252" t="s">
        <v>134</v>
      </c>
      <c r="H1252" t="s">
        <v>135</v>
      </c>
      <c r="I1252" t="s">
        <v>1616</v>
      </c>
      <c r="J1252" t="s">
        <v>462</v>
      </c>
      <c r="K1252">
        <v>2012</v>
      </c>
      <c r="L1252">
        <v>2012</v>
      </c>
      <c r="M1252">
        <v>2.5</v>
      </c>
      <c r="N1252">
        <v>4.8899999999999997</v>
      </c>
      <c r="O1252">
        <v>38.700000000000003</v>
      </c>
      <c r="P1252">
        <v>7.2</v>
      </c>
      <c r="Q1252">
        <v>9.2999999999999999E-2</v>
      </c>
      <c r="R1252" t="s">
        <v>42</v>
      </c>
      <c r="S1252" t="s">
        <v>7133</v>
      </c>
      <c r="T1252" t="b">
        <v>1</v>
      </c>
      <c r="U1252" t="s">
        <v>7134</v>
      </c>
      <c r="V1252" t="s">
        <v>7135</v>
      </c>
      <c r="W1252" t="s">
        <v>7136</v>
      </c>
      <c r="X1252" t="s">
        <v>47</v>
      </c>
      <c r="AA1252" t="s">
        <v>7137</v>
      </c>
      <c r="AB1252" t="s">
        <v>49</v>
      </c>
      <c r="AC1252" t="s">
        <v>7138</v>
      </c>
      <c r="AD1252" t="b">
        <v>0</v>
      </c>
      <c r="AF1252">
        <v>10</v>
      </c>
      <c r="AG1252" t="s">
        <v>143</v>
      </c>
    </row>
    <row r="1253" spans="1:33" x14ac:dyDescent="0.2">
      <c r="A1253">
        <v>1044</v>
      </c>
      <c r="B1253" t="s">
        <v>7139</v>
      </c>
      <c r="C1253" t="s">
        <v>34</v>
      </c>
      <c r="D1253" t="s">
        <v>35</v>
      </c>
      <c r="G1253" t="s">
        <v>134</v>
      </c>
      <c r="H1253" t="s">
        <v>135</v>
      </c>
      <c r="I1253" t="s">
        <v>4979</v>
      </c>
      <c r="J1253" t="s">
        <v>94</v>
      </c>
      <c r="K1253">
        <v>2005</v>
      </c>
      <c r="L1253">
        <v>2005</v>
      </c>
      <c r="M1253">
        <v>7.4999999999999997E-3</v>
      </c>
      <c r="N1253">
        <v>2.3E-2</v>
      </c>
      <c r="R1253" t="s">
        <v>42</v>
      </c>
      <c r="S1253" t="s">
        <v>4980</v>
      </c>
      <c r="T1253" t="b">
        <v>1</v>
      </c>
      <c r="U1253" t="s">
        <v>237</v>
      </c>
      <c r="V1253" t="s">
        <v>274</v>
      </c>
      <c r="W1253" t="s">
        <v>113</v>
      </c>
      <c r="X1253" t="s">
        <v>47</v>
      </c>
      <c r="AA1253" t="s">
        <v>114</v>
      </c>
      <c r="AC1253" t="s">
        <v>63</v>
      </c>
      <c r="AD1253" t="b">
        <v>0</v>
      </c>
      <c r="AF1253">
        <v>10</v>
      </c>
      <c r="AG1253" t="s">
        <v>143</v>
      </c>
    </row>
    <row r="1254" spans="1:33" x14ac:dyDescent="0.2">
      <c r="A1254">
        <v>1986</v>
      </c>
      <c r="B1254" t="s">
        <v>7140</v>
      </c>
      <c r="C1254" t="s">
        <v>34</v>
      </c>
      <c r="D1254" t="s">
        <v>35</v>
      </c>
      <c r="E1254" t="s">
        <v>7141</v>
      </c>
      <c r="F1254" t="s">
        <v>7142</v>
      </c>
      <c r="G1254" t="s">
        <v>134</v>
      </c>
      <c r="H1254" t="s">
        <v>135</v>
      </c>
      <c r="I1254" t="s">
        <v>1404</v>
      </c>
      <c r="J1254" t="s">
        <v>731</v>
      </c>
      <c r="K1254">
        <v>2020</v>
      </c>
      <c r="L1254">
        <v>2020</v>
      </c>
      <c r="M1254">
        <v>3.3</v>
      </c>
      <c r="N1254">
        <v>12.159000000000001</v>
      </c>
      <c r="O1254">
        <v>195</v>
      </c>
      <c r="P1254">
        <v>2.2000000000000002</v>
      </c>
      <c r="Q1254">
        <v>0.41699999999999998</v>
      </c>
      <c r="R1254" t="s">
        <v>42</v>
      </c>
      <c r="S1254" t="s">
        <v>7143</v>
      </c>
      <c r="T1254" t="b">
        <v>1</v>
      </c>
      <c r="U1254" t="s">
        <v>1680</v>
      </c>
      <c r="V1254" t="s">
        <v>7144</v>
      </c>
      <c r="W1254" t="s">
        <v>7145</v>
      </c>
      <c r="X1254" t="s">
        <v>47</v>
      </c>
      <c r="AA1254" t="s">
        <v>7146</v>
      </c>
      <c r="AB1254" t="s">
        <v>49</v>
      </c>
      <c r="AC1254" t="s">
        <v>7147</v>
      </c>
      <c r="AD1254" t="b">
        <v>0</v>
      </c>
      <c r="AF1254">
        <v>10</v>
      </c>
      <c r="AG1254" t="s">
        <v>143</v>
      </c>
    </row>
    <row r="1255" spans="1:33" x14ac:dyDescent="0.2">
      <c r="A1255">
        <v>613</v>
      </c>
      <c r="B1255" t="s">
        <v>7148</v>
      </c>
      <c r="C1255" t="s">
        <v>34</v>
      </c>
      <c r="D1255" t="s">
        <v>35</v>
      </c>
      <c r="E1255" t="s">
        <v>5279</v>
      </c>
      <c r="F1255" t="s">
        <v>5280</v>
      </c>
      <c r="G1255" t="s">
        <v>242</v>
      </c>
      <c r="H1255" t="s">
        <v>243</v>
      </c>
      <c r="I1255" t="s">
        <v>5281</v>
      </c>
      <c r="J1255" t="s">
        <v>215</v>
      </c>
      <c r="K1255">
        <v>1988</v>
      </c>
      <c r="L1255">
        <v>1988</v>
      </c>
      <c r="M1255">
        <v>1.5</v>
      </c>
      <c r="N1255">
        <v>11.43</v>
      </c>
      <c r="O1255">
        <v>15.3</v>
      </c>
      <c r="P1255">
        <v>13.06</v>
      </c>
      <c r="Q1255">
        <v>3.1899999999999998E-2</v>
      </c>
      <c r="R1255" t="s">
        <v>72</v>
      </c>
      <c r="S1255" t="s">
        <v>7149</v>
      </c>
      <c r="T1255" t="b">
        <v>1</v>
      </c>
      <c r="U1255" t="s">
        <v>1059</v>
      </c>
      <c r="V1255" t="s">
        <v>5283</v>
      </c>
      <c r="W1255" t="s">
        <v>113</v>
      </c>
      <c r="X1255" t="s">
        <v>47</v>
      </c>
      <c r="AA1255" t="s">
        <v>5284</v>
      </c>
      <c r="AB1255" t="s">
        <v>49</v>
      </c>
      <c r="AC1255" t="s">
        <v>5285</v>
      </c>
      <c r="AD1255" t="b">
        <v>0</v>
      </c>
      <c r="AF1255">
        <v>9</v>
      </c>
      <c r="AG1255" t="s">
        <v>251</v>
      </c>
    </row>
    <row r="1256" spans="1:33" x14ac:dyDescent="0.2">
      <c r="A1256">
        <v>1623</v>
      </c>
      <c r="B1256" t="s">
        <v>7150</v>
      </c>
      <c r="C1256" t="s">
        <v>34</v>
      </c>
      <c r="D1256" t="s">
        <v>35</v>
      </c>
      <c r="E1256" t="s">
        <v>523</v>
      </c>
      <c r="F1256" t="s">
        <v>524</v>
      </c>
      <c r="G1256" t="s">
        <v>377</v>
      </c>
      <c r="H1256" t="s">
        <v>378</v>
      </c>
      <c r="I1256" t="s">
        <v>1958</v>
      </c>
      <c r="J1256" t="s">
        <v>49</v>
      </c>
      <c r="K1256">
        <v>2012</v>
      </c>
      <c r="L1256">
        <v>2012</v>
      </c>
      <c r="M1256">
        <v>5</v>
      </c>
      <c r="N1256">
        <v>10.833</v>
      </c>
      <c r="O1256">
        <v>214.53</v>
      </c>
      <c r="P1256">
        <v>2.85</v>
      </c>
      <c r="Q1256">
        <v>0.48699999999999999</v>
      </c>
      <c r="R1256" t="s">
        <v>42</v>
      </c>
      <c r="S1256" t="s">
        <v>7151</v>
      </c>
      <c r="T1256" t="b">
        <v>1</v>
      </c>
      <c r="U1256" t="s">
        <v>4762</v>
      </c>
      <c r="V1256" t="s">
        <v>527</v>
      </c>
      <c r="W1256" t="s">
        <v>7152</v>
      </c>
      <c r="X1256" t="s">
        <v>47</v>
      </c>
      <c r="AA1256" t="s">
        <v>114</v>
      </c>
      <c r="AC1256" t="s">
        <v>63</v>
      </c>
      <c r="AD1256" t="b">
        <v>0</v>
      </c>
      <c r="AF1256">
        <v>11</v>
      </c>
      <c r="AG1256" t="s">
        <v>198</v>
      </c>
    </row>
    <row r="1257" spans="1:33" x14ac:dyDescent="0.2">
      <c r="A1257">
        <v>1612</v>
      </c>
      <c r="B1257" t="s">
        <v>7153</v>
      </c>
      <c r="C1257" t="s">
        <v>34</v>
      </c>
      <c r="D1257" t="s">
        <v>35</v>
      </c>
      <c r="E1257" t="s">
        <v>7154</v>
      </c>
      <c r="F1257" t="s">
        <v>7155</v>
      </c>
      <c r="G1257" t="s">
        <v>53</v>
      </c>
      <c r="H1257" t="s">
        <v>54</v>
      </c>
      <c r="I1257" t="s">
        <v>82</v>
      </c>
      <c r="J1257" t="s">
        <v>83</v>
      </c>
      <c r="K1257">
        <v>2011</v>
      </c>
      <c r="L1257">
        <v>2011</v>
      </c>
      <c r="M1257">
        <v>0.25</v>
      </c>
      <c r="N1257">
        <v>0.91400000000000003</v>
      </c>
      <c r="O1257">
        <v>92</v>
      </c>
      <c r="P1257">
        <v>0.3</v>
      </c>
      <c r="Q1257">
        <v>0.23100000000000001</v>
      </c>
      <c r="R1257" t="s">
        <v>84</v>
      </c>
      <c r="S1257" t="s">
        <v>7156</v>
      </c>
      <c r="T1257" t="b">
        <v>1</v>
      </c>
      <c r="U1257" t="s">
        <v>7157</v>
      </c>
      <c r="V1257" t="s">
        <v>7158</v>
      </c>
      <c r="W1257" t="s">
        <v>7159</v>
      </c>
      <c r="X1257" t="s">
        <v>47</v>
      </c>
      <c r="AA1257" t="s">
        <v>7160</v>
      </c>
      <c r="AC1257" t="s">
        <v>63</v>
      </c>
      <c r="AD1257" t="b">
        <v>0</v>
      </c>
      <c r="AF1257">
        <v>5</v>
      </c>
      <c r="AG1257" t="s">
        <v>89</v>
      </c>
    </row>
    <row r="1258" spans="1:33" x14ac:dyDescent="0.2">
      <c r="A1258">
        <v>1966</v>
      </c>
      <c r="B1258" t="s">
        <v>7161</v>
      </c>
      <c r="C1258" t="s">
        <v>34</v>
      </c>
      <c r="D1258" t="s">
        <v>35</v>
      </c>
      <c r="E1258" t="s">
        <v>892</v>
      </c>
      <c r="F1258" t="s">
        <v>893</v>
      </c>
      <c r="G1258" t="s">
        <v>377</v>
      </c>
      <c r="H1258" t="s">
        <v>378</v>
      </c>
      <c r="I1258" t="s">
        <v>1559</v>
      </c>
      <c r="J1258" t="s">
        <v>71</v>
      </c>
      <c r="K1258">
        <v>2021</v>
      </c>
      <c r="L1258">
        <v>2021</v>
      </c>
      <c r="M1258">
        <v>9.3000000000000007</v>
      </c>
      <c r="N1258">
        <v>19.893999999999998</v>
      </c>
      <c r="O1258">
        <v>139</v>
      </c>
      <c r="P1258">
        <v>7.5</v>
      </c>
      <c r="Q1258">
        <v>0.34399999999999997</v>
      </c>
      <c r="R1258" t="s">
        <v>42</v>
      </c>
      <c r="S1258" t="s">
        <v>7162</v>
      </c>
      <c r="T1258" t="b">
        <v>1</v>
      </c>
      <c r="U1258" t="s">
        <v>7163</v>
      </c>
      <c r="V1258" t="s">
        <v>896</v>
      </c>
      <c r="W1258" t="s">
        <v>7164</v>
      </c>
      <c r="X1258" t="s">
        <v>47</v>
      </c>
      <c r="AA1258" t="s">
        <v>383</v>
      </c>
      <c r="AC1258" t="s">
        <v>384</v>
      </c>
      <c r="AD1258" t="b">
        <v>0</v>
      </c>
      <c r="AF1258">
        <v>11</v>
      </c>
      <c r="AG1258" t="s">
        <v>198</v>
      </c>
    </row>
    <row r="1259" spans="1:33" x14ac:dyDescent="0.2">
      <c r="A1259">
        <v>356</v>
      </c>
      <c r="B1259" t="s">
        <v>7165</v>
      </c>
      <c r="C1259" t="s">
        <v>34</v>
      </c>
      <c r="D1259" t="s">
        <v>35</v>
      </c>
      <c r="E1259" t="s">
        <v>4112</v>
      </c>
      <c r="F1259" t="s">
        <v>4113</v>
      </c>
      <c r="G1259" t="s">
        <v>242</v>
      </c>
      <c r="H1259" t="s">
        <v>243</v>
      </c>
      <c r="I1259" t="s">
        <v>1439</v>
      </c>
      <c r="J1259" t="s">
        <v>171</v>
      </c>
      <c r="K1259">
        <v>1979</v>
      </c>
      <c r="L1259">
        <v>1979</v>
      </c>
      <c r="M1259">
        <v>7.5</v>
      </c>
      <c r="N1259">
        <v>23.74</v>
      </c>
      <c r="O1259">
        <v>52.47</v>
      </c>
      <c r="P1259">
        <v>16.5</v>
      </c>
      <c r="Q1259">
        <v>0.111</v>
      </c>
      <c r="R1259" t="s">
        <v>72</v>
      </c>
      <c r="S1259" t="s">
        <v>7166</v>
      </c>
      <c r="T1259" t="b">
        <v>1</v>
      </c>
      <c r="U1259" t="s">
        <v>7167</v>
      </c>
      <c r="V1259" t="s">
        <v>4116</v>
      </c>
      <c r="W1259" t="s">
        <v>7168</v>
      </c>
      <c r="X1259" t="s">
        <v>47</v>
      </c>
      <c r="AA1259" t="s">
        <v>1276</v>
      </c>
      <c r="AB1259" t="s">
        <v>765</v>
      </c>
      <c r="AC1259" t="s">
        <v>1277</v>
      </c>
      <c r="AD1259" t="b">
        <v>0</v>
      </c>
      <c r="AF1259">
        <v>8</v>
      </c>
      <c r="AG1259" t="s">
        <v>78</v>
      </c>
    </row>
    <row r="1260" spans="1:33" x14ac:dyDescent="0.2">
      <c r="A1260">
        <v>139</v>
      </c>
      <c r="B1260" t="s">
        <v>7169</v>
      </c>
      <c r="C1260" t="s">
        <v>34</v>
      </c>
      <c r="D1260" t="s">
        <v>35</v>
      </c>
      <c r="E1260" t="s">
        <v>7170</v>
      </c>
      <c r="F1260" t="s">
        <v>7171</v>
      </c>
      <c r="G1260" t="s">
        <v>213</v>
      </c>
      <c r="H1260" t="s">
        <v>83</v>
      </c>
      <c r="I1260" t="s">
        <v>635</v>
      </c>
      <c r="J1260" t="s">
        <v>94</v>
      </c>
      <c r="K1260">
        <v>1916</v>
      </c>
      <c r="L1260">
        <v>2007</v>
      </c>
      <c r="M1260">
        <v>3.5</v>
      </c>
      <c r="N1260">
        <v>12.842000000000001</v>
      </c>
      <c r="O1260">
        <v>326.8</v>
      </c>
      <c r="P1260">
        <v>1.1100000000000001</v>
      </c>
      <c r="Q1260">
        <v>0.78600000000000003</v>
      </c>
      <c r="R1260" t="s">
        <v>84</v>
      </c>
      <c r="S1260" t="s">
        <v>7172</v>
      </c>
      <c r="T1260" t="b">
        <v>1</v>
      </c>
      <c r="U1260" t="s">
        <v>7173</v>
      </c>
      <c r="V1260" t="s">
        <v>7174</v>
      </c>
      <c r="W1260" t="s">
        <v>7175</v>
      </c>
      <c r="X1260" t="s">
        <v>47</v>
      </c>
      <c r="AA1260" t="s">
        <v>958</v>
      </c>
      <c r="AB1260" t="s">
        <v>49</v>
      </c>
      <c r="AC1260" t="s">
        <v>959</v>
      </c>
      <c r="AD1260" t="b">
        <v>0</v>
      </c>
      <c r="AF1260">
        <v>3</v>
      </c>
      <c r="AG1260" t="s">
        <v>332</v>
      </c>
    </row>
    <row r="1261" spans="1:33" x14ac:dyDescent="0.2">
      <c r="A1261">
        <v>807</v>
      </c>
      <c r="B1261" t="s">
        <v>7176</v>
      </c>
      <c r="C1261" t="s">
        <v>34</v>
      </c>
      <c r="D1261" t="s">
        <v>35</v>
      </c>
      <c r="E1261" t="s">
        <v>7177</v>
      </c>
      <c r="F1261" t="s">
        <v>7178</v>
      </c>
      <c r="G1261" t="s">
        <v>53</v>
      </c>
      <c r="H1261" t="s">
        <v>54</v>
      </c>
      <c r="I1261" t="s">
        <v>1039</v>
      </c>
      <c r="J1261" t="s">
        <v>243</v>
      </c>
      <c r="K1261">
        <v>2004</v>
      </c>
      <c r="L1261">
        <v>2004</v>
      </c>
      <c r="M1261">
        <v>2.7</v>
      </c>
      <c r="N1261">
        <v>9.2449999999999992</v>
      </c>
      <c r="O1261">
        <v>63</v>
      </c>
      <c r="P1261">
        <v>5.4</v>
      </c>
      <c r="Q1261">
        <v>0.13900000000000001</v>
      </c>
      <c r="R1261" t="s">
        <v>72</v>
      </c>
      <c r="S1261" t="s">
        <v>7179</v>
      </c>
      <c r="T1261" t="b">
        <v>1</v>
      </c>
      <c r="U1261" t="s">
        <v>7180</v>
      </c>
      <c r="V1261" t="s">
        <v>7181</v>
      </c>
      <c r="W1261" t="s">
        <v>7182</v>
      </c>
      <c r="X1261" t="s">
        <v>47</v>
      </c>
      <c r="AA1261" t="s">
        <v>400</v>
      </c>
      <c r="AB1261" t="s">
        <v>308</v>
      </c>
      <c r="AC1261" t="s">
        <v>402</v>
      </c>
      <c r="AD1261" t="b">
        <v>0</v>
      </c>
      <c r="AF1261">
        <v>13</v>
      </c>
      <c r="AG1261" t="s">
        <v>155</v>
      </c>
    </row>
    <row r="1262" spans="1:33" x14ac:dyDescent="0.2">
      <c r="A1262">
        <v>1569</v>
      </c>
      <c r="B1262" t="s">
        <v>7183</v>
      </c>
      <c r="C1262" t="s">
        <v>34</v>
      </c>
      <c r="D1262" t="s">
        <v>35</v>
      </c>
      <c r="E1262" t="s">
        <v>757</v>
      </c>
      <c r="F1262" t="s">
        <v>758</v>
      </c>
      <c r="G1262" t="s">
        <v>53</v>
      </c>
      <c r="H1262" t="s">
        <v>54</v>
      </c>
      <c r="I1262" t="s">
        <v>147</v>
      </c>
      <c r="J1262" t="s">
        <v>148</v>
      </c>
      <c r="K1262">
        <v>2007</v>
      </c>
      <c r="L1262">
        <v>2007</v>
      </c>
      <c r="M1262">
        <v>2.5</v>
      </c>
      <c r="N1262">
        <v>9.83</v>
      </c>
      <c r="O1262">
        <v>176.1</v>
      </c>
      <c r="P1262">
        <v>1.8</v>
      </c>
      <c r="Q1262">
        <v>0.38600000000000001</v>
      </c>
      <c r="R1262" t="s">
        <v>72</v>
      </c>
      <c r="S1262" t="s">
        <v>746</v>
      </c>
      <c r="T1262" t="b">
        <v>1</v>
      </c>
      <c r="U1262" t="s">
        <v>7184</v>
      </c>
      <c r="V1262" t="s">
        <v>761</v>
      </c>
      <c r="W1262" t="s">
        <v>7185</v>
      </c>
      <c r="X1262" t="s">
        <v>47</v>
      </c>
      <c r="AA1262" t="s">
        <v>153</v>
      </c>
      <c r="AB1262" t="s">
        <v>56</v>
      </c>
      <c r="AC1262" t="s">
        <v>154</v>
      </c>
      <c r="AD1262" t="b">
        <v>0</v>
      </c>
      <c r="AF1262">
        <v>13</v>
      </c>
      <c r="AG1262" t="s">
        <v>155</v>
      </c>
    </row>
    <row r="1263" spans="1:33" x14ac:dyDescent="0.2">
      <c r="A1263">
        <v>926</v>
      </c>
      <c r="B1263" t="s">
        <v>7186</v>
      </c>
      <c r="C1263" t="s">
        <v>34</v>
      </c>
      <c r="D1263" t="s">
        <v>35</v>
      </c>
      <c r="G1263" t="s">
        <v>68</v>
      </c>
      <c r="H1263" t="s">
        <v>69</v>
      </c>
      <c r="I1263" t="s">
        <v>445</v>
      </c>
      <c r="J1263" t="s">
        <v>203</v>
      </c>
      <c r="K1263">
        <v>2001</v>
      </c>
      <c r="L1263">
        <v>2001</v>
      </c>
      <c r="M1263">
        <v>1.2E-2</v>
      </c>
      <c r="N1263">
        <v>6.6000000000000003E-2</v>
      </c>
      <c r="R1263" t="s">
        <v>72</v>
      </c>
      <c r="S1263" t="s">
        <v>2546</v>
      </c>
      <c r="T1263" t="b">
        <v>1</v>
      </c>
      <c r="U1263" t="s">
        <v>1103</v>
      </c>
      <c r="V1263" t="s">
        <v>274</v>
      </c>
      <c r="W1263" t="s">
        <v>7187</v>
      </c>
      <c r="X1263" t="s">
        <v>47</v>
      </c>
      <c r="AA1263" t="s">
        <v>114</v>
      </c>
      <c r="AC1263" t="s">
        <v>63</v>
      </c>
      <c r="AD1263" t="b">
        <v>0</v>
      </c>
      <c r="AF1263">
        <v>8</v>
      </c>
      <c r="AG1263" t="s">
        <v>78</v>
      </c>
    </row>
    <row r="1264" spans="1:33" x14ac:dyDescent="0.2">
      <c r="A1264">
        <v>1937</v>
      </c>
      <c r="B1264" t="s">
        <v>7186</v>
      </c>
      <c r="C1264" t="s">
        <v>34</v>
      </c>
      <c r="D1264" t="s">
        <v>35</v>
      </c>
      <c r="E1264" t="s">
        <v>1492</v>
      </c>
      <c r="F1264" t="s">
        <v>1493</v>
      </c>
      <c r="G1264" t="s">
        <v>53</v>
      </c>
      <c r="H1264" t="s">
        <v>54</v>
      </c>
      <c r="I1264" t="s">
        <v>811</v>
      </c>
      <c r="J1264" t="s">
        <v>94</v>
      </c>
      <c r="K1264">
        <v>2018</v>
      </c>
      <c r="L1264">
        <v>2018</v>
      </c>
      <c r="M1264">
        <v>2.29</v>
      </c>
      <c r="N1264">
        <v>7.0259999999999998</v>
      </c>
      <c r="O1264">
        <v>212.73</v>
      </c>
      <c r="P1264">
        <v>1.3</v>
      </c>
      <c r="Q1264">
        <v>0.48899999999999999</v>
      </c>
      <c r="R1264" t="s">
        <v>57</v>
      </c>
      <c r="S1264" t="s">
        <v>7188</v>
      </c>
      <c r="T1264" t="b">
        <v>1</v>
      </c>
      <c r="U1264" t="s">
        <v>5114</v>
      </c>
      <c r="V1264" t="s">
        <v>1496</v>
      </c>
      <c r="W1264" t="s">
        <v>7189</v>
      </c>
      <c r="X1264" t="s">
        <v>47</v>
      </c>
      <c r="AA1264" t="s">
        <v>114</v>
      </c>
      <c r="AC1264" t="s">
        <v>63</v>
      </c>
      <c r="AD1264" t="b">
        <v>0</v>
      </c>
      <c r="AF1264">
        <v>6</v>
      </c>
      <c r="AG1264" t="s">
        <v>64</v>
      </c>
    </row>
    <row r="1265" spans="1:33" x14ac:dyDescent="0.2">
      <c r="A1265">
        <v>2009</v>
      </c>
      <c r="B1265" t="s">
        <v>7190</v>
      </c>
      <c r="C1265" t="s">
        <v>34</v>
      </c>
      <c r="D1265" t="s">
        <v>35</v>
      </c>
      <c r="E1265" t="s">
        <v>1047</v>
      </c>
      <c r="F1265" t="s">
        <v>1048</v>
      </c>
      <c r="G1265" t="s">
        <v>312</v>
      </c>
      <c r="H1265" t="s">
        <v>313</v>
      </c>
      <c r="I1265" t="s">
        <v>2250</v>
      </c>
      <c r="J1265" t="s">
        <v>836</v>
      </c>
      <c r="K1265">
        <v>2020</v>
      </c>
      <c r="L1265">
        <v>2020</v>
      </c>
      <c r="M1265">
        <v>1.48</v>
      </c>
      <c r="N1265">
        <v>5.7169999999999996</v>
      </c>
      <c r="O1265">
        <v>121.5</v>
      </c>
      <c r="P1265">
        <v>1.49</v>
      </c>
      <c r="Q1265">
        <v>0.27600000000000002</v>
      </c>
      <c r="R1265" t="s">
        <v>84</v>
      </c>
      <c r="S1265" t="s">
        <v>7191</v>
      </c>
      <c r="T1265" t="b">
        <v>1</v>
      </c>
      <c r="U1265" t="s">
        <v>7192</v>
      </c>
      <c r="V1265" t="s">
        <v>3609</v>
      </c>
      <c r="W1265" t="s">
        <v>7193</v>
      </c>
      <c r="X1265" t="s">
        <v>47</v>
      </c>
      <c r="AA1265" t="s">
        <v>615</v>
      </c>
      <c r="AB1265" t="s">
        <v>337</v>
      </c>
      <c r="AC1265" t="s">
        <v>616</v>
      </c>
      <c r="AD1265" t="b">
        <v>0</v>
      </c>
      <c r="AF1265">
        <v>4</v>
      </c>
      <c r="AG1265" t="s">
        <v>321</v>
      </c>
    </row>
    <row r="1266" spans="1:33" x14ac:dyDescent="0.2">
      <c r="A1266">
        <v>1927</v>
      </c>
      <c r="B1266" t="s">
        <v>7194</v>
      </c>
      <c r="C1266" t="s">
        <v>34</v>
      </c>
      <c r="D1266" t="s">
        <v>35</v>
      </c>
      <c r="E1266" t="s">
        <v>7195</v>
      </c>
      <c r="F1266" t="s">
        <v>7196</v>
      </c>
      <c r="G1266" t="s">
        <v>213</v>
      </c>
      <c r="H1266" t="s">
        <v>83</v>
      </c>
      <c r="I1266" t="s">
        <v>214</v>
      </c>
      <c r="J1266" t="s">
        <v>215</v>
      </c>
      <c r="K1266">
        <v>2018</v>
      </c>
      <c r="L1266">
        <v>2018</v>
      </c>
      <c r="M1266">
        <v>0.99</v>
      </c>
      <c r="N1266">
        <v>3.718</v>
      </c>
      <c r="O1266">
        <v>132.4</v>
      </c>
      <c r="P1266">
        <v>0.88</v>
      </c>
      <c r="Q1266">
        <v>0.313</v>
      </c>
      <c r="R1266" t="s">
        <v>84</v>
      </c>
      <c r="S1266" t="s">
        <v>7197</v>
      </c>
      <c r="T1266" t="b">
        <v>1</v>
      </c>
      <c r="U1266" t="s">
        <v>7198</v>
      </c>
      <c r="V1266" t="s">
        <v>7199</v>
      </c>
      <c r="W1266" t="s">
        <v>7200</v>
      </c>
      <c r="X1266" t="s">
        <v>47</v>
      </c>
      <c r="AA1266" t="s">
        <v>114</v>
      </c>
      <c r="AC1266" t="s">
        <v>63</v>
      </c>
      <c r="AD1266" t="b">
        <v>0</v>
      </c>
      <c r="AF1266">
        <v>5</v>
      </c>
      <c r="AG1266" t="s">
        <v>89</v>
      </c>
    </row>
    <row r="1267" spans="1:33" x14ac:dyDescent="0.2">
      <c r="A1267">
        <v>357</v>
      </c>
      <c r="B1267" t="s">
        <v>7201</v>
      </c>
      <c r="C1267" t="s">
        <v>34</v>
      </c>
      <c r="D1267" t="s">
        <v>35</v>
      </c>
      <c r="E1267" t="s">
        <v>277</v>
      </c>
      <c r="F1267" t="s">
        <v>278</v>
      </c>
      <c r="G1267" t="s">
        <v>916</v>
      </c>
      <c r="H1267" t="s">
        <v>567</v>
      </c>
      <c r="I1267" t="s">
        <v>917</v>
      </c>
      <c r="J1267" t="s">
        <v>227</v>
      </c>
      <c r="K1267">
        <v>1978</v>
      </c>
      <c r="L1267">
        <v>1978</v>
      </c>
      <c r="M1267">
        <v>80</v>
      </c>
      <c r="N1267">
        <v>507.30799999999999</v>
      </c>
      <c r="O1267">
        <v>20.5</v>
      </c>
      <c r="P1267">
        <v>425</v>
      </c>
      <c r="Q1267">
        <v>5.1999999999999998E-2</v>
      </c>
      <c r="R1267" t="s">
        <v>97</v>
      </c>
      <c r="S1267" t="s">
        <v>7202</v>
      </c>
      <c r="T1267" t="b">
        <v>1</v>
      </c>
      <c r="U1267" t="s">
        <v>1529</v>
      </c>
      <c r="V1267" t="s">
        <v>7203</v>
      </c>
      <c r="W1267" t="s">
        <v>113</v>
      </c>
      <c r="X1267" t="s">
        <v>47</v>
      </c>
      <c r="AA1267" t="s">
        <v>340</v>
      </c>
      <c r="AB1267" t="s">
        <v>308</v>
      </c>
      <c r="AC1267" t="s">
        <v>341</v>
      </c>
      <c r="AD1267" t="b">
        <v>0</v>
      </c>
      <c r="AF1267">
        <v>1</v>
      </c>
      <c r="AG1267" t="s">
        <v>104</v>
      </c>
    </row>
    <row r="1268" spans="1:33" x14ac:dyDescent="0.2">
      <c r="A1268">
        <v>1089</v>
      </c>
      <c r="B1268" t="s">
        <v>7204</v>
      </c>
      <c r="C1268" t="s">
        <v>34</v>
      </c>
      <c r="D1268" t="s">
        <v>35</v>
      </c>
      <c r="E1268" t="s">
        <v>3469</v>
      </c>
      <c r="F1268" t="s">
        <v>3470</v>
      </c>
      <c r="G1268" t="s">
        <v>134</v>
      </c>
      <c r="H1268" t="s">
        <v>135</v>
      </c>
      <c r="I1268" t="s">
        <v>3471</v>
      </c>
      <c r="J1268" t="s">
        <v>215</v>
      </c>
      <c r="K1268">
        <v>1987</v>
      </c>
      <c r="L1268">
        <v>1987</v>
      </c>
      <c r="M1268">
        <v>0.45</v>
      </c>
      <c r="N1268">
        <v>1.3540000000000001</v>
      </c>
      <c r="R1268" t="s">
        <v>42</v>
      </c>
      <c r="S1268" t="s">
        <v>7205</v>
      </c>
      <c r="T1268" t="b">
        <v>1</v>
      </c>
      <c r="U1268" t="s">
        <v>1111</v>
      </c>
      <c r="V1268" t="s">
        <v>3473</v>
      </c>
      <c r="W1268" t="s">
        <v>113</v>
      </c>
      <c r="X1268" t="s">
        <v>47</v>
      </c>
      <c r="AA1268" t="s">
        <v>7206</v>
      </c>
      <c r="AC1268" t="s">
        <v>63</v>
      </c>
      <c r="AD1268" t="b">
        <v>0</v>
      </c>
      <c r="AF1268">
        <v>11</v>
      </c>
      <c r="AG1268" t="s">
        <v>198</v>
      </c>
    </row>
    <row r="1269" spans="1:33" x14ac:dyDescent="0.2">
      <c r="A1269">
        <v>362</v>
      </c>
      <c r="B1269" t="s">
        <v>7207</v>
      </c>
      <c r="C1269" t="s">
        <v>296</v>
      </c>
      <c r="D1269" t="s">
        <v>297</v>
      </c>
      <c r="E1269" t="s">
        <v>36</v>
      </c>
      <c r="F1269" t="s">
        <v>37</v>
      </c>
      <c r="G1269" t="s">
        <v>213</v>
      </c>
      <c r="H1269" t="s">
        <v>83</v>
      </c>
      <c r="I1269" t="s">
        <v>635</v>
      </c>
      <c r="J1269" t="s">
        <v>94</v>
      </c>
      <c r="K1269">
        <v>1985</v>
      </c>
      <c r="L1269">
        <v>1985</v>
      </c>
      <c r="M1269">
        <v>640</v>
      </c>
      <c r="N1269">
        <v>1063.7190000000001</v>
      </c>
      <c r="O1269">
        <v>437</v>
      </c>
      <c r="P1269">
        <v>173.27</v>
      </c>
      <c r="Q1269">
        <v>1.026</v>
      </c>
      <c r="R1269" t="s">
        <v>84</v>
      </c>
      <c r="S1269" t="s">
        <v>7208</v>
      </c>
      <c r="T1269" t="b">
        <v>1</v>
      </c>
      <c r="U1269" t="s">
        <v>7209</v>
      </c>
      <c r="V1269" t="s">
        <v>3731</v>
      </c>
      <c r="W1269" t="s">
        <v>3732</v>
      </c>
      <c r="X1269" t="s">
        <v>47</v>
      </c>
      <c r="AA1269" t="s">
        <v>958</v>
      </c>
      <c r="AB1269" t="s">
        <v>119</v>
      </c>
      <c r="AC1269" t="s">
        <v>959</v>
      </c>
      <c r="AD1269" t="b">
        <v>0</v>
      </c>
      <c r="AF1269">
        <v>3</v>
      </c>
      <c r="AG1269" t="s">
        <v>332</v>
      </c>
    </row>
    <row r="1270" spans="1:33" x14ac:dyDescent="0.2">
      <c r="A1270">
        <v>363</v>
      </c>
      <c r="B1270" t="s">
        <v>7210</v>
      </c>
      <c r="C1270" t="s">
        <v>34</v>
      </c>
      <c r="D1270" t="s">
        <v>35</v>
      </c>
      <c r="E1270" t="s">
        <v>277</v>
      </c>
      <c r="F1270" t="s">
        <v>278</v>
      </c>
      <c r="G1270" t="s">
        <v>93</v>
      </c>
      <c r="H1270" t="s">
        <v>94</v>
      </c>
      <c r="I1270" t="s">
        <v>7211</v>
      </c>
      <c r="J1270" t="s">
        <v>171</v>
      </c>
      <c r="K1270">
        <v>1971</v>
      </c>
      <c r="L1270">
        <v>1971</v>
      </c>
      <c r="M1270">
        <v>62</v>
      </c>
      <c r="N1270">
        <v>159.708</v>
      </c>
      <c r="O1270">
        <v>230.8</v>
      </c>
      <c r="P1270">
        <v>32</v>
      </c>
      <c r="Q1270">
        <v>0.53700000000000003</v>
      </c>
      <c r="R1270" t="s">
        <v>97</v>
      </c>
      <c r="S1270" t="s">
        <v>7212</v>
      </c>
      <c r="T1270" t="b">
        <v>1</v>
      </c>
      <c r="U1270" t="s">
        <v>7213</v>
      </c>
      <c r="V1270" t="s">
        <v>6722</v>
      </c>
      <c r="W1270" t="s">
        <v>7214</v>
      </c>
      <c r="X1270" t="s">
        <v>47</v>
      </c>
      <c r="AA1270" t="s">
        <v>340</v>
      </c>
      <c r="AB1270" t="s">
        <v>1459</v>
      </c>
      <c r="AC1270" t="s">
        <v>341</v>
      </c>
      <c r="AD1270" t="b">
        <v>0</v>
      </c>
      <c r="AF1270">
        <v>1</v>
      </c>
      <c r="AG1270" t="s">
        <v>104</v>
      </c>
    </row>
    <row r="1271" spans="1:33" x14ac:dyDescent="0.2">
      <c r="A1271">
        <v>745</v>
      </c>
      <c r="B1271" t="s">
        <v>7215</v>
      </c>
      <c r="C1271" t="s">
        <v>34</v>
      </c>
      <c r="D1271" t="s">
        <v>35</v>
      </c>
      <c r="E1271" t="s">
        <v>168</v>
      </c>
      <c r="F1271" t="s">
        <v>169</v>
      </c>
      <c r="G1271" t="s">
        <v>242</v>
      </c>
      <c r="H1271" t="s">
        <v>243</v>
      </c>
      <c r="I1271" t="s">
        <v>1424</v>
      </c>
      <c r="J1271" t="s">
        <v>354</v>
      </c>
      <c r="K1271">
        <v>1994</v>
      </c>
      <c r="L1271">
        <v>1994</v>
      </c>
      <c r="M1271">
        <v>1.3998999999999999</v>
      </c>
      <c r="N1271">
        <v>7.774</v>
      </c>
      <c r="O1271">
        <v>22.5</v>
      </c>
      <c r="P1271">
        <v>7.94</v>
      </c>
      <c r="Q1271">
        <v>4.9000000000000002E-2</v>
      </c>
      <c r="R1271" t="s">
        <v>72</v>
      </c>
      <c r="S1271" t="s">
        <v>5808</v>
      </c>
      <c r="T1271" t="b">
        <v>1</v>
      </c>
      <c r="U1271" t="s">
        <v>7216</v>
      </c>
      <c r="V1271" t="s">
        <v>174</v>
      </c>
      <c r="W1271" t="s">
        <v>113</v>
      </c>
      <c r="X1271" t="s">
        <v>47</v>
      </c>
      <c r="AA1271" t="s">
        <v>1428</v>
      </c>
      <c r="AB1271" t="s">
        <v>177</v>
      </c>
      <c r="AC1271" t="s">
        <v>1429</v>
      </c>
      <c r="AD1271" t="b">
        <v>0</v>
      </c>
      <c r="AF1271">
        <v>9</v>
      </c>
      <c r="AG1271" t="s">
        <v>251</v>
      </c>
    </row>
    <row r="1272" spans="1:33" x14ac:dyDescent="0.2">
      <c r="A1272">
        <v>2116</v>
      </c>
      <c r="B1272" t="s">
        <v>7217</v>
      </c>
      <c r="C1272" t="s">
        <v>34</v>
      </c>
      <c r="D1272" t="s">
        <v>35</v>
      </c>
      <c r="E1272" t="s">
        <v>7218</v>
      </c>
      <c r="F1272" t="s">
        <v>7219</v>
      </c>
      <c r="G1272" t="s">
        <v>213</v>
      </c>
      <c r="H1272" t="s">
        <v>83</v>
      </c>
      <c r="I1272" t="s">
        <v>1029</v>
      </c>
      <c r="J1272" t="s">
        <v>225</v>
      </c>
      <c r="K1272">
        <v>2024</v>
      </c>
      <c r="L1272">
        <v>2024</v>
      </c>
      <c r="M1272">
        <v>3.7</v>
      </c>
      <c r="N1272">
        <v>11</v>
      </c>
      <c r="O1272">
        <v>286.5</v>
      </c>
      <c r="P1272">
        <v>1.5</v>
      </c>
      <c r="Q1272">
        <v>0.68500000000000005</v>
      </c>
      <c r="R1272" t="s">
        <v>84</v>
      </c>
      <c r="S1272" t="s">
        <v>7220</v>
      </c>
      <c r="T1272" t="b">
        <v>1</v>
      </c>
      <c r="U1272" t="s">
        <v>7221</v>
      </c>
      <c r="V1272" t="s">
        <v>7222</v>
      </c>
      <c r="W1272" t="s">
        <v>7223</v>
      </c>
      <c r="X1272" t="s">
        <v>47</v>
      </c>
      <c r="AA1272" t="s">
        <v>7224</v>
      </c>
      <c r="AC1272" t="s">
        <v>63</v>
      </c>
      <c r="AD1272" t="b">
        <v>0</v>
      </c>
      <c r="AF1272">
        <v>3</v>
      </c>
      <c r="AG1272" t="s">
        <v>332</v>
      </c>
    </row>
    <row r="1273" spans="1:33" x14ac:dyDescent="0.2">
      <c r="A1273">
        <v>1542</v>
      </c>
      <c r="B1273" t="s">
        <v>7225</v>
      </c>
      <c r="C1273" t="s">
        <v>34</v>
      </c>
      <c r="D1273" t="s">
        <v>35</v>
      </c>
      <c r="E1273" t="s">
        <v>7226</v>
      </c>
      <c r="F1273" t="s">
        <v>7227</v>
      </c>
      <c r="G1273" t="s">
        <v>53</v>
      </c>
      <c r="H1273" t="s">
        <v>54</v>
      </c>
      <c r="I1273" t="s">
        <v>2383</v>
      </c>
      <c r="J1273" t="s">
        <v>1072</v>
      </c>
      <c r="K1273">
        <v>2011</v>
      </c>
      <c r="L1273">
        <v>2011</v>
      </c>
      <c r="M1273">
        <v>6.5</v>
      </c>
      <c r="N1273">
        <v>17.029</v>
      </c>
      <c r="O1273">
        <v>290</v>
      </c>
      <c r="P1273">
        <v>2.7</v>
      </c>
      <c r="Q1273">
        <v>0.72499999999999998</v>
      </c>
      <c r="R1273" t="s">
        <v>57</v>
      </c>
      <c r="S1273" t="s">
        <v>7228</v>
      </c>
      <c r="T1273" t="b">
        <v>1</v>
      </c>
      <c r="U1273" t="s">
        <v>6433</v>
      </c>
      <c r="V1273" t="s">
        <v>7229</v>
      </c>
      <c r="W1273" t="s">
        <v>7230</v>
      </c>
      <c r="X1273" t="s">
        <v>47</v>
      </c>
      <c r="AA1273" t="s">
        <v>7231</v>
      </c>
      <c r="AB1273" t="s">
        <v>49</v>
      </c>
      <c r="AC1273" t="s">
        <v>7232</v>
      </c>
      <c r="AD1273" t="b">
        <v>0</v>
      </c>
      <c r="AF1273">
        <v>7</v>
      </c>
      <c r="AG1273" t="s">
        <v>469</v>
      </c>
    </row>
    <row r="1274" spans="1:33" x14ac:dyDescent="0.2">
      <c r="A1274">
        <v>1841</v>
      </c>
      <c r="B1274" t="s">
        <v>7233</v>
      </c>
      <c r="C1274" t="s">
        <v>34</v>
      </c>
      <c r="D1274" t="s">
        <v>35</v>
      </c>
      <c r="E1274" t="s">
        <v>4384</v>
      </c>
      <c r="F1274" t="s">
        <v>4385</v>
      </c>
      <c r="G1274" t="s">
        <v>53</v>
      </c>
      <c r="H1274" t="s">
        <v>54</v>
      </c>
      <c r="I1274" t="s">
        <v>675</v>
      </c>
      <c r="J1274" t="s">
        <v>676</v>
      </c>
      <c r="K1274">
        <v>2015</v>
      </c>
      <c r="L1274">
        <v>2015</v>
      </c>
      <c r="M1274">
        <v>0.74</v>
      </c>
      <c r="N1274">
        <v>1.5529999999999999</v>
      </c>
      <c r="O1274">
        <v>278.42</v>
      </c>
      <c r="P1274">
        <v>0.31</v>
      </c>
      <c r="Q1274">
        <v>0.66300000000000003</v>
      </c>
      <c r="R1274" t="s">
        <v>57</v>
      </c>
      <c r="S1274" t="s">
        <v>7234</v>
      </c>
      <c r="T1274" t="b">
        <v>1</v>
      </c>
      <c r="U1274" t="s">
        <v>7235</v>
      </c>
      <c r="V1274" t="s">
        <v>4388</v>
      </c>
      <c r="W1274" t="s">
        <v>7236</v>
      </c>
      <c r="X1274" t="s">
        <v>47</v>
      </c>
      <c r="AA1274" t="s">
        <v>114</v>
      </c>
      <c r="AC1274" t="s">
        <v>63</v>
      </c>
      <c r="AD1274" t="b">
        <v>0</v>
      </c>
      <c r="AF1274">
        <v>6</v>
      </c>
      <c r="AG1274" t="s">
        <v>64</v>
      </c>
    </row>
    <row r="1275" spans="1:33" x14ac:dyDescent="0.2">
      <c r="A1275">
        <v>1832</v>
      </c>
      <c r="B1275" t="s">
        <v>7237</v>
      </c>
      <c r="C1275" t="s">
        <v>34</v>
      </c>
      <c r="D1275" t="s">
        <v>35</v>
      </c>
      <c r="E1275" t="s">
        <v>7238</v>
      </c>
      <c r="F1275" t="s">
        <v>7239</v>
      </c>
      <c r="G1275" t="s">
        <v>53</v>
      </c>
      <c r="H1275" t="s">
        <v>54</v>
      </c>
      <c r="I1275" t="s">
        <v>55</v>
      </c>
      <c r="J1275" t="s">
        <v>56</v>
      </c>
      <c r="K1275">
        <v>2006</v>
      </c>
      <c r="L1275">
        <v>2006</v>
      </c>
      <c r="M1275">
        <v>0.02</v>
      </c>
      <c r="N1275">
        <v>5.8999999999999997E-2</v>
      </c>
      <c r="O1275">
        <v>100</v>
      </c>
      <c r="P1275">
        <v>2.4E-2</v>
      </c>
      <c r="Q1275">
        <v>0.23100000000000001</v>
      </c>
      <c r="R1275" t="s">
        <v>57</v>
      </c>
      <c r="S1275" t="s">
        <v>58</v>
      </c>
      <c r="T1275" t="b">
        <v>1</v>
      </c>
      <c r="U1275" t="s">
        <v>1305</v>
      </c>
      <c r="V1275" t="s">
        <v>7240</v>
      </c>
      <c r="W1275" t="s">
        <v>7241</v>
      </c>
      <c r="X1275" t="s">
        <v>47</v>
      </c>
      <c r="AA1275" t="s">
        <v>62</v>
      </c>
      <c r="AC1275" t="s">
        <v>1271</v>
      </c>
      <c r="AD1275" t="b">
        <v>0</v>
      </c>
      <c r="AF1275">
        <v>6</v>
      </c>
      <c r="AG1275" t="s">
        <v>64</v>
      </c>
    </row>
    <row r="1276" spans="1:33" x14ac:dyDescent="0.2">
      <c r="A1276">
        <v>1838</v>
      </c>
      <c r="B1276" t="s">
        <v>7242</v>
      </c>
      <c r="C1276" t="s">
        <v>34</v>
      </c>
      <c r="D1276" t="s">
        <v>35</v>
      </c>
      <c r="E1276" t="s">
        <v>7243</v>
      </c>
      <c r="F1276" t="s">
        <v>7244</v>
      </c>
      <c r="G1276" t="s">
        <v>53</v>
      </c>
      <c r="H1276" t="s">
        <v>54</v>
      </c>
      <c r="I1276" t="s">
        <v>147</v>
      </c>
      <c r="J1276" t="s">
        <v>148</v>
      </c>
      <c r="K1276">
        <v>2016</v>
      </c>
      <c r="L1276">
        <v>2016</v>
      </c>
      <c r="M1276">
        <v>5.36</v>
      </c>
      <c r="N1276">
        <v>17.550999999999998</v>
      </c>
      <c r="O1276">
        <v>569.29999999999995</v>
      </c>
      <c r="P1276">
        <v>1.1000000000000001</v>
      </c>
      <c r="Q1276">
        <v>1.4179999999999999</v>
      </c>
      <c r="R1276" t="s">
        <v>72</v>
      </c>
      <c r="S1276" t="s">
        <v>7245</v>
      </c>
      <c r="T1276" t="b">
        <v>1</v>
      </c>
      <c r="U1276" t="s">
        <v>7246</v>
      </c>
      <c r="V1276" t="s">
        <v>7247</v>
      </c>
      <c r="W1276" t="s">
        <v>7248</v>
      </c>
      <c r="X1276" t="s">
        <v>47</v>
      </c>
      <c r="AA1276" t="s">
        <v>7242</v>
      </c>
      <c r="AC1276" t="s">
        <v>63</v>
      </c>
      <c r="AD1276" t="b">
        <v>0</v>
      </c>
      <c r="AF1276">
        <v>13</v>
      </c>
      <c r="AG1276" t="s">
        <v>155</v>
      </c>
    </row>
    <row r="1277" spans="1:33" x14ac:dyDescent="0.2">
      <c r="A1277">
        <v>2052</v>
      </c>
      <c r="B1277" t="s">
        <v>7249</v>
      </c>
      <c r="C1277" t="s">
        <v>34</v>
      </c>
      <c r="D1277" t="s">
        <v>35</v>
      </c>
      <c r="E1277" t="s">
        <v>1320</v>
      </c>
      <c r="F1277" t="s">
        <v>1321</v>
      </c>
      <c r="G1277" t="s">
        <v>53</v>
      </c>
      <c r="H1277" t="s">
        <v>54</v>
      </c>
      <c r="I1277" t="s">
        <v>147</v>
      </c>
      <c r="J1277" t="s">
        <v>148</v>
      </c>
      <c r="K1277">
        <v>2021</v>
      </c>
      <c r="L1277">
        <v>2021</v>
      </c>
      <c r="M1277">
        <v>1.82</v>
      </c>
      <c r="N1277">
        <v>5.476</v>
      </c>
      <c r="O1277">
        <v>214.3</v>
      </c>
      <c r="P1277">
        <v>1</v>
      </c>
      <c r="Q1277">
        <v>0.50600000000000001</v>
      </c>
      <c r="R1277" t="s">
        <v>72</v>
      </c>
      <c r="S1277" t="s">
        <v>7250</v>
      </c>
      <c r="T1277" t="b">
        <v>1</v>
      </c>
      <c r="U1277" t="s">
        <v>7251</v>
      </c>
      <c r="V1277" t="s">
        <v>1324</v>
      </c>
      <c r="W1277" t="s">
        <v>7252</v>
      </c>
      <c r="X1277" t="s">
        <v>47</v>
      </c>
      <c r="AA1277" t="s">
        <v>7253</v>
      </c>
      <c r="AC1277" t="s">
        <v>63</v>
      </c>
      <c r="AD1277" t="b">
        <v>0</v>
      </c>
      <c r="AF1277">
        <v>13</v>
      </c>
      <c r="AG1277" t="s">
        <v>155</v>
      </c>
    </row>
    <row r="1278" spans="1:33" x14ac:dyDescent="0.2">
      <c r="A1278">
        <v>1880</v>
      </c>
      <c r="B1278" t="s">
        <v>7254</v>
      </c>
      <c r="C1278" t="s">
        <v>34</v>
      </c>
      <c r="D1278" t="s">
        <v>35</v>
      </c>
      <c r="E1278" t="s">
        <v>7255</v>
      </c>
      <c r="F1278" t="s">
        <v>7256</v>
      </c>
      <c r="G1278" t="s">
        <v>68</v>
      </c>
      <c r="H1278" t="s">
        <v>69</v>
      </c>
      <c r="I1278" t="s">
        <v>5713</v>
      </c>
      <c r="J1278" t="s">
        <v>245</v>
      </c>
      <c r="K1278">
        <v>2016</v>
      </c>
      <c r="L1278">
        <v>2016</v>
      </c>
      <c r="M1278">
        <v>5</v>
      </c>
      <c r="N1278">
        <v>18.562000000000001</v>
      </c>
      <c r="O1278">
        <v>270.8</v>
      </c>
      <c r="P1278">
        <v>2.2000000000000002</v>
      </c>
      <c r="Q1278">
        <v>0.63100000000000001</v>
      </c>
      <c r="R1278" t="s">
        <v>72</v>
      </c>
      <c r="S1278" t="s">
        <v>7257</v>
      </c>
      <c r="T1278" t="b">
        <v>1</v>
      </c>
      <c r="U1278" t="s">
        <v>7258</v>
      </c>
      <c r="V1278" t="s">
        <v>7259</v>
      </c>
      <c r="W1278" t="s">
        <v>7260</v>
      </c>
      <c r="X1278" t="s">
        <v>47</v>
      </c>
      <c r="AA1278" t="s">
        <v>7254</v>
      </c>
      <c r="AB1278" t="s">
        <v>49</v>
      </c>
      <c r="AC1278" t="s">
        <v>7261</v>
      </c>
      <c r="AD1278" t="b">
        <v>0</v>
      </c>
      <c r="AF1278">
        <v>8</v>
      </c>
      <c r="AG1278" t="s">
        <v>78</v>
      </c>
    </row>
    <row r="1279" spans="1:33" x14ac:dyDescent="0.2">
      <c r="A1279">
        <v>2061</v>
      </c>
      <c r="B1279" t="s">
        <v>7262</v>
      </c>
      <c r="C1279" t="s">
        <v>34</v>
      </c>
      <c r="D1279" t="s">
        <v>35</v>
      </c>
      <c r="E1279" t="s">
        <v>7263</v>
      </c>
      <c r="F1279" t="s">
        <v>7264</v>
      </c>
      <c r="G1279" t="s">
        <v>242</v>
      </c>
      <c r="H1279" t="s">
        <v>243</v>
      </c>
      <c r="I1279" t="s">
        <v>4582</v>
      </c>
      <c r="J1279" t="s">
        <v>533</v>
      </c>
      <c r="K1279">
        <v>2021</v>
      </c>
      <c r="L1279">
        <v>2021</v>
      </c>
      <c r="M1279">
        <v>3.8</v>
      </c>
      <c r="N1279">
        <v>9.9149999999999991</v>
      </c>
      <c r="O1279">
        <v>62</v>
      </c>
      <c r="P1279">
        <v>6.9</v>
      </c>
      <c r="Q1279">
        <v>0.153</v>
      </c>
      <c r="R1279" t="s">
        <v>42</v>
      </c>
      <c r="S1279" t="s">
        <v>7265</v>
      </c>
      <c r="T1279" t="b">
        <v>1</v>
      </c>
      <c r="U1279" t="s">
        <v>739</v>
      </c>
      <c r="V1279" t="s">
        <v>7266</v>
      </c>
      <c r="W1279" t="s">
        <v>7267</v>
      </c>
      <c r="X1279" t="s">
        <v>47</v>
      </c>
      <c r="AA1279" t="s">
        <v>261</v>
      </c>
      <c r="AC1279" t="s">
        <v>263</v>
      </c>
      <c r="AD1279" t="b">
        <v>0</v>
      </c>
      <c r="AF1279">
        <v>10</v>
      </c>
      <c r="AG1279" t="s">
        <v>143</v>
      </c>
    </row>
    <row r="1280" spans="1:33" x14ac:dyDescent="0.2">
      <c r="A1280">
        <v>2133</v>
      </c>
      <c r="B1280" t="s">
        <v>7268</v>
      </c>
      <c r="C1280" t="s">
        <v>34</v>
      </c>
      <c r="D1280" t="s">
        <v>35</v>
      </c>
      <c r="E1280" t="s">
        <v>6118</v>
      </c>
      <c r="F1280" t="s">
        <v>6119</v>
      </c>
      <c r="G1280" t="s">
        <v>68</v>
      </c>
      <c r="H1280" t="s">
        <v>69</v>
      </c>
      <c r="I1280" t="s">
        <v>413</v>
      </c>
      <c r="J1280" t="s">
        <v>414</v>
      </c>
      <c r="K1280">
        <v>2024</v>
      </c>
      <c r="L1280">
        <v>2024</v>
      </c>
      <c r="M1280">
        <v>3.95</v>
      </c>
      <c r="N1280">
        <v>11.7</v>
      </c>
      <c r="O1280">
        <v>388.83</v>
      </c>
      <c r="P1280">
        <v>1.2</v>
      </c>
      <c r="Q1280">
        <v>0.91400000000000003</v>
      </c>
      <c r="R1280" t="s">
        <v>72</v>
      </c>
      <c r="S1280" t="s">
        <v>7269</v>
      </c>
      <c r="T1280" t="b">
        <v>1</v>
      </c>
      <c r="U1280" t="s">
        <v>7270</v>
      </c>
      <c r="V1280" t="s">
        <v>7271</v>
      </c>
      <c r="W1280" t="s">
        <v>7272</v>
      </c>
      <c r="X1280" t="s">
        <v>47</v>
      </c>
      <c r="AA1280" t="s">
        <v>969</v>
      </c>
      <c r="AB1280" t="s">
        <v>83</v>
      </c>
      <c r="AC1280" t="s">
        <v>970</v>
      </c>
      <c r="AD1280" t="b">
        <v>0</v>
      </c>
      <c r="AF1280">
        <v>8</v>
      </c>
      <c r="AG1280" t="s">
        <v>78</v>
      </c>
    </row>
    <row r="1281" spans="1:33" x14ac:dyDescent="0.2">
      <c r="A1281">
        <v>1774</v>
      </c>
      <c r="B1281" t="s">
        <v>7273</v>
      </c>
      <c r="C1281" t="s">
        <v>34</v>
      </c>
      <c r="D1281" t="s">
        <v>35</v>
      </c>
      <c r="E1281" t="s">
        <v>180</v>
      </c>
      <c r="F1281" t="s">
        <v>181</v>
      </c>
      <c r="G1281" t="s">
        <v>68</v>
      </c>
      <c r="H1281" t="s">
        <v>69</v>
      </c>
      <c r="I1281" t="s">
        <v>265</v>
      </c>
      <c r="J1281" t="s">
        <v>266</v>
      </c>
      <c r="K1281">
        <v>2014</v>
      </c>
      <c r="L1281">
        <v>2014</v>
      </c>
      <c r="M1281">
        <v>4.74</v>
      </c>
      <c r="N1281">
        <v>11.414999999999999</v>
      </c>
      <c r="O1281">
        <v>253.2</v>
      </c>
      <c r="P1281">
        <v>2.2000000000000002</v>
      </c>
      <c r="Q1281">
        <v>0.59799999999999998</v>
      </c>
      <c r="R1281" t="s">
        <v>72</v>
      </c>
      <c r="S1281" t="s">
        <v>7274</v>
      </c>
      <c r="T1281" t="b">
        <v>1</v>
      </c>
      <c r="U1281" t="s">
        <v>7275</v>
      </c>
      <c r="V1281" t="s">
        <v>429</v>
      </c>
      <c r="W1281" t="s">
        <v>7276</v>
      </c>
      <c r="X1281" t="s">
        <v>47</v>
      </c>
      <c r="AA1281" t="s">
        <v>2659</v>
      </c>
      <c r="AB1281" t="s">
        <v>227</v>
      </c>
      <c r="AC1281" t="s">
        <v>2660</v>
      </c>
      <c r="AD1281" t="b">
        <v>0</v>
      </c>
      <c r="AF1281">
        <v>8</v>
      </c>
      <c r="AG1281" t="s">
        <v>78</v>
      </c>
    </row>
    <row r="1282" spans="1:33" x14ac:dyDescent="0.2">
      <c r="A1282">
        <v>1296</v>
      </c>
      <c r="B1282" t="s">
        <v>7277</v>
      </c>
      <c r="C1282" t="s">
        <v>34</v>
      </c>
      <c r="D1282" t="s">
        <v>35</v>
      </c>
      <c r="E1282" t="s">
        <v>7278</v>
      </c>
      <c r="F1282" t="s">
        <v>7279</v>
      </c>
      <c r="G1282" t="s">
        <v>242</v>
      </c>
      <c r="H1282" t="s">
        <v>243</v>
      </c>
      <c r="I1282" t="s">
        <v>2348</v>
      </c>
      <c r="J1282" t="s">
        <v>225</v>
      </c>
      <c r="K1282">
        <v>2006</v>
      </c>
      <c r="L1282">
        <v>2006</v>
      </c>
      <c r="M1282">
        <v>1</v>
      </c>
      <c r="N1282">
        <v>2.7770000000000001</v>
      </c>
      <c r="O1282">
        <v>332</v>
      </c>
      <c r="P1282">
        <v>0.38</v>
      </c>
      <c r="Q1282">
        <v>0.73</v>
      </c>
      <c r="R1282" t="s">
        <v>72</v>
      </c>
      <c r="S1282" t="s">
        <v>7280</v>
      </c>
      <c r="T1282" t="b">
        <v>1</v>
      </c>
      <c r="U1282" t="s">
        <v>7281</v>
      </c>
      <c r="V1282" t="s">
        <v>7282</v>
      </c>
      <c r="W1282" t="s">
        <v>7283</v>
      </c>
      <c r="X1282" t="s">
        <v>47</v>
      </c>
      <c r="AA1282" t="s">
        <v>982</v>
      </c>
      <c r="AC1282" t="s">
        <v>983</v>
      </c>
      <c r="AD1282" t="b">
        <v>0</v>
      </c>
      <c r="AF1282">
        <v>9</v>
      </c>
      <c r="AG1282" t="s">
        <v>251</v>
      </c>
    </row>
    <row r="1283" spans="1:33" x14ac:dyDescent="0.2">
      <c r="A1283">
        <v>1933</v>
      </c>
      <c r="B1283" t="s">
        <v>7284</v>
      </c>
      <c r="C1283" t="s">
        <v>34</v>
      </c>
      <c r="D1283" t="s">
        <v>35</v>
      </c>
      <c r="E1283" t="s">
        <v>7285</v>
      </c>
      <c r="F1283" t="s">
        <v>7286</v>
      </c>
      <c r="G1283" t="s">
        <v>53</v>
      </c>
      <c r="H1283" t="s">
        <v>54</v>
      </c>
      <c r="I1283" t="s">
        <v>730</v>
      </c>
      <c r="J1283" t="s">
        <v>731</v>
      </c>
      <c r="K1283">
        <v>2019</v>
      </c>
      <c r="L1283">
        <v>2019</v>
      </c>
      <c r="M1283">
        <v>4.7</v>
      </c>
      <c r="N1283">
        <v>19.36</v>
      </c>
      <c r="O1283">
        <v>376.5</v>
      </c>
      <c r="P1283">
        <v>1.45</v>
      </c>
      <c r="Q1283">
        <v>0.9</v>
      </c>
      <c r="R1283" t="s">
        <v>72</v>
      </c>
      <c r="S1283" t="s">
        <v>7287</v>
      </c>
      <c r="T1283" t="b">
        <v>1</v>
      </c>
      <c r="U1283" t="s">
        <v>7288</v>
      </c>
      <c r="V1283" t="s">
        <v>7289</v>
      </c>
      <c r="W1283" t="s">
        <v>7290</v>
      </c>
      <c r="X1283" t="s">
        <v>47</v>
      </c>
      <c r="AA1283" t="s">
        <v>2952</v>
      </c>
      <c r="AB1283" t="s">
        <v>177</v>
      </c>
      <c r="AC1283" t="s">
        <v>7291</v>
      </c>
      <c r="AD1283" t="b">
        <v>0</v>
      </c>
      <c r="AF1283">
        <v>13</v>
      </c>
      <c r="AG1283" t="s">
        <v>155</v>
      </c>
    </row>
    <row r="1284" spans="1:33" x14ac:dyDescent="0.2">
      <c r="A1284">
        <v>1381</v>
      </c>
      <c r="B1284" t="s">
        <v>7292</v>
      </c>
      <c r="C1284" t="s">
        <v>34</v>
      </c>
      <c r="D1284" t="s">
        <v>35</v>
      </c>
      <c r="E1284" t="s">
        <v>7293</v>
      </c>
      <c r="F1284" t="s">
        <v>7294</v>
      </c>
      <c r="G1284" t="s">
        <v>224</v>
      </c>
      <c r="H1284" t="s">
        <v>225</v>
      </c>
      <c r="I1284" t="s">
        <v>2137</v>
      </c>
      <c r="J1284" t="s">
        <v>676</v>
      </c>
      <c r="K1284">
        <v>2008</v>
      </c>
      <c r="L1284">
        <v>2008</v>
      </c>
      <c r="M1284">
        <v>4.8</v>
      </c>
      <c r="N1284">
        <v>13.362</v>
      </c>
      <c r="O1284">
        <v>190</v>
      </c>
      <c r="P1284">
        <v>3.15</v>
      </c>
      <c r="Q1284">
        <v>0.42299999999999999</v>
      </c>
      <c r="R1284" t="s">
        <v>57</v>
      </c>
      <c r="S1284" t="s">
        <v>7295</v>
      </c>
      <c r="T1284" t="b">
        <v>1</v>
      </c>
      <c r="U1284" t="s">
        <v>4666</v>
      </c>
      <c r="V1284" t="s">
        <v>7296</v>
      </c>
      <c r="W1284" t="s">
        <v>7297</v>
      </c>
      <c r="X1284" t="s">
        <v>47</v>
      </c>
      <c r="AA1284" t="s">
        <v>102</v>
      </c>
      <c r="AB1284" t="s">
        <v>7298</v>
      </c>
      <c r="AC1284" t="s">
        <v>103</v>
      </c>
      <c r="AD1284" t="b">
        <v>0</v>
      </c>
      <c r="AF1284">
        <v>2</v>
      </c>
      <c r="AG1284" t="s">
        <v>287</v>
      </c>
    </row>
    <row r="1285" spans="1:33" x14ac:dyDescent="0.2">
      <c r="A1285">
        <v>1901</v>
      </c>
      <c r="B1285" t="s">
        <v>7299</v>
      </c>
      <c r="C1285" t="s">
        <v>34</v>
      </c>
      <c r="D1285" t="s">
        <v>35</v>
      </c>
      <c r="E1285" t="s">
        <v>7300</v>
      </c>
      <c r="F1285" t="s">
        <v>7301</v>
      </c>
      <c r="G1285" t="s">
        <v>53</v>
      </c>
      <c r="H1285" t="s">
        <v>54</v>
      </c>
      <c r="I1285" t="s">
        <v>730</v>
      </c>
      <c r="J1285" t="s">
        <v>731</v>
      </c>
      <c r="K1285">
        <v>2018</v>
      </c>
      <c r="L1285">
        <v>2018</v>
      </c>
      <c r="M1285">
        <v>8.99</v>
      </c>
      <c r="N1285">
        <v>28.248999999999999</v>
      </c>
      <c r="O1285">
        <v>139.69999999999999</v>
      </c>
      <c r="P1285">
        <v>7.5</v>
      </c>
      <c r="Q1285">
        <v>0.33300000000000002</v>
      </c>
      <c r="R1285" t="s">
        <v>72</v>
      </c>
      <c r="S1285" t="s">
        <v>7302</v>
      </c>
      <c r="T1285" t="b">
        <v>1</v>
      </c>
      <c r="U1285" t="s">
        <v>7303</v>
      </c>
      <c r="V1285" t="s">
        <v>7304</v>
      </c>
      <c r="W1285" t="s">
        <v>7305</v>
      </c>
      <c r="X1285" t="s">
        <v>47</v>
      </c>
      <c r="AA1285" t="s">
        <v>2952</v>
      </c>
      <c r="AB1285" t="s">
        <v>49</v>
      </c>
      <c r="AC1285" t="s">
        <v>7291</v>
      </c>
      <c r="AD1285" t="b">
        <v>0</v>
      </c>
      <c r="AF1285">
        <v>13</v>
      </c>
      <c r="AG1285" t="s">
        <v>155</v>
      </c>
    </row>
    <row r="1286" spans="1:33" x14ac:dyDescent="0.2">
      <c r="A1286">
        <v>364</v>
      </c>
      <c r="B1286" t="s">
        <v>7306</v>
      </c>
      <c r="C1286" t="s">
        <v>34</v>
      </c>
      <c r="D1286" t="s">
        <v>35</v>
      </c>
      <c r="E1286" t="s">
        <v>542</v>
      </c>
      <c r="F1286" t="s">
        <v>543</v>
      </c>
      <c r="G1286" t="s">
        <v>377</v>
      </c>
      <c r="H1286" t="s">
        <v>378</v>
      </c>
      <c r="I1286" t="s">
        <v>4493</v>
      </c>
      <c r="J1286" t="s">
        <v>533</v>
      </c>
      <c r="K1286">
        <v>1950</v>
      </c>
      <c r="L1286">
        <v>2010</v>
      </c>
      <c r="M1286">
        <v>1.9</v>
      </c>
      <c r="N1286">
        <v>10.321</v>
      </c>
      <c r="O1286">
        <v>327</v>
      </c>
      <c r="P1286">
        <v>0.8</v>
      </c>
      <c r="Q1286">
        <v>0.66</v>
      </c>
      <c r="R1286" t="s">
        <v>42</v>
      </c>
      <c r="S1286" t="s">
        <v>7307</v>
      </c>
      <c r="T1286" t="b">
        <v>1</v>
      </c>
      <c r="U1286" t="s">
        <v>7308</v>
      </c>
      <c r="V1286" t="s">
        <v>547</v>
      </c>
      <c r="W1286" t="s">
        <v>7309</v>
      </c>
      <c r="X1286" t="s">
        <v>47</v>
      </c>
      <c r="AA1286" t="s">
        <v>7310</v>
      </c>
      <c r="AB1286" t="s">
        <v>49</v>
      </c>
      <c r="AC1286" t="s">
        <v>7311</v>
      </c>
      <c r="AD1286" t="b">
        <v>0</v>
      </c>
      <c r="AF1286">
        <v>12</v>
      </c>
      <c r="AG1286" t="s">
        <v>51</v>
      </c>
    </row>
    <row r="1287" spans="1:33" x14ac:dyDescent="0.2">
      <c r="A1287">
        <v>865</v>
      </c>
      <c r="B1287" t="s">
        <v>7312</v>
      </c>
      <c r="C1287" t="s">
        <v>34</v>
      </c>
      <c r="D1287" t="s">
        <v>35</v>
      </c>
      <c r="E1287" t="s">
        <v>7313</v>
      </c>
      <c r="F1287" t="s">
        <v>7314</v>
      </c>
      <c r="G1287" t="s">
        <v>93</v>
      </c>
      <c r="H1287" t="s">
        <v>94</v>
      </c>
      <c r="I1287" t="s">
        <v>3695</v>
      </c>
      <c r="J1287" t="s">
        <v>485</v>
      </c>
      <c r="K1287">
        <v>1997</v>
      </c>
      <c r="L1287">
        <v>1997</v>
      </c>
      <c r="M1287">
        <v>8.5000000000000006E-2</v>
      </c>
      <c r="N1287">
        <v>0.35</v>
      </c>
      <c r="O1287">
        <v>54</v>
      </c>
      <c r="R1287" t="s">
        <v>97</v>
      </c>
      <c r="S1287" t="s">
        <v>7315</v>
      </c>
      <c r="T1287" t="b">
        <v>1</v>
      </c>
      <c r="U1287" t="s">
        <v>111</v>
      </c>
      <c r="V1287" t="s">
        <v>7316</v>
      </c>
      <c r="W1287" t="s">
        <v>113</v>
      </c>
      <c r="X1287" t="s">
        <v>47</v>
      </c>
      <c r="AA1287" t="s">
        <v>340</v>
      </c>
      <c r="AC1287" t="s">
        <v>341</v>
      </c>
      <c r="AD1287" t="b">
        <v>0</v>
      </c>
      <c r="AF1287">
        <v>1</v>
      </c>
      <c r="AG1287" t="s">
        <v>104</v>
      </c>
    </row>
    <row r="1288" spans="1:33" x14ac:dyDescent="0.2">
      <c r="A1288">
        <v>1627</v>
      </c>
      <c r="B1288" t="s">
        <v>7317</v>
      </c>
      <c r="C1288" t="s">
        <v>34</v>
      </c>
      <c r="D1288" t="s">
        <v>35</v>
      </c>
      <c r="E1288" t="s">
        <v>7318</v>
      </c>
      <c r="F1288" t="s">
        <v>7319</v>
      </c>
      <c r="G1288" t="s">
        <v>134</v>
      </c>
      <c r="H1288" t="s">
        <v>135</v>
      </c>
      <c r="I1288" t="s">
        <v>345</v>
      </c>
      <c r="J1288" t="s">
        <v>256</v>
      </c>
      <c r="K1288">
        <v>2010</v>
      </c>
      <c r="L1288">
        <v>2010</v>
      </c>
      <c r="M1288">
        <v>0.5</v>
      </c>
      <c r="N1288">
        <v>2.8370000000000002</v>
      </c>
      <c r="O1288">
        <v>74.099999999999994</v>
      </c>
      <c r="P1288">
        <v>0.75</v>
      </c>
      <c r="Q1288">
        <v>0.185</v>
      </c>
      <c r="R1288" t="s">
        <v>42</v>
      </c>
      <c r="S1288" t="s">
        <v>7320</v>
      </c>
      <c r="T1288" t="b">
        <v>1</v>
      </c>
      <c r="U1288" t="s">
        <v>7321</v>
      </c>
      <c r="V1288" t="s">
        <v>7322</v>
      </c>
      <c r="W1288" t="s">
        <v>7323</v>
      </c>
      <c r="X1288" t="s">
        <v>47</v>
      </c>
      <c r="AA1288" t="s">
        <v>5340</v>
      </c>
      <c r="AB1288" t="s">
        <v>49</v>
      </c>
      <c r="AC1288" t="s">
        <v>5341</v>
      </c>
      <c r="AD1288" t="b">
        <v>0</v>
      </c>
      <c r="AF1288">
        <v>10</v>
      </c>
      <c r="AG1288" t="s">
        <v>143</v>
      </c>
    </row>
    <row r="1289" spans="1:33" x14ac:dyDescent="0.2">
      <c r="A1289">
        <v>365</v>
      </c>
      <c r="B1289" t="s">
        <v>7324</v>
      </c>
      <c r="C1289" t="s">
        <v>34</v>
      </c>
      <c r="D1289" t="s">
        <v>35</v>
      </c>
      <c r="E1289" t="s">
        <v>2350</v>
      </c>
      <c r="F1289" t="s">
        <v>2351</v>
      </c>
      <c r="G1289" t="s">
        <v>134</v>
      </c>
      <c r="H1289" t="s">
        <v>135</v>
      </c>
      <c r="I1289" t="s">
        <v>191</v>
      </c>
      <c r="J1289" t="s">
        <v>192</v>
      </c>
      <c r="K1289">
        <v>1982</v>
      </c>
      <c r="L1289">
        <v>1982</v>
      </c>
      <c r="M1289">
        <v>65</v>
      </c>
      <c r="N1289">
        <v>254.874</v>
      </c>
      <c r="O1289">
        <v>660</v>
      </c>
      <c r="P1289">
        <v>11.5</v>
      </c>
      <c r="Q1289">
        <v>1.57</v>
      </c>
      <c r="R1289" t="s">
        <v>42</v>
      </c>
      <c r="S1289" t="s">
        <v>7325</v>
      </c>
      <c r="T1289" t="b">
        <v>1</v>
      </c>
      <c r="U1289" t="s">
        <v>7326</v>
      </c>
      <c r="V1289" t="s">
        <v>2355</v>
      </c>
      <c r="W1289" t="s">
        <v>7327</v>
      </c>
      <c r="X1289" t="s">
        <v>47</v>
      </c>
      <c r="AA1289" t="s">
        <v>7328</v>
      </c>
      <c r="AB1289" t="s">
        <v>49</v>
      </c>
      <c r="AC1289" t="s">
        <v>7329</v>
      </c>
      <c r="AD1289" t="b">
        <v>0</v>
      </c>
      <c r="AF1289">
        <v>11</v>
      </c>
      <c r="AG1289" t="s">
        <v>198</v>
      </c>
    </row>
    <row r="1290" spans="1:33" x14ac:dyDescent="0.2">
      <c r="A1290">
        <v>1836</v>
      </c>
      <c r="B1290" t="s">
        <v>7330</v>
      </c>
      <c r="C1290" t="s">
        <v>34</v>
      </c>
      <c r="D1290" t="s">
        <v>35</v>
      </c>
      <c r="E1290" t="s">
        <v>7331</v>
      </c>
      <c r="F1290" t="s">
        <v>7332</v>
      </c>
      <c r="G1290" t="s">
        <v>377</v>
      </c>
      <c r="H1290" t="s">
        <v>378</v>
      </c>
      <c r="I1290" t="s">
        <v>1958</v>
      </c>
      <c r="J1290" t="s">
        <v>49</v>
      </c>
      <c r="K1290">
        <v>2015</v>
      </c>
      <c r="L1290">
        <v>2015</v>
      </c>
      <c r="M1290">
        <v>1.25</v>
      </c>
      <c r="N1290">
        <v>3.9950000000000001</v>
      </c>
      <c r="O1290">
        <v>211.1</v>
      </c>
      <c r="P1290">
        <v>0.7</v>
      </c>
      <c r="Q1290">
        <v>0.496</v>
      </c>
      <c r="R1290" t="s">
        <v>42</v>
      </c>
      <c r="S1290" t="s">
        <v>7333</v>
      </c>
      <c r="T1290" t="b">
        <v>1</v>
      </c>
      <c r="U1290" t="s">
        <v>7334</v>
      </c>
      <c r="V1290" t="s">
        <v>7335</v>
      </c>
      <c r="W1290" t="s">
        <v>7336</v>
      </c>
      <c r="X1290" t="s">
        <v>47</v>
      </c>
      <c r="AA1290" t="s">
        <v>114</v>
      </c>
      <c r="AC1290" t="s">
        <v>63</v>
      </c>
      <c r="AD1290" t="b">
        <v>0</v>
      </c>
      <c r="AF1290">
        <v>11</v>
      </c>
      <c r="AG1290" t="s">
        <v>198</v>
      </c>
    </row>
    <row r="1291" spans="1:33" x14ac:dyDescent="0.2">
      <c r="A1291">
        <v>1200</v>
      </c>
      <c r="B1291" t="s">
        <v>7337</v>
      </c>
      <c r="C1291" t="s">
        <v>34</v>
      </c>
      <c r="D1291" t="s">
        <v>35</v>
      </c>
      <c r="E1291" t="s">
        <v>4112</v>
      </c>
      <c r="F1291" t="s">
        <v>4113</v>
      </c>
      <c r="G1291" t="s">
        <v>242</v>
      </c>
      <c r="H1291" t="s">
        <v>243</v>
      </c>
      <c r="I1291" t="s">
        <v>3251</v>
      </c>
      <c r="J1291" t="s">
        <v>1242</v>
      </c>
      <c r="K1291">
        <v>1921</v>
      </c>
      <c r="L1291">
        <v>1921</v>
      </c>
      <c r="M1291">
        <v>0.35</v>
      </c>
      <c r="N1291">
        <v>1.5129999999999999</v>
      </c>
      <c r="O1291">
        <v>17</v>
      </c>
      <c r="P1291">
        <v>2.54</v>
      </c>
      <c r="Q1291">
        <v>3.9E-2</v>
      </c>
      <c r="R1291" t="s">
        <v>72</v>
      </c>
      <c r="S1291" t="s">
        <v>7338</v>
      </c>
      <c r="T1291" t="b">
        <v>1</v>
      </c>
      <c r="U1291" t="s">
        <v>7339</v>
      </c>
      <c r="V1291" t="s">
        <v>4116</v>
      </c>
      <c r="W1291" t="s">
        <v>113</v>
      </c>
      <c r="X1291" t="s">
        <v>47</v>
      </c>
      <c r="AA1291" t="s">
        <v>5829</v>
      </c>
      <c r="AC1291" t="s">
        <v>63</v>
      </c>
      <c r="AD1291" t="b">
        <v>0</v>
      </c>
      <c r="AF1291">
        <v>8</v>
      </c>
      <c r="AG1291" t="s">
        <v>78</v>
      </c>
    </row>
    <row r="1292" spans="1:33" x14ac:dyDescent="0.2">
      <c r="A1292">
        <v>2088</v>
      </c>
      <c r="B1292" t="s">
        <v>7340</v>
      </c>
      <c r="C1292" t="s">
        <v>574</v>
      </c>
      <c r="D1292" t="s">
        <v>575</v>
      </c>
      <c r="E1292" t="s">
        <v>36</v>
      </c>
      <c r="F1292" t="s">
        <v>37</v>
      </c>
      <c r="G1292" t="s">
        <v>53</v>
      </c>
      <c r="H1292" t="s">
        <v>54</v>
      </c>
      <c r="I1292" t="s">
        <v>604</v>
      </c>
      <c r="J1292" t="s">
        <v>426</v>
      </c>
      <c r="K1292">
        <v>2012</v>
      </c>
      <c r="L1292">
        <v>2012</v>
      </c>
      <c r="M1292">
        <v>-0.5</v>
      </c>
      <c r="N1292">
        <v>-1E-3</v>
      </c>
      <c r="P1292">
        <v>0.5</v>
      </c>
      <c r="R1292" t="s">
        <v>72</v>
      </c>
      <c r="S1292" t="s">
        <v>7341</v>
      </c>
      <c r="T1292" t="b">
        <v>1</v>
      </c>
      <c r="U1292" t="s">
        <v>3367</v>
      </c>
      <c r="V1292" t="s">
        <v>45</v>
      </c>
      <c r="W1292" t="s">
        <v>113</v>
      </c>
      <c r="X1292" t="s">
        <v>47</v>
      </c>
      <c r="AA1292" t="s">
        <v>1924</v>
      </c>
      <c r="AB1292" t="s">
        <v>401</v>
      </c>
      <c r="AC1292" t="s">
        <v>1925</v>
      </c>
      <c r="AD1292" t="b">
        <v>0</v>
      </c>
      <c r="AF1292">
        <v>13</v>
      </c>
      <c r="AG1292" t="s">
        <v>155</v>
      </c>
    </row>
    <row r="1293" spans="1:33" x14ac:dyDescent="0.2">
      <c r="A1293">
        <v>896</v>
      </c>
      <c r="B1293" t="s">
        <v>7342</v>
      </c>
      <c r="C1293" t="s">
        <v>34</v>
      </c>
      <c r="D1293" t="s">
        <v>35</v>
      </c>
      <c r="E1293" t="s">
        <v>7343</v>
      </c>
      <c r="F1293" t="s">
        <v>7344</v>
      </c>
      <c r="G1293" t="s">
        <v>224</v>
      </c>
      <c r="H1293" t="s">
        <v>225</v>
      </c>
      <c r="I1293" t="s">
        <v>4804</v>
      </c>
      <c r="J1293" t="s">
        <v>171</v>
      </c>
      <c r="K1293">
        <v>2004</v>
      </c>
      <c r="L1293">
        <v>2004</v>
      </c>
      <c r="M1293">
        <v>0.08</v>
      </c>
      <c r="N1293">
        <v>0.221</v>
      </c>
      <c r="R1293" t="s">
        <v>57</v>
      </c>
      <c r="S1293" t="s">
        <v>7345</v>
      </c>
      <c r="T1293" t="b">
        <v>1</v>
      </c>
      <c r="U1293" t="s">
        <v>637</v>
      </c>
      <c r="V1293" t="s">
        <v>7346</v>
      </c>
      <c r="W1293" t="s">
        <v>7347</v>
      </c>
      <c r="X1293" t="s">
        <v>47</v>
      </c>
      <c r="AA1293" t="s">
        <v>102</v>
      </c>
      <c r="AC1293" t="s">
        <v>103</v>
      </c>
      <c r="AD1293" t="b">
        <v>0</v>
      </c>
      <c r="AF1293">
        <v>2</v>
      </c>
      <c r="AG1293" t="s">
        <v>287</v>
      </c>
    </row>
    <row r="1294" spans="1:33" x14ac:dyDescent="0.2">
      <c r="A1294">
        <v>1143</v>
      </c>
      <c r="B1294" t="s">
        <v>7348</v>
      </c>
      <c r="C1294" t="s">
        <v>34</v>
      </c>
      <c r="D1294" t="s">
        <v>35</v>
      </c>
      <c r="E1294" t="s">
        <v>180</v>
      </c>
      <c r="F1294" t="s">
        <v>181</v>
      </c>
      <c r="G1294" t="s">
        <v>134</v>
      </c>
      <c r="H1294" t="s">
        <v>135</v>
      </c>
      <c r="I1294" t="s">
        <v>191</v>
      </c>
      <c r="J1294" t="s">
        <v>192</v>
      </c>
      <c r="K1294">
        <v>1999</v>
      </c>
      <c r="L1294">
        <v>1999</v>
      </c>
      <c r="M1294">
        <v>0.7</v>
      </c>
      <c r="N1294">
        <v>4.04</v>
      </c>
      <c r="R1294" t="s">
        <v>42</v>
      </c>
      <c r="S1294" t="s">
        <v>7349</v>
      </c>
      <c r="T1294" t="b">
        <v>1</v>
      </c>
      <c r="U1294" t="s">
        <v>7350</v>
      </c>
      <c r="V1294" t="s">
        <v>185</v>
      </c>
      <c r="W1294" t="s">
        <v>7351</v>
      </c>
      <c r="X1294" t="s">
        <v>47</v>
      </c>
      <c r="AA1294" t="s">
        <v>479</v>
      </c>
      <c r="AC1294" t="s">
        <v>63</v>
      </c>
      <c r="AD1294" t="b">
        <v>0</v>
      </c>
      <c r="AF1294">
        <v>11</v>
      </c>
      <c r="AG1294" t="s">
        <v>198</v>
      </c>
    </row>
    <row r="1295" spans="1:33" x14ac:dyDescent="0.2">
      <c r="A1295">
        <v>366</v>
      </c>
      <c r="B1295" t="s">
        <v>7352</v>
      </c>
      <c r="C1295" t="s">
        <v>34</v>
      </c>
      <c r="D1295" t="s">
        <v>35</v>
      </c>
      <c r="E1295" t="s">
        <v>5092</v>
      </c>
      <c r="F1295" t="s">
        <v>5093</v>
      </c>
      <c r="G1295" t="s">
        <v>134</v>
      </c>
      <c r="H1295" t="s">
        <v>135</v>
      </c>
      <c r="I1295" t="s">
        <v>345</v>
      </c>
      <c r="J1295" t="s">
        <v>256</v>
      </c>
      <c r="K1295">
        <v>1968</v>
      </c>
      <c r="L1295">
        <v>1968</v>
      </c>
      <c r="M1295">
        <v>180</v>
      </c>
      <c r="N1295">
        <v>935.24</v>
      </c>
      <c r="O1295">
        <v>650</v>
      </c>
      <c r="P1295">
        <v>33.700000000000003</v>
      </c>
      <c r="Q1295">
        <v>1.484</v>
      </c>
      <c r="R1295" t="s">
        <v>42</v>
      </c>
      <c r="S1295" t="s">
        <v>7353</v>
      </c>
      <c r="T1295" t="b">
        <v>1</v>
      </c>
      <c r="U1295" t="s">
        <v>7354</v>
      </c>
      <c r="V1295" t="s">
        <v>5096</v>
      </c>
      <c r="W1295" t="s">
        <v>7355</v>
      </c>
      <c r="X1295" t="s">
        <v>47</v>
      </c>
      <c r="AA1295" t="s">
        <v>7024</v>
      </c>
      <c r="AB1295" t="s">
        <v>49</v>
      </c>
      <c r="AC1295" t="s">
        <v>7356</v>
      </c>
      <c r="AD1295" t="b">
        <v>0</v>
      </c>
      <c r="AF1295">
        <v>10</v>
      </c>
      <c r="AG1295" t="s">
        <v>143</v>
      </c>
    </row>
    <row r="1296" spans="1:33" x14ac:dyDescent="0.2">
      <c r="A1296">
        <v>367</v>
      </c>
      <c r="B1296" t="s">
        <v>7357</v>
      </c>
      <c r="C1296" t="s">
        <v>34</v>
      </c>
      <c r="D1296" t="s">
        <v>35</v>
      </c>
      <c r="E1296" t="s">
        <v>132</v>
      </c>
      <c r="F1296" t="s">
        <v>133</v>
      </c>
      <c r="G1296" t="s">
        <v>134</v>
      </c>
      <c r="H1296" t="s">
        <v>135</v>
      </c>
      <c r="I1296" t="s">
        <v>2074</v>
      </c>
      <c r="J1296" t="s">
        <v>225</v>
      </c>
      <c r="K1296">
        <v>1973</v>
      </c>
      <c r="L1296">
        <v>1973</v>
      </c>
      <c r="M1296">
        <v>52</v>
      </c>
      <c r="N1296">
        <v>244.48599999999999</v>
      </c>
      <c r="O1296">
        <v>267.7</v>
      </c>
      <c r="P1296">
        <v>22.6</v>
      </c>
      <c r="Q1296">
        <v>0.63900000000000001</v>
      </c>
      <c r="R1296" t="s">
        <v>42</v>
      </c>
      <c r="S1296" t="s">
        <v>7358</v>
      </c>
      <c r="T1296" t="b">
        <v>1</v>
      </c>
      <c r="U1296" t="s">
        <v>7359</v>
      </c>
      <c r="V1296" t="s">
        <v>139</v>
      </c>
      <c r="W1296" t="s">
        <v>7360</v>
      </c>
      <c r="X1296" t="s">
        <v>47</v>
      </c>
      <c r="AA1296" t="s">
        <v>2078</v>
      </c>
      <c r="AB1296" t="s">
        <v>49</v>
      </c>
      <c r="AC1296" t="s">
        <v>2079</v>
      </c>
      <c r="AD1296" t="b">
        <v>0</v>
      </c>
      <c r="AF1296">
        <v>10</v>
      </c>
      <c r="AG1296" t="s">
        <v>143</v>
      </c>
    </row>
    <row r="1297" spans="1:33" x14ac:dyDescent="0.2">
      <c r="A1297">
        <v>368</v>
      </c>
      <c r="B1297" t="s">
        <v>7361</v>
      </c>
      <c r="C1297" t="s">
        <v>34</v>
      </c>
      <c r="D1297" t="s">
        <v>35</v>
      </c>
      <c r="E1297" t="s">
        <v>1085</v>
      </c>
      <c r="F1297" t="s">
        <v>1086</v>
      </c>
      <c r="G1297" t="s">
        <v>134</v>
      </c>
      <c r="H1297" t="s">
        <v>135</v>
      </c>
      <c r="I1297" t="s">
        <v>1094</v>
      </c>
      <c r="J1297" t="s">
        <v>426</v>
      </c>
      <c r="K1297">
        <v>1950</v>
      </c>
      <c r="L1297">
        <v>2020</v>
      </c>
      <c r="M1297">
        <v>6.5</v>
      </c>
      <c r="N1297">
        <v>26.773</v>
      </c>
      <c r="O1297">
        <v>55</v>
      </c>
      <c r="P1297">
        <v>14</v>
      </c>
      <c r="Q1297">
        <v>0.129</v>
      </c>
      <c r="R1297" t="s">
        <v>42</v>
      </c>
      <c r="S1297" t="s">
        <v>6676</v>
      </c>
      <c r="T1297" t="b">
        <v>1</v>
      </c>
      <c r="U1297" t="s">
        <v>7362</v>
      </c>
      <c r="V1297" t="s">
        <v>1089</v>
      </c>
      <c r="W1297" t="s">
        <v>7363</v>
      </c>
      <c r="X1297" t="s">
        <v>47</v>
      </c>
      <c r="AA1297" t="s">
        <v>5155</v>
      </c>
      <c r="AB1297" t="s">
        <v>49</v>
      </c>
      <c r="AC1297" t="s">
        <v>6679</v>
      </c>
      <c r="AD1297" t="b">
        <v>0</v>
      </c>
      <c r="AF1297">
        <v>10</v>
      </c>
      <c r="AG1297" t="s">
        <v>143</v>
      </c>
    </row>
    <row r="1298" spans="1:33" x14ac:dyDescent="0.2">
      <c r="A1298">
        <v>1130</v>
      </c>
      <c r="B1298" t="s">
        <v>7364</v>
      </c>
      <c r="C1298" t="s">
        <v>34</v>
      </c>
      <c r="D1298" t="s">
        <v>35</v>
      </c>
      <c r="E1298" t="s">
        <v>7365</v>
      </c>
      <c r="F1298" t="s">
        <v>7366</v>
      </c>
      <c r="G1298" t="s">
        <v>312</v>
      </c>
      <c r="H1298" t="s">
        <v>313</v>
      </c>
      <c r="I1298" t="s">
        <v>618</v>
      </c>
      <c r="J1298" t="s">
        <v>227</v>
      </c>
      <c r="K1298">
        <v>2000</v>
      </c>
      <c r="L1298">
        <v>2000</v>
      </c>
      <c r="M1298">
        <v>6.5000000000000002E-2</v>
      </c>
      <c r="N1298">
        <v>5.7000000000000002E-2</v>
      </c>
      <c r="R1298" t="s">
        <v>84</v>
      </c>
      <c r="S1298" t="s">
        <v>7367</v>
      </c>
      <c r="T1298" t="b">
        <v>1</v>
      </c>
      <c r="U1298" t="s">
        <v>754</v>
      </c>
      <c r="V1298" t="s">
        <v>7368</v>
      </c>
      <c r="W1298" t="s">
        <v>7369</v>
      </c>
      <c r="X1298" t="s">
        <v>47</v>
      </c>
      <c r="AA1298" t="s">
        <v>7370</v>
      </c>
      <c r="AC1298" t="s">
        <v>63</v>
      </c>
      <c r="AD1298" t="b">
        <v>0</v>
      </c>
      <c r="AF1298">
        <v>4</v>
      </c>
      <c r="AG1298" t="s">
        <v>321</v>
      </c>
    </row>
    <row r="1299" spans="1:33" x14ac:dyDescent="0.2">
      <c r="A1299">
        <v>1524</v>
      </c>
      <c r="B1299" t="s">
        <v>7371</v>
      </c>
      <c r="C1299" t="s">
        <v>34</v>
      </c>
      <c r="D1299" t="s">
        <v>35</v>
      </c>
      <c r="E1299" t="s">
        <v>7372</v>
      </c>
      <c r="F1299" t="s">
        <v>7373</v>
      </c>
      <c r="G1299" t="s">
        <v>68</v>
      </c>
      <c r="H1299" t="s">
        <v>69</v>
      </c>
      <c r="I1299" t="s">
        <v>265</v>
      </c>
      <c r="J1299" t="s">
        <v>266</v>
      </c>
      <c r="K1299">
        <v>2009</v>
      </c>
      <c r="L1299">
        <v>2009</v>
      </c>
      <c r="M1299">
        <v>0.55000000000000004</v>
      </c>
      <c r="N1299">
        <v>0.871</v>
      </c>
      <c r="O1299">
        <v>280</v>
      </c>
      <c r="P1299">
        <v>0.24</v>
      </c>
      <c r="Q1299">
        <v>0.63700000000000001</v>
      </c>
      <c r="R1299" t="s">
        <v>72</v>
      </c>
      <c r="S1299" t="s">
        <v>7374</v>
      </c>
      <c r="T1299" t="b">
        <v>1</v>
      </c>
      <c r="U1299" t="s">
        <v>7375</v>
      </c>
      <c r="V1299" t="s">
        <v>7376</v>
      </c>
      <c r="W1299" t="s">
        <v>7377</v>
      </c>
      <c r="X1299" t="s">
        <v>47</v>
      </c>
      <c r="AA1299" t="s">
        <v>2659</v>
      </c>
      <c r="AC1299" t="s">
        <v>2660</v>
      </c>
      <c r="AD1299" t="b">
        <v>0</v>
      </c>
      <c r="AF1299">
        <v>8</v>
      </c>
      <c r="AG1299" t="s">
        <v>78</v>
      </c>
    </row>
    <row r="1300" spans="1:33" x14ac:dyDescent="0.2">
      <c r="A1300">
        <v>369</v>
      </c>
      <c r="B1300" t="s">
        <v>7378</v>
      </c>
      <c r="C1300" t="s">
        <v>34</v>
      </c>
      <c r="D1300" t="s">
        <v>35</v>
      </c>
      <c r="E1300" t="s">
        <v>1085</v>
      </c>
      <c r="F1300" t="s">
        <v>1086</v>
      </c>
      <c r="G1300" t="s">
        <v>134</v>
      </c>
      <c r="H1300" t="s">
        <v>135</v>
      </c>
      <c r="I1300" t="s">
        <v>1431</v>
      </c>
      <c r="J1300" t="s">
        <v>280</v>
      </c>
      <c r="K1300">
        <v>1983</v>
      </c>
      <c r="L1300">
        <v>1983</v>
      </c>
      <c r="M1300">
        <v>66</v>
      </c>
      <c r="N1300">
        <v>317.86399999999998</v>
      </c>
      <c r="O1300">
        <v>125</v>
      </c>
      <c r="P1300">
        <v>63</v>
      </c>
      <c r="Q1300">
        <v>0.29099999999999998</v>
      </c>
      <c r="R1300" t="s">
        <v>42</v>
      </c>
      <c r="S1300" t="s">
        <v>7379</v>
      </c>
      <c r="T1300" t="b">
        <v>1</v>
      </c>
      <c r="U1300" t="s">
        <v>7380</v>
      </c>
      <c r="V1300" t="s">
        <v>1089</v>
      </c>
      <c r="W1300" t="s">
        <v>7381</v>
      </c>
      <c r="X1300" t="s">
        <v>47</v>
      </c>
      <c r="AA1300" t="s">
        <v>7382</v>
      </c>
      <c r="AB1300" t="s">
        <v>49</v>
      </c>
      <c r="AC1300" t="s">
        <v>1435</v>
      </c>
      <c r="AD1300" t="b">
        <v>0</v>
      </c>
      <c r="AF1300">
        <v>10</v>
      </c>
      <c r="AG1300" t="s">
        <v>143</v>
      </c>
    </row>
    <row r="1301" spans="1:33" x14ac:dyDescent="0.2">
      <c r="A1301">
        <v>94</v>
      </c>
      <c r="B1301" t="s">
        <v>7383</v>
      </c>
      <c r="C1301" t="s">
        <v>34</v>
      </c>
      <c r="D1301" t="s">
        <v>35</v>
      </c>
      <c r="E1301" t="s">
        <v>2170</v>
      </c>
      <c r="F1301" t="s">
        <v>2171</v>
      </c>
      <c r="G1301" t="s">
        <v>53</v>
      </c>
      <c r="H1301" t="s">
        <v>54</v>
      </c>
      <c r="I1301" t="s">
        <v>532</v>
      </c>
      <c r="J1301" t="s">
        <v>533</v>
      </c>
      <c r="K1301">
        <v>1959</v>
      </c>
      <c r="L1301">
        <v>1959</v>
      </c>
      <c r="M1301">
        <v>270</v>
      </c>
      <c r="N1301">
        <v>1447.6790000000001</v>
      </c>
      <c r="O1301">
        <v>966</v>
      </c>
      <c r="P1301">
        <v>32.5</v>
      </c>
      <c r="Q1301">
        <v>2.3079999999999998</v>
      </c>
      <c r="R1301" t="s">
        <v>57</v>
      </c>
      <c r="S1301" t="s">
        <v>534</v>
      </c>
      <c r="T1301" t="b">
        <v>1</v>
      </c>
      <c r="U1301" t="s">
        <v>6102</v>
      </c>
      <c r="V1301" t="s">
        <v>2174</v>
      </c>
      <c r="W1301" t="s">
        <v>7384</v>
      </c>
      <c r="X1301" t="s">
        <v>47</v>
      </c>
      <c r="AA1301" t="s">
        <v>538</v>
      </c>
      <c r="AB1301" t="s">
        <v>49</v>
      </c>
      <c r="AC1301" t="s">
        <v>540</v>
      </c>
      <c r="AD1301" t="b">
        <v>0</v>
      </c>
      <c r="AF1301">
        <v>7</v>
      </c>
      <c r="AG1301" t="s">
        <v>469</v>
      </c>
    </row>
    <row r="1302" spans="1:33" x14ac:dyDescent="0.2">
      <c r="A1302">
        <v>372</v>
      </c>
      <c r="B1302" t="s">
        <v>7385</v>
      </c>
      <c r="C1302" t="s">
        <v>34</v>
      </c>
      <c r="D1302" t="s">
        <v>35</v>
      </c>
      <c r="E1302" t="s">
        <v>3032</v>
      </c>
      <c r="F1302" t="s">
        <v>3033</v>
      </c>
      <c r="G1302" t="s">
        <v>68</v>
      </c>
      <c r="H1302" t="s">
        <v>69</v>
      </c>
      <c r="I1302" t="s">
        <v>3186</v>
      </c>
      <c r="J1302" t="s">
        <v>215</v>
      </c>
      <c r="K1302">
        <v>1920</v>
      </c>
      <c r="L1302">
        <v>1920</v>
      </c>
      <c r="M1302">
        <v>2.9</v>
      </c>
      <c r="N1302">
        <v>11.603999999999999</v>
      </c>
      <c r="O1302">
        <v>148.80000000000001</v>
      </c>
      <c r="P1302">
        <v>2.2999999999999998</v>
      </c>
      <c r="Q1302">
        <v>0.35</v>
      </c>
      <c r="R1302" t="s">
        <v>72</v>
      </c>
      <c r="S1302" t="s">
        <v>7386</v>
      </c>
      <c r="T1302" t="b">
        <v>1</v>
      </c>
      <c r="U1302" t="s">
        <v>7387</v>
      </c>
      <c r="V1302" t="s">
        <v>3036</v>
      </c>
      <c r="W1302" t="s">
        <v>7388</v>
      </c>
      <c r="X1302" t="s">
        <v>47</v>
      </c>
      <c r="AA1302" t="s">
        <v>1628</v>
      </c>
      <c r="AB1302" t="s">
        <v>49</v>
      </c>
      <c r="AC1302" t="s">
        <v>7389</v>
      </c>
      <c r="AD1302" t="b">
        <v>0</v>
      </c>
      <c r="AF1302">
        <v>8</v>
      </c>
      <c r="AG1302" t="s">
        <v>78</v>
      </c>
    </row>
    <row r="1303" spans="1:33" x14ac:dyDescent="0.2">
      <c r="A1303">
        <v>1684</v>
      </c>
      <c r="B1303" t="s">
        <v>7390</v>
      </c>
      <c r="C1303" t="s">
        <v>34</v>
      </c>
      <c r="D1303" t="s">
        <v>35</v>
      </c>
      <c r="E1303" t="s">
        <v>168</v>
      </c>
      <c r="F1303" t="s">
        <v>169</v>
      </c>
      <c r="G1303" t="s">
        <v>134</v>
      </c>
      <c r="H1303" t="s">
        <v>135</v>
      </c>
      <c r="I1303" t="s">
        <v>191</v>
      </c>
      <c r="J1303" t="s">
        <v>192</v>
      </c>
      <c r="K1303">
        <v>2012</v>
      </c>
      <c r="L1303">
        <v>2012</v>
      </c>
      <c r="M1303">
        <v>5</v>
      </c>
      <c r="N1303">
        <v>10.058</v>
      </c>
      <c r="O1303">
        <v>437</v>
      </c>
      <c r="P1303">
        <v>1.35</v>
      </c>
      <c r="Q1303">
        <v>1.0289999999999999</v>
      </c>
      <c r="R1303" t="s">
        <v>42</v>
      </c>
      <c r="S1303" t="s">
        <v>7391</v>
      </c>
      <c r="T1303" t="b">
        <v>1</v>
      </c>
      <c r="U1303" t="s">
        <v>2769</v>
      </c>
      <c r="V1303" t="s">
        <v>174</v>
      </c>
      <c r="W1303" t="s">
        <v>7392</v>
      </c>
      <c r="X1303" t="s">
        <v>47</v>
      </c>
      <c r="AA1303" t="s">
        <v>479</v>
      </c>
      <c r="AB1303" t="s">
        <v>49</v>
      </c>
      <c r="AC1303" t="s">
        <v>7393</v>
      </c>
      <c r="AD1303" t="b">
        <v>0</v>
      </c>
      <c r="AF1303">
        <v>11</v>
      </c>
      <c r="AG1303" t="s">
        <v>198</v>
      </c>
    </row>
    <row r="1304" spans="1:33" x14ac:dyDescent="0.2">
      <c r="A1304">
        <v>1787</v>
      </c>
      <c r="B1304" t="s">
        <v>7394</v>
      </c>
      <c r="C1304" t="s">
        <v>34</v>
      </c>
      <c r="D1304" t="s">
        <v>35</v>
      </c>
      <c r="E1304" t="s">
        <v>1065</v>
      </c>
      <c r="F1304" t="s">
        <v>1066</v>
      </c>
      <c r="G1304" t="s">
        <v>312</v>
      </c>
      <c r="H1304" t="s">
        <v>313</v>
      </c>
      <c r="I1304" t="s">
        <v>1067</v>
      </c>
      <c r="J1304" t="s">
        <v>676</v>
      </c>
      <c r="K1304">
        <v>2014</v>
      </c>
      <c r="L1304">
        <v>2014</v>
      </c>
      <c r="M1304">
        <v>24</v>
      </c>
      <c r="N1304">
        <v>64.239000000000004</v>
      </c>
      <c r="O1304">
        <v>81</v>
      </c>
      <c r="P1304">
        <v>33</v>
      </c>
      <c r="Q1304">
        <v>0.20200000000000001</v>
      </c>
      <c r="R1304" t="s">
        <v>84</v>
      </c>
      <c r="S1304" t="s">
        <v>7395</v>
      </c>
      <c r="T1304" t="b">
        <v>1</v>
      </c>
      <c r="U1304" t="s">
        <v>7396</v>
      </c>
      <c r="V1304" t="s">
        <v>1175</v>
      </c>
      <c r="W1304" t="s">
        <v>7397</v>
      </c>
      <c r="X1304" t="s">
        <v>47</v>
      </c>
      <c r="AA1304" t="s">
        <v>319</v>
      </c>
      <c r="AB1304" t="s">
        <v>485</v>
      </c>
      <c r="AC1304" t="s">
        <v>320</v>
      </c>
      <c r="AD1304" t="b">
        <v>0</v>
      </c>
      <c r="AF1304">
        <v>3</v>
      </c>
      <c r="AG1304" t="s">
        <v>332</v>
      </c>
    </row>
    <row r="1305" spans="1:33" x14ac:dyDescent="0.2">
      <c r="A1305">
        <v>479</v>
      </c>
      <c r="B1305" t="s">
        <v>7398</v>
      </c>
      <c r="C1305" t="s">
        <v>574</v>
      </c>
      <c r="D1305" t="s">
        <v>575</v>
      </c>
      <c r="E1305" t="s">
        <v>1065</v>
      </c>
      <c r="F1305" t="s">
        <v>1066</v>
      </c>
      <c r="G1305" t="s">
        <v>312</v>
      </c>
      <c r="H1305" t="s">
        <v>313</v>
      </c>
      <c r="I1305" t="s">
        <v>1067</v>
      </c>
      <c r="J1305" t="s">
        <v>676</v>
      </c>
      <c r="K1305">
        <v>1987</v>
      </c>
      <c r="L1305">
        <v>1987</v>
      </c>
      <c r="M1305">
        <v>-9</v>
      </c>
      <c r="N1305">
        <v>-22.329000000000001</v>
      </c>
      <c r="O1305">
        <v>0</v>
      </c>
      <c r="P1305">
        <v>9.39</v>
      </c>
      <c r="Q1305">
        <v>-0.26600000000000001</v>
      </c>
      <c r="R1305" t="s">
        <v>84</v>
      </c>
      <c r="S1305" t="s">
        <v>7399</v>
      </c>
      <c r="T1305" t="b">
        <v>1</v>
      </c>
      <c r="U1305" t="s">
        <v>1111</v>
      </c>
      <c r="V1305" t="s">
        <v>1070</v>
      </c>
      <c r="W1305" t="s">
        <v>3817</v>
      </c>
      <c r="X1305" t="s">
        <v>47</v>
      </c>
      <c r="AA1305" t="s">
        <v>319</v>
      </c>
      <c r="AB1305" t="s">
        <v>414</v>
      </c>
      <c r="AC1305" t="s">
        <v>320</v>
      </c>
      <c r="AD1305" t="b">
        <v>0</v>
      </c>
      <c r="AF1305">
        <v>3</v>
      </c>
      <c r="AG1305" t="s">
        <v>332</v>
      </c>
    </row>
    <row r="1306" spans="1:33" x14ac:dyDescent="0.2">
      <c r="A1306">
        <v>374</v>
      </c>
      <c r="B1306" t="s">
        <v>7400</v>
      </c>
      <c r="C1306" t="s">
        <v>34</v>
      </c>
      <c r="D1306" t="s">
        <v>35</v>
      </c>
      <c r="E1306" t="s">
        <v>512</v>
      </c>
      <c r="F1306" t="s">
        <v>513</v>
      </c>
      <c r="G1306" t="s">
        <v>377</v>
      </c>
      <c r="H1306" t="s">
        <v>378</v>
      </c>
      <c r="I1306" t="s">
        <v>1958</v>
      </c>
      <c r="J1306" t="s">
        <v>49</v>
      </c>
      <c r="K1306">
        <v>1922</v>
      </c>
      <c r="L1306">
        <v>1922</v>
      </c>
      <c r="M1306">
        <v>4</v>
      </c>
      <c r="N1306">
        <v>18.831</v>
      </c>
      <c r="O1306">
        <v>152.1</v>
      </c>
      <c r="P1306">
        <v>3</v>
      </c>
      <c r="Q1306">
        <v>0.37</v>
      </c>
      <c r="R1306" t="s">
        <v>42</v>
      </c>
      <c r="S1306" t="s">
        <v>7401</v>
      </c>
      <c r="T1306" t="b">
        <v>1</v>
      </c>
      <c r="U1306" t="s">
        <v>1375</v>
      </c>
      <c r="V1306" t="s">
        <v>518</v>
      </c>
      <c r="W1306" t="s">
        <v>7402</v>
      </c>
      <c r="X1306" t="s">
        <v>47</v>
      </c>
      <c r="AA1306" t="s">
        <v>7403</v>
      </c>
      <c r="AB1306" t="s">
        <v>49</v>
      </c>
      <c r="AC1306" t="s">
        <v>7404</v>
      </c>
      <c r="AD1306" t="b">
        <v>0</v>
      </c>
      <c r="AF1306">
        <v>11</v>
      </c>
      <c r="AG1306" t="s">
        <v>198</v>
      </c>
    </row>
    <row r="1307" spans="1:33" x14ac:dyDescent="0.2">
      <c r="A1307">
        <v>1548</v>
      </c>
      <c r="B1307" t="s">
        <v>7405</v>
      </c>
      <c r="C1307" t="s">
        <v>34</v>
      </c>
      <c r="D1307" t="s">
        <v>35</v>
      </c>
      <c r="E1307" t="s">
        <v>7406</v>
      </c>
      <c r="F1307" t="s">
        <v>7407</v>
      </c>
      <c r="G1307" t="s">
        <v>242</v>
      </c>
      <c r="H1307" t="s">
        <v>243</v>
      </c>
      <c r="I1307" t="s">
        <v>2625</v>
      </c>
      <c r="J1307" t="s">
        <v>2626</v>
      </c>
      <c r="K1307">
        <v>2003</v>
      </c>
      <c r="L1307">
        <v>2003</v>
      </c>
      <c r="M1307">
        <v>7.0000000000000007E-2</v>
      </c>
      <c r="N1307">
        <v>0.45300000000000001</v>
      </c>
      <c r="O1307">
        <v>167</v>
      </c>
      <c r="R1307" t="s">
        <v>72</v>
      </c>
      <c r="S1307" t="s">
        <v>7408</v>
      </c>
      <c r="T1307" t="b">
        <v>1</v>
      </c>
      <c r="U1307" t="s">
        <v>2246</v>
      </c>
      <c r="V1307" t="s">
        <v>7409</v>
      </c>
      <c r="W1307" t="s">
        <v>7410</v>
      </c>
      <c r="X1307" t="s">
        <v>47</v>
      </c>
      <c r="AA1307" t="s">
        <v>1017</v>
      </c>
      <c r="AC1307" t="s">
        <v>1018</v>
      </c>
      <c r="AD1307" t="b">
        <v>0</v>
      </c>
      <c r="AF1307">
        <v>9</v>
      </c>
      <c r="AG1307" t="s">
        <v>251</v>
      </c>
    </row>
    <row r="1308" spans="1:33" x14ac:dyDescent="0.2">
      <c r="A1308">
        <v>1074</v>
      </c>
      <c r="B1308" t="s">
        <v>7411</v>
      </c>
      <c r="C1308" t="s">
        <v>34</v>
      </c>
      <c r="D1308" t="s">
        <v>35</v>
      </c>
      <c r="E1308" t="s">
        <v>7412</v>
      </c>
      <c r="F1308" t="s">
        <v>7413</v>
      </c>
      <c r="G1308" t="s">
        <v>242</v>
      </c>
      <c r="H1308" t="s">
        <v>243</v>
      </c>
      <c r="I1308" t="s">
        <v>1012</v>
      </c>
      <c r="J1308" t="s">
        <v>676</v>
      </c>
      <c r="K1308">
        <v>1999</v>
      </c>
      <c r="L1308">
        <v>1999</v>
      </c>
      <c r="M1308">
        <v>0.9</v>
      </c>
      <c r="N1308">
        <v>2.78</v>
      </c>
      <c r="O1308">
        <v>180</v>
      </c>
      <c r="P1308">
        <v>0.6</v>
      </c>
      <c r="R1308" t="s">
        <v>72</v>
      </c>
      <c r="S1308" t="s">
        <v>7414</v>
      </c>
      <c r="T1308" t="b">
        <v>1</v>
      </c>
      <c r="U1308" t="s">
        <v>571</v>
      </c>
      <c r="V1308" t="s">
        <v>7415</v>
      </c>
      <c r="W1308" t="s">
        <v>7416</v>
      </c>
      <c r="X1308" t="s">
        <v>47</v>
      </c>
      <c r="AA1308" t="s">
        <v>1017</v>
      </c>
      <c r="AC1308" t="s">
        <v>1018</v>
      </c>
      <c r="AD1308" t="b">
        <v>0</v>
      </c>
      <c r="AF1308">
        <v>8</v>
      </c>
      <c r="AG1308" t="s">
        <v>78</v>
      </c>
    </row>
    <row r="1309" spans="1:33" x14ac:dyDescent="0.2">
      <c r="A1309">
        <v>1998</v>
      </c>
      <c r="B1309" t="s">
        <v>7417</v>
      </c>
      <c r="C1309" t="s">
        <v>34</v>
      </c>
      <c r="D1309" t="s">
        <v>35</v>
      </c>
      <c r="E1309" t="s">
        <v>7418</v>
      </c>
      <c r="F1309" t="s">
        <v>7419</v>
      </c>
      <c r="G1309" t="s">
        <v>53</v>
      </c>
      <c r="H1309" t="s">
        <v>54</v>
      </c>
      <c r="I1309" t="s">
        <v>461</v>
      </c>
      <c r="J1309" t="s">
        <v>462</v>
      </c>
      <c r="K1309">
        <v>2020</v>
      </c>
      <c r="L1309">
        <v>2020</v>
      </c>
      <c r="M1309">
        <v>4.8</v>
      </c>
      <c r="N1309">
        <v>20.725999999999999</v>
      </c>
      <c r="O1309">
        <v>82.2</v>
      </c>
      <c r="P1309">
        <v>7.25</v>
      </c>
      <c r="Q1309">
        <v>0.184</v>
      </c>
      <c r="R1309" t="s">
        <v>57</v>
      </c>
      <c r="S1309" t="s">
        <v>7420</v>
      </c>
      <c r="T1309" t="b">
        <v>1</v>
      </c>
      <c r="U1309" t="s">
        <v>7421</v>
      </c>
      <c r="V1309" t="s">
        <v>7422</v>
      </c>
      <c r="W1309" t="s">
        <v>7423</v>
      </c>
      <c r="X1309" t="s">
        <v>47</v>
      </c>
      <c r="AA1309" t="s">
        <v>3629</v>
      </c>
      <c r="AB1309" t="s">
        <v>308</v>
      </c>
      <c r="AC1309" t="s">
        <v>3942</v>
      </c>
      <c r="AD1309" t="b">
        <v>0</v>
      </c>
      <c r="AF1309">
        <v>7</v>
      </c>
      <c r="AG1309" t="s">
        <v>469</v>
      </c>
    </row>
    <row r="1310" spans="1:33" x14ac:dyDescent="0.2">
      <c r="A1310">
        <v>1140</v>
      </c>
      <c r="B1310" t="s">
        <v>7424</v>
      </c>
      <c r="C1310" t="s">
        <v>34</v>
      </c>
      <c r="D1310" t="s">
        <v>35</v>
      </c>
      <c r="G1310" t="s">
        <v>312</v>
      </c>
      <c r="H1310" t="s">
        <v>313</v>
      </c>
      <c r="I1310" t="s">
        <v>1049</v>
      </c>
      <c r="J1310" t="s">
        <v>171</v>
      </c>
      <c r="K1310">
        <v>2003</v>
      </c>
      <c r="L1310">
        <v>2003</v>
      </c>
      <c r="M1310">
        <v>0.03</v>
      </c>
      <c r="N1310">
        <v>0.13</v>
      </c>
      <c r="R1310" t="s">
        <v>84</v>
      </c>
      <c r="S1310" t="s">
        <v>7425</v>
      </c>
      <c r="T1310" t="b">
        <v>1</v>
      </c>
      <c r="U1310" t="s">
        <v>2246</v>
      </c>
      <c r="V1310" t="s">
        <v>274</v>
      </c>
      <c r="W1310" t="s">
        <v>7426</v>
      </c>
      <c r="X1310" t="s">
        <v>47</v>
      </c>
      <c r="AA1310" t="s">
        <v>615</v>
      </c>
      <c r="AC1310" t="s">
        <v>616</v>
      </c>
      <c r="AD1310" t="b">
        <v>0</v>
      </c>
      <c r="AF1310">
        <v>4</v>
      </c>
      <c r="AG1310" t="s">
        <v>321</v>
      </c>
    </row>
    <row r="1311" spans="1:33" x14ac:dyDescent="0.2">
      <c r="A1311">
        <v>375</v>
      </c>
      <c r="B1311" t="s">
        <v>7427</v>
      </c>
      <c r="C1311" t="s">
        <v>34</v>
      </c>
      <c r="D1311" t="s">
        <v>35</v>
      </c>
      <c r="E1311" t="s">
        <v>512</v>
      </c>
      <c r="F1311" t="s">
        <v>513</v>
      </c>
      <c r="G1311" t="s">
        <v>377</v>
      </c>
      <c r="H1311" t="s">
        <v>378</v>
      </c>
      <c r="I1311" t="s">
        <v>425</v>
      </c>
      <c r="J1311" t="s">
        <v>426</v>
      </c>
      <c r="K1311">
        <v>1979</v>
      </c>
      <c r="L1311">
        <v>1979</v>
      </c>
      <c r="M1311">
        <v>70</v>
      </c>
      <c r="N1311">
        <v>396.62700000000001</v>
      </c>
      <c r="O1311">
        <v>440</v>
      </c>
      <c r="P1311">
        <v>18.5</v>
      </c>
      <c r="Q1311">
        <v>1.0509999999999999</v>
      </c>
      <c r="R1311" t="s">
        <v>42</v>
      </c>
      <c r="S1311" t="s">
        <v>7428</v>
      </c>
      <c r="T1311" t="b">
        <v>1</v>
      </c>
      <c r="U1311" t="s">
        <v>7429</v>
      </c>
      <c r="V1311" t="s">
        <v>518</v>
      </c>
      <c r="W1311" t="s">
        <v>7430</v>
      </c>
      <c r="X1311" t="s">
        <v>47</v>
      </c>
      <c r="AA1311" t="s">
        <v>5214</v>
      </c>
      <c r="AB1311" t="s">
        <v>49</v>
      </c>
      <c r="AC1311" t="s">
        <v>5215</v>
      </c>
      <c r="AD1311" t="b">
        <v>0</v>
      </c>
      <c r="AF1311">
        <v>11</v>
      </c>
      <c r="AG1311" t="s">
        <v>198</v>
      </c>
    </row>
    <row r="1312" spans="1:33" x14ac:dyDescent="0.2">
      <c r="A1312">
        <v>1394</v>
      </c>
      <c r="B1312" t="s">
        <v>7431</v>
      </c>
      <c r="C1312" t="s">
        <v>34</v>
      </c>
      <c r="D1312" t="s">
        <v>35</v>
      </c>
      <c r="E1312" t="s">
        <v>1320</v>
      </c>
      <c r="F1312" t="s">
        <v>1321</v>
      </c>
      <c r="G1312" t="s">
        <v>68</v>
      </c>
      <c r="H1312" t="s">
        <v>69</v>
      </c>
      <c r="I1312" t="s">
        <v>1458</v>
      </c>
      <c r="J1312" t="s">
        <v>1459</v>
      </c>
      <c r="K1312">
        <v>2008</v>
      </c>
      <c r="L1312">
        <v>2008</v>
      </c>
      <c r="M1312">
        <v>1.2</v>
      </c>
      <c r="N1312">
        <v>4.2359999999999998</v>
      </c>
      <c r="O1312">
        <v>96</v>
      </c>
      <c r="P1312">
        <v>1.6</v>
      </c>
      <c r="Q1312">
        <v>0.185</v>
      </c>
      <c r="R1312" t="s">
        <v>72</v>
      </c>
      <c r="S1312" t="s">
        <v>7432</v>
      </c>
      <c r="T1312" t="b">
        <v>1</v>
      </c>
      <c r="U1312" t="s">
        <v>7433</v>
      </c>
      <c r="V1312" t="s">
        <v>1324</v>
      </c>
      <c r="W1312" t="s">
        <v>7434</v>
      </c>
      <c r="X1312" t="s">
        <v>47</v>
      </c>
      <c r="AA1312" t="s">
        <v>7435</v>
      </c>
      <c r="AC1312" t="s">
        <v>63</v>
      </c>
      <c r="AD1312" t="b">
        <v>0</v>
      </c>
      <c r="AF1312">
        <v>8</v>
      </c>
      <c r="AG1312" t="s">
        <v>78</v>
      </c>
    </row>
    <row r="1313" spans="1:33" x14ac:dyDescent="0.2">
      <c r="A1313">
        <v>1575</v>
      </c>
      <c r="B1313" t="s">
        <v>7436</v>
      </c>
      <c r="C1313" t="s">
        <v>34</v>
      </c>
      <c r="D1313" t="s">
        <v>35</v>
      </c>
      <c r="E1313" t="s">
        <v>7437</v>
      </c>
      <c r="F1313" t="s">
        <v>7438</v>
      </c>
      <c r="G1313" t="s">
        <v>242</v>
      </c>
      <c r="H1313" t="s">
        <v>243</v>
      </c>
      <c r="I1313" t="s">
        <v>6510</v>
      </c>
      <c r="J1313" t="s">
        <v>71</v>
      </c>
      <c r="K1313">
        <v>2011</v>
      </c>
      <c r="L1313">
        <v>2011</v>
      </c>
      <c r="M1313">
        <v>0.38</v>
      </c>
      <c r="N1313">
        <v>2.0550000000000002</v>
      </c>
      <c r="O1313">
        <v>57</v>
      </c>
      <c r="P1313">
        <v>0.8</v>
      </c>
      <c r="Q1313">
        <v>0.13200000000000001</v>
      </c>
      <c r="R1313" t="s">
        <v>72</v>
      </c>
      <c r="S1313" t="s">
        <v>7439</v>
      </c>
      <c r="T1313" t="b">
        <v>1</v>
      </c>
      <c r="U1313" t="s">
        <v>2139</v>
      </c>
      <c r="V1313" t="s">
        <v>7440</v>
      </c>
      <c r="W1313" t="s">
        <v>7441</v>
      </c>
      <c r="X1313" t="s">
        <v>47</v>
      </c>
      <c r="AA1313" t="s">
        <v>7442</v>
      </c>
      <c r="AC1313" t="s">
        <v>63</v>
      </c>
      <c r="AD1313" t="b">
        <v>0</v>
      </c>
      <c r="AF1313">
        <v>9</v>
      </c>
      <c r="AG1313" t="s">
        <v>251</v>
      </c>
    </row>
    <row r="1314" spans="1:33" x14ac:dyDescent="0.2">
      <c r="A1314">
        <v>376</v>
      </c>
      <c r="B1314" t="s">
        <v>7443</v>
      </c>
      <c r="C1314" t="s">
        <v>34</v>
      </c>
      <c r="D1314" t="s">
        <v>35</v>
      </c>
      <c r="E1314" t="s">
        <v>1913</v>
      </c>
      <c r="F1314" t="s">
        <v>1914</v>
      </c>
      <c r="G1314" t="s">
        <v>93</v>
      </c>
      <c r="H1314" t="s">
        <v>94</v>
      </c>
      <c r="I1314" t="s">
        <v>7444</v>
      </c>
      <c r="J1314" t="s">
        <v>71</v>
      </c>
      <c r="K1314">
        <v>1910</v>
      </c>
      <c r="L1314">
        <v>1910</v>
      </c>
      <c r="M1314">
        <v>4</v>
      </c>
      <c r="N1314">
        <v>16.837</v>
      </c>
      <c r="O1314">
        <v>9.39</v>
      </c>
      <c r="P1314">
        <v>48.31</v>
      </c>
      <c r="Q1314">
        <v>2.3E-2</v>
      </c>
      <c r="R1314" t="s">
        <v>97</v>
      </c>
      <c r="S1314" t="s">
        <v>7445</v>
      </c>
      <c r="T1314" t="b">
        <v>1</v>
      </c>
      <c r="U1314" t="s">
        <v>7446</v>
      </c>
      <c r="V1314" t="s">
        <v>1918</v>
      </c>
      <c r="W1314" t="s">
        <v>7447</v>
      </c>
      <c r="X1314" t="s">
        <v>47</v>
      </c>
      <c r="AA1314" t="s">
        <v>340</v>
      </c>
      <c r="AB1314" t="s">
        <v>280</v>
      </c>
      <c r="AC1314" t="s">
        <v>341</v>
      </c>
      <c r="AD1314" t="b">
        <v>0</v>
      </c>
      <c r="AF1314">
        <v>1</v>
      </c>
      <c r="AG1314" t="s">
        <v>104</v>
      </c>
    </row>
    <row r="1315" spans="1:33" x14ac:dyDescent="0.2">
      <c r="A1315">
        <v>377</v>
      </c>
      <c r="B1315" t="s">
        <v>7448</v>
      </c>
      <c r="C1315" t="s">
        <v>34</v>
      </c>
      <c r="D1315" t="s">
        <v>35</v>
      </c>
      <c r="E1315" t="s">
        <v>1913</v>
      </c>
      <c r="F1315" t="s">
        <v>1914</v>
      </c>
      <c r="G1315" t="s">
        <v>93</v>
      </c>
      <c r="H1315" t="s">
        <v>94</v>
      </c>
      <c r="I1315" t="s">
        <v>7444</v>
      </c>
      <c r="J1315" t="s">
        <v>71</v>
      </c>
      <c r="K1315">
        <v>1972</v>
      </c>
      <c r="L1315">
        <v>1972</v>
      </c>
      <c r="M1315">
        <v>19.8</v>
      </c>
      <c r="N1315">
        <v>113.0211</v>
      </c>
      <c r="O1315">
        <v>12.8</v>
      </c>
      <c r="P1315">
        <v>220</v>
      </c>
      <c r="Q1315">
        <v>2.5000000000000001E-2</v>
      </c>
      <c r="R1315" t="s">
        <v>97</v>
      </c>
      <c r="S1315" t="s">
        <v>7445</v>
      </c>
      <c r="T1315" t="b">
        <v>1</v>
      </c>
      <c r="U1315" t="s">
        <v>7449</v>
      </c>
      <c r="V1315" t="s">
        <v>1918</v>
      </c>
      <c r="W1315" t="s">
        <v>7450</v>
      </c>
      <c r="X1315" t="s">
        <v>47</v>
      </c>
      <c r="AA1315" t="s">
        <v>340</v>
      </c>
      <c r="AB1315" t="s">
        <v>313</v>
      </c>
      <c r="AC1315" t="s">
        <v>341</v>
      </c>
      <c r="AD1315" t="b">
        <v>0</v>
      </c>
      <c r="AF1315">
        <v>1</v>
      </c>
      <c r="AG1315" t="s">
        <v>104</v>
      </c>
    </row>
    <row r="1316" spans="1:33" x14ac:dyDescent="0.2">
      <c r="A1316">
        <v>762</v>
      </c>
      <c r="B1316" t="s">
        <v>7451</v>
      </c>
      <c r="C1316" t="s">
        <v>574</v>
      </c>
      <c r="D1316" t="s">
        <v>575</v>
      </c>
      <c r="E1316" t="s">
        <v>36</v>
      </c>
      <c r="F1316" t="s">
        <v>37</v>
      </c>
      <c r="G1316" t="s">
        <v>53</v>
      </c>
      <c r="H1316" t="s">
        <v>54</v>
      </c>
      <c r="I1316" t="s">
        <v>325</v>
      </c>
      <c r="J1316" t="s">
        <v>135</v>
      </c>
      <c r="K1316">
        <v>1986</v>
      </c>
      <c r="L1316">
        <v>1986</v>
      </c>
      <c r="M1316">
        <v>-2.6</v>
      </c>
      <c r="N1316">
        <v>-18.446000000000002</v>
      </c>
      <c r="O1316">
        <v>0</v>
      </c>
      <c r="P1316">
        <v>4.5999999999999996</v>
      </c>
      <c r="Q1316">
        <v>-0.157</v>
      </c>
      <c r="R1316" t="s">
        <v>84</v>
      </c>
      <c r="S1316" t="s">
        <v>7452</v>
      </c>
      <c r="T1316" t="b">
        <v>1</v>
      </c>
      <c r="U1316" t="s">
        <v>1884</v>
      </c>
      <c r="V1316" t="s">
        <v>45</v>
      </c>
      <c r="W1316" t="s">
        <v>113</v>
      </c>
      <c r="X1316" t="s">
        <v>47</v>
      </c>
      <c r="AA1316" t="s">
        <v>4161</v>
      </c>
      <c r="AB1316" t="s">
        <v>227</v>
      </c>
      <c r="AC1316" t="s">
        <v>4162</v>
      </c>
      <c r="AD1316" t="b">
        <v>0</v>
      </c>
      <c r="AF1316">
        <v>3</v>
      </c>
      <c r="AG1316" t="s">
        <v>332</v>
      </c>
    </row>
    <row r="1317" spans="1:33" x14ac:dyDescent="0.2">
      <c r="A1317">
        <v>2119</v>
      </c>
      <c r="B1317" t="s">
        <v>7453</v>
      </c>
      <c r="C1317" t="s">
        <v>34</v>
      </c>
      <c r="D1317" t="s">
        <v>35</v>
      </c>
      <c r="E1317" t="s">
        <v>7454</v>
      </c>
      <c r="F1317" t="s">
        <v>7455</v>
      </c>
      <c r="G1317" t="s">
        <v>503</v>
      </c>
      <c r="H1317" t="s">
        <v>462</v>
      </c>
      <c r="I1317" t="s">
        <v>1292</v>
      </c>
      <c r="J1317" t="s">
        <v>1077</v>
      </c>
      <c r="K1317">
        <v>2024</v>
      </c>
      <c r="L1317">
        <v>2024</v>
      </c>
      <c r="M1317">
        <v>1.8</v>
      </c>
      <c r="N1317">
        <v>5.6</v>
      </c>
      <c r="O1317">
        <v>24.5</v>
      </c>
      <c r="P1317">
        <v>8.64</v>
      </c>
      <c r="Q1317">
        <v>5.8000000000000003E-2</v>
      </c>
      <c r="R1317" t="s">
        <v>84</v>
      </c>
      <c r="S1317" t="s">
        <v>7456</v>
      </c>
      <c r="T1317" t="b">
        <v>1</v>
      </c>
      <c r="U1317" t="s">
        <v>7457</v>
      </c>
      <c r="V1317" t="s">
        <v>7458</v>
      </c>
      <c r="W1317" t="s">
        <v>7459</v>
      </c>
      <c r="X1317" t="s">
        <v>47</v>
      </c>
      <c r="AA1317" t="s">
        <v>1297</v>
      </c>
      <c r="AC1317" t="s">
        <v>1298</v>
      </c>
      <c r="AD1317" t="b">
        <v>0</v>
      </c>
      <c r="AF1317">
        <v>3</v>
      </c>
      <c r="AG1317" t="s">
        <v>332</v>
      </c>
    </row>
    <row r="1318" spans="1:33" x14ac:dyDescent="0.2">
      <c r="A1318">
        <v>1610</v>
      </c>
      <c r="B1318" t="s">
        <v>7460</v>
      </c>
      <c r="C1318" t="s">
        <v>34</v>
      </c>
      <c r="D1318" t="s">
        <v>35</v>
      </c>
      <c r="E1318" t="s">
        <v>7461</v>
      </c>
      <c r="F1318" t="s">
        <v>7462</v>
      </c>
      <c r="G1318" t="s">
        <v>916</v>
      </c>
      <c r="H1318" t="s">
        <v>567</v>
      </c>
      <c r="I1318" t="s">
        <v>2112</v>
      </c>
      <c r="J1318" t="s">
        <v>135</v>
      </c>
      <c r="K1318">
        <v>2011</v>
      </c>
      <c r="L1318">
        <v>2011</v>
      </c>
      <c r="M1318">
        <v>0.25</v>
      </c>
      <c r="N1318">
        <v>0.70499999999999996</v>
      </c>
      <c r="O1318">
        <v>6.6</v>
      </c>
      <c r="P1318">
        <v>5</v>
      </c>
      <c r="Q1318">
        <v>1.4E-2</v>
      </c>
      <c r="R1318" t="s">
        <v>97</v>
      </c>
      <c r="S1318" t="s">
        <v>7463</v>
      </c>
      <c r="T1318" t="b">
        <v>1</v>
      </c>
      <c r="U1318" t="s">
        <v>6212</v>
      </c>
      <c r="V1318" t="s">
        <v>7464</v>
      </c>
      <c r="W1318" t="s">
        <v>7465</v>
      </c>
      <c r="X1318" t="s">
        <v>47</v>
      </c>
      <c r="AA1318" t="s">
        <v>5839</v>
      </c>
      <c r="AC1318" t="s">
        <v>63</v>
      </c>
      <c r="AD1318" t="b">
        <v>0</v>
      </c>
      <c r="AF1318">
        <v>1</v>
      </c>
      <c r="AG1318" t="s">
        <v>104</v>
      </c>
    </row>
    <row r="1319" spans="1:33" x14ac:dyDescent="0.2">
      <c r="A1319">
        <v>378</v>
      </c>
      <c r="B1319" t="s">
        <v>7466</v>
      </c>
      <c r="C1319" t="s">
        <v>34</v>
      </c>
      <c r="D1319" t="s">
        <v>35</v>
      </c>
      <c r="E1319" t="s">
        <v>501</v>
      </c>
      <c r="F1319" t="s">
        <v>502</v>
      </c>
      <c r="G1319" t="s">
        <v>242</v>
      </c>
      <c r="H1319" t="s">
        <v>243</v>
      </c>
      <c r="I1319" t="s">
        <v>2625</v>
      </c>
      <c r="J1319" t="s">
        <v>2626</v>
      </c>
      <c r="K1319">
        <v>1906</v>
      </c>
      <c r="L1319">
        <v>2017</v>
      </c>
      <c r="M1319">
        <v>5.8</v>
      </c>
      <c r="N1319">
        <v>22.125</v>
      </c>
      <c r="O1319">
        <v>63.6</v>
      </c>
      <c r="P1319">
        <v>10.199999999999999</v>
      </c>
      <c r="Q1319">
        <v>0.14979999999999999</v>
      </c>
      <c r="R1319" t="s">
        <v>72</v>
      </c>
      <c r="S1319" t="s">
        <v>7467</v>
      </c>
      <c r="T1319" t="b">
        <v>1</v>
      </c>
      <c r="U1319" t="s">
        <v>7468</v>
      </c>
      <c r="V1319" t="s">
        <v>7469</v>
      </c>
      <c r="W1319" t="s">
        <v>7470</v>
      </c>
      <c r="X1319" t="s">
        <v>47</v>
      </c>
      <c r="AA1319" t="s">
        <v>7471</v>
      </c>
      <c r="AB1319" t="s">
        <v>49</v>
      </c>
      <c r="AC1319" t="s">
        <v>7472</v>
      </c>
      <c r="AD1319" t="b">
        <v>0</v>
      </c>
      <c r="AF1319">
        <v>8</v>
      </c>
      <c r="AG1319" t="s">
        <v>78</v>
      </c>
    </row>
    <row r="1320" spans="1:33" x14ac:dyDescent="0.2">
      <c r="A1320">
        <v>1434</v>
      </c>
      <c r="B1320" t="s">
        <v>7473</v>
      </c>
      <c r="C1320" t="s">
        <v>34</v>
      </c>
      <c r="D1320" t="s">
        <v>35</v>
      </c>
      <c r="E1320" t="s">
        <v>7474</v>
      </c>
      <c r="F1320" t="s">
        <v>7475</v>
      </c>
      <c r="G1320" t="s">
        <v>53</v>
      </c>
      <c r="H1320" t="s">
        <v>54</v>
      </c>
      <c r="I1320" t="s">
        <v>1039</v>
      </c>
      <c r="J1320" t="s">
        <v>243</v>
      </c>
      <c r="K1320">
        <v>2008</v>
      </c>
      <c r="L1320">
        <v>2008</v>
      </c>
      <c r="M1320">
        <v>5.3</v>
      </c>
      <c r="N1320">
        <v>20.97</v>
      </c>
      <c r="O1320">
        <v>152</v>
      </c>
      <c r="P1320">
        <v>4.3</v>
      </c>
      <c r="Q1320">
        <v>0.34200000000000003</v>
      </c>
      <c r="R1320" t="s">
        <v>72</v>
      </c>
      <c r="S1320" t="s">
        <v>7476</v>
      </c>
      <c r="T1320" t="b">
        <v>1</v>
      </c>
      <c r="U1320" t="s">
        <v>7477</v>
      </c>
      <c r="V1320" t="s">
        <v>7478</v>
      </c>
      <c r="W1320" t="s">
        <v>7479</v>
      </c>
      <c r="X1320" t="s">
        <v>47</v>
      </c>
      <c r="AA1320" t="s">
        <v>479</v>
      </c>
      <c r="AB1320" t="s">
        <v>49</v>
      </c>
      <c r="AC1320" t="s">
        <v>7480</v>
      </c>
      <c r="AD1320" t="b">
        <v>0</v>
      </c>
      <c r="AF1320">
        <v>13</v>
      </c>
      <c r="AG1320" t="s">
        <v>155</v>
      </c>
    </row>
    <row r="1321" spans="1:33" x14ac:dyDescent="0.2">
      <c r="A1321">
        <v>761</v>
      </c>
      <c r="B1321" t="s">
        <v>7481</v>
      </c>
      <c r="C1321" t="s">
        <v>34</v>
      </c>
      <c r="D1321" t="s">
        <v>35</v>
      </c>
      <c r="E1321" t="s">
        <v>404</v>
      </c>
      <c r="F1321" t="s">
        <v>405</v>
      </c>
      <c r="G1321" t="s">
        <v>312</v>
      </c>
      <c r="H1321" t="s">
        <v>313</v>
      </c>
      <c r="I1321" t="s">
        <v>4164</v>
      </c>
      <c r="J1321" t="s">
        <v>41</v>
      </c>
      <c r="K1321">
        <v>1997</v>
      </c>
      <c r="L1321">
        <v>1997</v>
      </c>
      <c r="M1321">
        <v>206.6</v>
      </c>
      <c r="N1321">
        <v>764.51599999999996</v>
      </c>
      <c r="O1321">
        <v>357.22</v>
      </c>
      <c r="P1321">
        <v>62</v>
      </c>
      <c r="Q1321">
        <v>0.92500000000000004</v>
      </c>
      <c r="R1321" t="s">
        <v>84</v>
      </c>
      <c r="S1321" t="s">
        <v>7482</v>
      </c>
      <c r="T1321" t="b">
        <v>1</v>
      </c>
      <c r="U1321" t="s">
        <v>7483</v>
      </c>
      <c r="V1321" t="s">
        <v>408</v>
      </c>
      <c r="W1321" t="s">
        <v>7484</v>
      </c>
      <c r="X1321" t="s">
        <v>47</v>
      </c>
      <c r="AA1321" t="s">
        <v>622</v>
      </c>
      <c r="AB1321" t="s">
        <v>109</v>
      </c>
      <c r="AC1321" t="s">
        <v>623</v>
      </c>
      <c r="AD1321" t="b">
        <v>0</v>
      </c>
      <c r="AF1321">
        <v>4</v>
      </c>
      <c r="AG1321" t="s">
        <v>321</v>
      </c>
    </row>
    <row r="1322" spans="1:33" x14ac:dyDescent="0.2">
      <c r="A1322">
        <v>1976</v>
      </c>
      <c r="B1322" t="s">
        <v>7485</v>
      </c>
      <c r="C1322" t="s">
        <v>34</v>
      </c>
      <c r="D1322" t="s">
        <v>35</v>
      </c>
      <c r="E1322" t="s">
        <v>7486</v>
      </c>
      <c r="F1322" t="s">
        <v>7487</v>
      </c>
      <c r="G1322" t="s">
        <v>242</v>
      </c>
      <c r="H1322" t="s">
        <v>243</v>
      </c>
      <c r="I1322" t="s">
        <v>2625</v>
      </c>
      <c r="J1322" t="s">
        <v>2626</v>
      </c>
      <c r="K1322">
        <v>2021</v>
      </c>
      <c r="L1322">
        <v>2021</v>
      </c>
      <c r="M1322">
        <v>3.1</v>
      </c>
      <c r="N1322">
        <v>8.2550000000000008</v>
      </c>
      <c r="O1322">
        <v>249.5</v>
      </c>
      <c r="P1322">
        <v>1.5</v>
      </c>
      <c r="Q1322">
        <v>0.57399999999999995</v>
      </c>
      <c r="R1322" t="s">
        <v>72</v>
      </c>
      <c r="S1322" t="s">
        <v>7488</v>
      </c>
      <c r="T1322" t="b">
        <v>1</v>
      </c>
      <c r="U1322" t="s">
        <v>3697</v>
      </c>
      <c r="V1322" t="s">
        <v>7489</v>
      </c>
      <c r="W1322" t="s">
        <v>7490</v>
      </c>
      <c r="X1322" t="s">
        <v>47</v>
      </c>
      <c r="AA1322" t="s">
        <v>1017</v>
      </c>
      <c r="AC1322" t="s">
        <v>1018</v>
      </c>
      <c r="AD1322" t="b">
        <v>0</v>
      </c>
      <c r="AF1322">
        <v>8</v>
      </c>
      <c r="AG1322" t="s">
        <v>78</v>
      </c>
    </row>
    <row r="1323" spans="1:33" x14ac:dyDescent="0.2">
      <c r="A1323">
        <v>380</v>
      </c>
      <c r="B1323" t="s">
        <v>7491</v>
      </c>
      <c r="C1323" t="s">
        <v>34</v>
      </c>
      <c r="D1323" t="s">
        <v>35</v>
      </c>
      <c r="E1323" t="s">
        <v>36</v>
      </c>
      <c r="F1323" t="s">
        <v>37</v>
      </c>
      <c r="G1323" t="s">
        <v>134</v>
      </c>
      <c r="H1323" t="s">
        <v>135</v>
      </c>
      <c r="I1323" t="s">
        <v>191</v>
      </c>
      <c r="J1323" t="s">
        <v>192</v>
      </c>
      <c r="K1323">
        <v>1973</v>
      </c>
      <c r="L1323">
        <v>1973</v>
      </c>
      <c r="M1323">
        <v>300</v>
      </c>
      <c r="N1323">
        <v>1340.606</v>
      </c>
      <c r="O1323">
        <v>606.29</v>
      </c>
      <c r="P1323">
        <v>56.11</v>
      </c>
      <c r="Q1323">
        <v>1.4850000000000001</v>
      </c>
      <c r="R1323" t="s">
        <v>42</v>
      </c>
      <c r="S1323" t="s">
        <v>7492</v>
      </c>
      <c r="T1323" t="b">
        <v>1</v>
      </c>
      <c r="U1323" t="s">
        <v>7493</v>
      </c>
      <c r="V1323" t="s">
        <v>45</v>
      </c>
      <c r="W1323" t="s">
        <v>6244</v>
      </c>
      <c r="X1323" t="s">
        <v>47</v>
      </c>
      <c r="AA1323" t="s">
        <v>1394</v>
      </c>
      <c r="AB1323" t="s">
        <v>49</v>
      </c>
      <c r="AC1323" t="s">
        <v>1395</v>
      </c>
      <c r="AD1323" t="b">
        <v>0</v>
      </c>
      <c r="AF1323">
        <v>11</v>
      </c>
      <c r="AG1323" t="s">
        <v>198</v>
      </c>
    </row>
    <row r="1324" spans="1:33" x14ac:dyDescent="0.2">
      <c r="A1324">
        <v>1862</v>
      </c>
      <c r="B1324" t="s">
        <v>7494</v>
      </c>
      <c r="C1324" t="s">
        <v>34</v>
      </c>
      <c r="D1324" t="s">
        <v>35</v>
      </c>
      <c r="E1324" t="s">
        <v>3457</v>
      </c>
      <c r="F1324" t="s">
        <v>3458</v>
      </c>
      <c r="G1324" t="s">
        <v>224</v>
      </c>
      <c r="H1324" t="s">
        <v>225</v>
      </c>
      <c r="I1324" t="s">
        <v>226</v>
      </c>
      <c r="J1324" t="s">
        <v>227</v>
      </c>
      <c r="K1324">
        <v>2016</v>
      </c>
      <c r="L1324">
        <v>2016</v>
      </c>
      <c r="M1324">
        <v>0.16</v>
      </c>
      <c r="N1324">
        <v>0.58299999999999996</v>
      </c>
      <c r="O1324">
        <v>18</v>
      </c>
      <c r="P1324">
        <v>1.44</v>
      </c>
      <c r="Q1324">
        <v>3.1E-2</v>
      </c>
      <c r="R1324" t="s">
        <v>97</v>
      </c>
      <c r="S1324" t="s">
        <v>7495</v>
      </c>
      <c r="T1324" t="b">
        <v>1</v>
      </c>
      <c r="U1324" t="s">
        <v>7496</v>
      </c>
      <c r="V1324" t="s">
        <v>3461</v>
      </c>
      <c r="W1324" t="s">
        <v>7497</v>
      </c>
      <c r="X1324" t="s">
        <v>47</v>
      </c>
      <c r="AA1324" t="s">
        <v>102</v>
      </c>
      <c r="AC1324" t="s">
        <v>103</v>
      </c>
      <c r="AD1324" t="b">
        <v>0</v>
      </c>
      <c r="AF1324">
        <v>1</v>
      </c>
      <c r="AG1324" t="s">
        <v>104</v>
      </c>
    </row>
    <row r="1325" spans="1:33" x14ac:dyDescent="0.2">
      <c r="A1325">
        <v>565</v>
      </c>
      <c r="B1325" t="s">
        <v>7498</v>
      </c>
      <c r="C1325" t="s">
        <v>34</v>
      </c>
      <c r="D1325" t="s">
        <v>35</v>
      </c>
      <c r="E1325" t="s">
        <v>4112</v>
      </c>
      <c r="F1325" t="s">
        <v>4113</v>
      </c>
      <c r="G1325" t="s">
        <v>242</v>
      </c>
      <c r="H1325" t="s">
        <v>243</v>
      </c>
      <c r="I1325" t="s">
        <v>436</v>
      </c>
      <c r="J1325" t="s">
        <v>437</v>
      </c>
      <c r="K1325">
        <v>1993</v>
      </c>
      <c r="L1325">
        <v>1993</v>
      </c>
      <c r="M1325">
        <v>2.6</v>
      </c>
      <c r="N1325">
        <v>7.92</v>
      </c>
      <c r="O1325">
        <v>121</v>
      </c>
      <c r="P1325">
        <v>2.4</v>
      </c>
      <c r="Q1325">
        <v>0.30099999999999999</v>
      </c>
      <c r="R1325" t="s">
        <v>72</v>
      </c>
      <c r="S1325" t="s">
        <v>7499</v>
      </c>
      <c r="T1325" t="b">
        <v>1</v>
      </c>
      <c r="U1325" t="s">
        <v>7500</v>
      </c>
      <c r="V1325" t="s">
        <v>4116</v>
      </c>
      <c r="W1325" t="s">
        <v>7501</v>
      </c>
      <c r="X1325" t="s">
        <v>47</v>
      </c>
      <c r="AA1325" t="s">
        <v>7502</v>
      </c>
      <c r="AB1325" t="s">
        <v>177</v>
      </c>
      <c r="AC1325" t="s">
        <v>7503</v>
      </c>
      <c r="AD1325" t="b">
        <v>0</v>
      </c>
      <c r="AF1325">
        <v>9</v>
      </c>
      <c r="AG1325" t="s">
        <v>251</v>
      </c>
    </row>
    <row r="1326" spans="1:33" x14ac:dyDescent="0.2">
      <c r="A1326">
        <v>1280</v>
      </c>
      <c r="B1326" t="s">
        <v>7504</v>
      </c>
      <c r="C1326" t="s">
        <v>34</v>
      </c>
      <c r="D1326" t="s">
        <v>35</v>
      </c>
      <c r="G1326" t="s">
        <v>213</v>
      </c>
      <c r="H1326" t="s">
        <v>83</v>
      </c>
      <c r="I1326" t="s">
        <v>2487</v>
      </c>
      <c r="J1326" t="s">
        <v>337</v>
      </c>
      <c r="K1326">
        <v>2005</v>
      </c>
      <c r="L1326">
        <v>2005</v>
      </c>
      <c r="M1326">
        <v>0.1</v>
      </c>
      <c r="N1326">
        <v>0.59399999999999997</v>
      </c>
      <c r="R1326" t="s">
        <v>84</v>
      </c>
      <c r="S1326" t="s">
        <v>7505</v>
      </c>
      <c r="T1326" t="b">
        <v>1</v>
      </c>
      <c r="U1326" t="s">
        <v>237</v>
      </c>
      <c r="V1326" t="s">
        <v>274</v>
      </c>
      <c r="W1326" t="s">
        <v>7506</v>
      </c>
      <c r="X1326" t="s">
        <v>47</v>
      </c>
      <c r="AA1326" t="s">
        <v>2492</v>
      </c>
      <c r="AC1326" t="s">
        <v>2493</v>
      </c>
      <c r="AD1326" t="b">
        <v>0</v>
      </c>
      <c r="AF1326">
        <v>4</v>
      </c>
      <c r="AG1326" t="s">
        <v>321</v>
      </c>
    </row>
    <row r="1327" spans="1:33" x14ac:dyDescent="0.2">
      <c r="A1327">
        <v>381</v>
      </c>
      <c r="B1327" t="s">
        <v>7507</v>
      </c>
      <c r="C1327" t="s">
        <v>34</v>
      </c>
      <c r="D1327" t="s">
        <v>35</v>
      </c>
      <c r="E1327" t="s">
        <v>277</v>
      </c>
      <c r="F1327" t="s">
        <v>278</v>
      </c>
      <c r="G1327" t="s">
        <v>93</v>
      </c>
      <c r="H1327" t="s">
        <v>94</v>
      </c>
      <c r="I1327" t="s">
        <v>2518</v>
      </c>
      <c r="J1327" t="s">
        <v>225</v>
      </c>
      <c r="K1327">
        <v>1965</v>
      </c>
      <c r="L1327">
        <v>1965</v>
      </c>
      <c r="M1327">
        <v>32</v>
      </c>
      <c r="N1327">
        <v>115.129</v>
      </c>
      <c r="O1327">
        <v>684.59</v>
      </c>
      <c r="P1327">
        <v>5.59</v>
      </c>
      <c r="Q1327">
        <v>1.587</v>
      </c>
      <c r="R1327" t="s">
        <v>72</v>
      </c>
      <c r="S1327" t="s">
        <v>7508</v>
      </c>
      <c r="T1327" t="b">
        <v>1</v>
      </c>
      <c r="U1327" t="s">
        <v>7509</v>
      </c>
      <c r="V1327" t="s">
        <v>7510</v>
      </c>
      <c r="W1327" t="s">
        <v>7511</v>
      </c>
      <c r="X1327" t="s">
        <v>47</v>
      </c>
      <c r="AA1327" t="s">
        <v>340</v>
      </c>
      <c r="AB1327" t="s">
        <v>256</v>
      </c>
      <c r="AC1327" t="s">
        <v>1063</v>
      </c>
      <c r="AD1327" t="b">
        <v>0</v>
      </c>
      <c r="AF1327">
        <v>8</v>
      </c>
      <c r="AG1327" t="s">
        <v>78</v>
      </c>
    </row>
    <row r="1328" spans="1:33" x14ac:dyDescent="0.2">
      <c r="A1328">
        <v>840</v>
      </c>
      <c r="B1328" t="s">
        <v>7512</v>
      </c>
      <c r="C1328" t="s">
        <v>34</v>
      </c>
      <c r="D1328" t="s">
        <v>35</v>
      </c>
      <c r="E1328" t="s">
        <v>7513</v>
      </c>
      <c r="F1328" t="s">
        <v>7514</v>
      </c>
      <c r="G1328" t="s">
        <v>68</v>
      </c>
      <c r="H1328" t="s">
        <v>69</v>
      </c>
      <c r="I1328" t="s">
        <v>1458</v>
      </c>
      <c r="J1328" t="s">
        <v>1459</v>
      </c>
      <c r="K1328">
        <v>2004</v>
      </c>
      <c r="L1328">
        <v>2004</v>
      </c>
      <c r="M1328">
        <v>2</v>
      </c>
      <c r="N1328">
        <v>8.0879999999999992</v>
      </c>
      <c r="O1328">
        <v>226</v>
      </c>
      <c r="P1328">
        <v>1.1000000000000001</v>
      </c>
      <c r="Q1328">
        <v>0.505</v>
      </c>
      <c r="R1328" t="s">
        <v>72</v>
      </c>
      <c r="S1328" t="s">
        <v>7515</v>
      </c>
      <c r="T1328" t="b">
        <v>1</v>
      </c>
      <c r="U1328" t="s">
        <v>7516</v>
      </c>
      <c r="V1328" t="s">
        <v>7517</v>
      </c>
      <c r="W1328" t="s">
        <v>7518</v>
      </c>
      <c r="X1328" t="s">
        <v>47</v>
      </c>
      <c r="AA1328" t="s">
        <v>7502</v>
      </c>
      <c r="AB1328" t="s">
        <v>49</v>
      </c>
      <c r="AC1328" t="s">
        <v>7519</v>
      </c>
      <c r="AD1328" t="b">
        <v>0</v>
      </c>
      <c r="AF1328">
        <v>8</v>
      </c>
      <c r="AG1328" t="s">
        <v>78</v>
      </c>
    </row>
    <row r="1329" spans="1:33" x14ac:dyDescent="0.2">
      <c r="A1329">
        <v>382</v>
      </c>
      <c r="B1329" t="s">
        <v>7520</v>
      </c>
      <c r="C1329" t="s">
        <v>34</v>
      </c>
      <c r="D1329" t="s">
        <v>35</v>
      </c>
      <c r="E1329" t="s">
        <v>2350</v>
      </c>
      <c r="F1329" t="s">
        <v>2351</v>
      </c>
      <c r="G1329" t="s">
        <v>377</v>
      </c>
      <c r="H1329" t="s">
        <v>378</v>
      </c>
      <c r="I1329" t="s">
        <v>3564</v>
      </c>
      <c r="J1329" t="s">
        <v>612</v>
      </c>
      <c r="K1329">
        <v>1953</v>
      </c>
      <c r="L1329">
        <v>1953</v>
      </c>
      <c r="M1329">
        <v>6.78</v>
      </c>
      <c r="N1329">
        <v>26.654</v>
      </c>
      <c r="O1329">
        <v>70</v>
      </c>
      <c r="P1329">
        <v>10.6</v>
      </c>
      <c r="Q1329">
        <v>0.17799999999999999</v>
      </c>
      <c r="R1329" t="s">
        <v>42</v>
      </c>
      <c r="S1329" t="s">
        <v>7521</v>
      </c>
      <c r="T1329" t="b">
        <v>1</v>
      </c>
      <c r="U1329" t="s">
        <v>7522</v>
      </c>
      <c r="V1329" t="s">
        <v>2355</v>
      </c>
      <c r="W1329" t="s">
        <v>7523</v>
      </c>
      <c r="X1329" t="s">
        <v>47</v>
      </c>
      <c r="AA1329" t="s">
        <v>3568</v>
      </c>
      <c r="AB1329" t="s">
        <v>177</v>
      </c>
      <c r="AC1329" t="s">
        <v>3569</v>
      </c>
      <c r="AD1329" t="b">
        <v>0</v>
      </c>
      <c r="AF1329">
        <v>11</v>
      </c>
      <c r="AG1329" t="s">
        <v>198</v>
      </c>
    </row>
    <row r="1330" spans="1:33" x14ac:dyDescent="0.2">
      <c r="A1330">
        <v>1037</v>
      </c>
      <c r="B1330" t="s">
        <v>7524</v>
      </c>
      <c r="C1330" t="s">
        <v>34</v>
      </c>
      <c r="D1330" t="s">
        <v>35</v>
      </c>
      <c r="E1330" t="s">
        <v>168</v>
      </c>
      <c r="F1330" t="s">
        <v>169</v>
      </c>
      <c r="G1330" t="s">
        <v>503</v>
      </c>
      <c r="H1330" t="s">
        <v>462</v>
      </c>
      <c r="I1330" t="s">
        <v>564</v>
      </c>
      <c r="J1330" t="s">
        <v>515</v>
      </c>
      <c r="K1330">
        <v>2002</v>
      </c>
      <c r="L1330">
        <v>2002</v>
      </c>
      <c r="M1330">
        <v>0.86</v>
      </c>
      <c r="N1330">
        <v>1.9870000000000001</v>
      </c>
      <c r="R1330" t="s">
        <v>84</v>
      </c>
      <c r="S1330" t="s">
        <v>7525</v>
      </c>
      <c r="T1330" t="b">
        <v>1</v>
      </c>
      <c r="U1330" t="s">
        <v>247</v>
      </c>
      <c r="V1330" t="s">
        <v>174</v>
      </c>
      <c r="W1330" t="s">
        <v>7526</v>
      </c>
      <c r="X1330" t="s">
        <v>47</v>
      </c>
      <c r="AA1330" t="s">
        <v>509</v>
      </c>
      <c r="AC1330" t="s">
        <v>510</v>
      </c>
      <c r="AD1330" t="b">
        <v>0</v>
      </c>
      <c r="AF1330">
        <v>3</v>
      </c>
      <c r="AG1330" t="s">
        <v>332</v>
      </c>
    </row>
    <row r="1331" spans="1:33" x14ac:dyDescent="0.2">
      <c r="A1331">
        <v>1816</v>
      </c>
      <c r="B1331" t="s">
        <v>7527</v>
      </c>
      <c r="C1331" t="s">
        <v>34</v>
      </c>
      <c r="D1331" t="s">
        <v>35</v>
      </c>
      <c r="E1331" t="s">
        <v>7528</v>
      </c>
      <c r="F1331" t="s">
        <v>7529</v>
      </c>
      <c r="G1331" t="s">
        <v>242</v>
      </c>
      <c r="H1331" t="s">
        <v>243</v>
      </c>
      <c r="I1331" t="s">
        <v>1003</v>
      </c>
      <c r="J1331" t="s">
        <v>192</v>
      </c>
      <c r="K1331">
        <v>2015</v>
      </c>
      <c r="L1331">
        <v>2015</v>
      </c>
      <c r="M1331">
        <v>0.42</v>
      </c>
      <c r="N1331">
        <v>1.8460000000000001</v>
      </c>
      <c r="O1331">
        <v>69</v>
      </c>
      <c r="P1331">
        <v>0.71</v>
      </c>
      <c r="Q1331">
        <v>0.16400000000000001</v>
      </c>
      <c r="R1331" t="s">
        <v>72</v>
      </c>
      <c r="S1331" t="s">
        <v>7530</v>
      </c>
      <c r="T1331" t="b">
        <v>1</v>
      </c>
      <c r="U1331" t="s">
        <v>7531</v>
      </c>
      <c r="V1331" t="s">
        <v>7532</v>
      </c>
      <c r="W1331" t="s">
        <v>7533</v>
      </c>
      <c r="X1331" t="s">
        <v>47</v>
      </c>
      <c r="AA1331" t="s">
        <v>884</v>
      </c>
      <c r="AC1331" t="s">
        <v>885</v>
      </c>
      <c r="AD1331" t="b">
        <v>0</v>
      </c>
      <c r="AF1331">
        <v>9</v>
      </c>
      <c r="AG1331" t="s">
        <v>251</v>
      </c>
    </row>
    <row r="1332" spans="1:33" x14ac:dyDescent="0.2">
      <c r="A1332">
        <v>383</v>
      </c>
      <c r="B1332" t="s">
        <v>7534</v>
      </c>
      <c r="C1332" t="s">
        <v>34</v>
      </c>
      <c r="D1332" t="s">
        <v>35</v>
      </c>
      <c r="E1332" t="s">
        <v>2636</v>
      </c>
      <c r="F1332" t="s">
        <v>2637</v>
      </c>
      <c r="G1332" t="s">
        <v>38</v>
      </c>
      <c r="H1332" t="s">
        <v>39</v>
      </c>
      <c r="I1332" t="s">
        <v>4713</v>
      </c>
      <c r="J1332" t="s">
        <v>227</v>
      </c>
      <c r="K1332">
        <v>1964</v>
      </c>
      <c r="L1332">
        <v>1964</v>
      </c>
      <c r="M1332">
        <v>48</v>
      </c>
      <c r="N1332">
        <v>283.00900000000001</v>
      </c>
      <c r="O1332">
        <v>19.7</v>
      </c>
      <c r="P1332">
        <v>258.32</v>
      </c>
      <c r="Q1332">
        <v>0.05</v>
      </c>
      <c r="R1332" t="s">
        <v>42</v>
      </c>
      <c r="S1332" t="s">
        <v>7535</v>
      </c>
      <c r="T1332" t="b">
        <v>1</v>
      </c>
      <c r="U1332" t="s">
        <v>7536</v>
      </c>
      <c r="V1332" t="s">
        <v>2641</v>
      </c>
      <c r="W1332" t="s">
        <v>7537</v>
      </c>
      <c r="X1332" t="s">
        <v>47</v>
      </c>
      <c r="AA1332" t="s">
        <v>5659</v>
      </c>
      <c r="AB1332" t="s">
        <v>177</v>
      </c>
      <c r="AC1332" t="s">
        <v>5660</v>
      </c>
      <c r="AD1332" t="b">
        <v>0</v>
      </c>
      <c r="AF1332">
        <v>12</v>
      </c>
      <c r="AG1332" t="s">
        <v>51</v>
      </c>
    </row>
    <row r="1333" spans="1:33" x14ac:dyDescent="0.2">
      <c r="A1333">
        <v>384</v>
      </c>
      <c r="B1333" t="s">
        <v>7538</v>
      </c>
      <c r="C1333" t="s">
        <v>34</v>
      </c>
      <c r="D1333" t="s">
        <v>35</v>
      </c>
      <c r="E1333" t="s">
        <v>728</v>
      </c>
      <c r="F1333" t="s">
        <v>729</v>
      </c>
      <c r="G1333" t="s">
        <v>53</v>
      </c>
      <c r="H1333" t="s">
        <v>54</v>
      </c>
      <c r="I1333" t="s">
        <v>1039</v>
      </c>
      <c r="J1333" t="s">
        <v>243</v>
      </c>
      <c r="K1333">
        <v>1987</v>
      </c>
      <c r="L1333">
        <v>1987</v>
      </c>
      <c r="M1333">
        <v>7.7</v>
      </c>
      <c r="N1333">
        <v>36.716999999999999</v>
      </c>
      <c r="O1333">
        <v>341</v>
      </c>
      <c r="P1333">
        <v>2.59</v>
      </c>
      <c r="Q1333">
        <v>0.82299999999999995</v>
      </c>
      <c r="R1333" t="s">
        <v>72</v>
      </c>
      <c r="S1333" t="s">
        <v>7539</v>
      </c>
      <c r="T1333" t="b">
        <v>1</v>
      </c>
      <c r="U1333" t="s">
        <v>7540</v>
      </c>
      <c r="V1333" t="s">
        <v>2923</v>
      </c>
      <c r="W1333" t="s">
        <v>7069</v>
      </c>
      <c r="X1333" t="s">
        <v>47</v>
      </c>
      <c r="AA1333" t="s">
        <v>3480</v>
      </c>
      <c r="AB1333" t="s">
        <v>119</v>
      </c>
      <c r="AC1333" t="s">
        <v>5511</v>
      </c>
      <c r="AD1333" t="b">
        <v>0</v>
      </c>
      <c r="AF1333">
        <v>13</v>
      </c>
      <c r="AG1333" t="s">
        <v>155</v>
      </c>
    </row>
    <row r="1334" spans="1:33" x14ac:dyDescent="0.2">
      <c r="A1334">
        <v>1020</v>
      </c>
      <c r="B1334" t="s">
        <v>7541</v>
      </c>
      <c r="C1334" t="s">
        <v>34</v>
      </c>
      <c r="D1334" t="s">
        <v>35</v>
      </c>
      <c r="G1334" t="s">
        <v>213</v>
      </c>
      <c r="H1334" t="s">
        <v>83</v>
      </c>
      <c r="I1334" t="s">
        <v>214</v>
      </c>
      <c r="J1334" t="s">
        <v>215</v>
      </c>
      <c r="K1334">
        <v>2003</v>
      </c>
      <c r="L1334">
        <v>2003</v>
      </c>
      <c r="M1334">
        <v>0.11</v>
      </c>
      <c r="N1334">
        <v>0.47399999999999998</v>
      </c>
      <c r="O1334">
        <v>10</v>
      </c>
      <c r="R1334" t="s">
        <v>84</v>
      </c>
      <c r="S1334" t="s">
        <v>7542</v>
      </c>
      <c r="T1334" t="b">
        <v>1</v>
      </c>
      <c r="U1334" t="s">
        <v>7543</v>
      </c>
      <c r="V1334" t="s">
        <v>274</v>
      </c>
      <c r="W1334" t="s">
        <v>7544</v>
      </c>
      <c r="X1334" t="s">
        <v>47</v>
      </c>
      <c r="AA1334" t="s">
        <v>114</v>
      </c>
      <c r="AC1334" t="s">
        <v>63</v>
      </c>
      <c r="AD1334" t="b">
        <v>0</v>
      </c>
      <c r="AF1334">
        <v>5</v>
      </c>
      <c r="AG1334" t="s">
        <v>89</v>
      </c>
    </row>
    <row r="1335" spans="1:33" x14ac:dyDescent="0.2">
      <c r="A1335">
        <v>385</v>
      </c>
      <c r="B1335" t="s">
        <v>7545</v>
      </c>
      <c r="C1335" t="s">
        <v>34</v>
      </c>
      <c r="D1335" t="s">
        <v>35</v>
      </c>
      <c r="E1335" t="s">
        <v>404</v>
      </c>
      <c r="F1335" t="s">
        <v>405</v>
      </c>
      <c r="G1335" t="s">
        <v>224</v>
      </c>
      <c r="H1335" t="s">
        <v>225</v>
      </c>
      <c r="I1335" t="s">
        <v>2631</v>
      </c>
      <c r="J1335" t="s">
        <v>308</v>
      </c>
      <c r="K1335">
        <v>1983</v>
      </c>
      <c r="L1335">
        <v>1983</v>
      </c>
      <c r="M1335">
        <v>97</v>
      </c>
      <c r="N1335">
        <v>379.68799999999999</v>
      </c>
      <c r="O1335">
        <v>60.09</v>
      </c>
      <c r="P1335">
        <v>180</v>
      </c>
      <c r="Q1335">
        <v>0.14899999999999999</v>
      </c>
      <c r="R1335" t="s">
        <v>97</v>
      </c>
      <c r="S1335" t="s">
        <v>7546</v>
      </c>
      <c r="T1335" t="b">
        <v>1</v>
      </c>
      <c r="U1335" t="s">
        <v>3994</v>
      </c>
      <c r="V1335" t="s">
        <v>7547</v>
      </c>
      <c r="W1335" t="s">
        <v>7548</v>
      </c>
      <c r="X1335" t="s">
        <v>47</v>
      </c>
      <c r="AA1335" t="s">
        <v>1548</v>
      </c>
      <c r="AB1335" t="s">
        <v>231</v>
      </c>
      <c r="AC1335" t="s">
        <v>1549</v>
      </c>
      <c r="AD1335" t="b">
        <v>0</v>
      </c>
      <c r="AF1335">
        <v>1</v>
      </c>
      <c r="AG1335" t="s">
        <v>104</v>
      </c>
    </row>
    <row r="1336" spans="1:33" x14ac:dyDescent="0.2">
      <c r="A1336">
        <v>858</v>
      </c>
      <c r="B1336" t="s">
        <v>7549</v>
      </c>
      <c r="C1336" t="s">
        <v>34</v>
      </c>
      <c r="D1336" t="s">
        <v>35</v>
      </c>
      <c r="E1336" t="s">
        <v>7550</v>
      </c>
      <c r="F1336" t="s">
        <v>7551</v>
      </c>
      <c r="G1336" t="s">
        <v>93</v>
      </c>
      <c r="H1336" t="s">
        <v>94</v>
      </c>
      <c r="I1336" t="s">
        <v>7552</v>
      </c>
      <c r="J1336" t="s">
        <v>663</v>
      </c>
      <c r="K1336">
        <v>1988</v>
      </c>
      <c r="L1336">
        <v>1988</v>
      </c>
      <c r="M1336">
        <v>0.96</v>
      </c>
      <c r="N1336">
        <v>2.343</v>
      </c>
      <c r="O1336">
        <v>26.4</v>
      </c>
      <c r="P1336">
        <v>3.4</v>
      </c>
      <c r="R1336" t="s">
        <v>97</v>
      </c>
      <c r="S1336" t="s">
        <v>7553</v>
      </c>
      <c r="T1336" t="b">
        <v>1</v>
      </c>
      <c r="U1336" t="s">
        <v>1059</v>
      </c>
      <c r="V1336" t="s">
        <v>7554</v>
      </c>
      <c r="W1336" t="s">
        <v>113</v>
      </c>
      <c r="X1336" t="s">
        <v>47</v>
      </c>
      <c r="AA1336" t="s">
        <v>102</v>
      </c>
      <c r="AC1336" t="s">
        <v>103</v>
      </c>
      <c r="AD1336" t="b">
        <v>0</v>
      </c>
      <c r="AF1336">
        <v>1</v>
      </c>
      <c r="AG1336" t="s">
        <v>104</v>
      </c>
    </row>
    <row r="1337" spans="1:33" x14ac:dyDescent="0.2">
      <c r="A1337">
        <v>1341</v>
      </c>
      <c r="B1337" t="s">
        <v>7555</v>
      </c>
      <c r="C1337" t="s">
        <v>34</v>
      </c>
      <c r="D1337" t="s">
        <v>35</v>
      </c>
      <c r="E1337" t="s">
        <v>7556</v>
      </c>
      <c r="F1337" t="s">
        <v>7557</v>
      </c>
      <c r="G1337" t="s">
        <v>53</v>
      </c>
      <c r="H1337" t="s">
        <v>54</v>
      </c>
      <c r="I1337" t="s">
        <v>1251</v>
      </c>
      <c r="J1337" t="s">
        <v>177</v>
      </c>
      <c r="K1337">
        <v>2002</v>
      </c>
      <c r="L1337">
        <v>2002</v>
      </c>
      <c r="M1337">
        <v>1.3</v>
      </c>
      <c r="N1337">
        <v>2.871</v>
      </c>
      <c r="O1337">
        <v>75</v>
      </c>
      <c r="P1337">
        <v>2.2000000000000002</v>
      </c>
      <c r="Q1337">
        <v>0.16400000000000001</v>
      </c>
      <c r="R1337" t="s">
        <v>72</v>
      </c>
      <c r="S1337" t="s">
        <v>7558</v>
      </c>
      <c r="T1337" t="b">
        <v>1</v>
      </c>
      <c r="U1337" t="s">
        <v>247</v>
      </c>
      <c r="V1337" t="s">
        <v>7559</v>
      </c>
      <c r="W1337" t="s">
        <v>7560</v>
      </c>
      <c r="X1337" t="s">
        <v>47</v>
      </c>
      <c r="AA1337" t="s">
        <v>3480</v>
      </c>
      <c r="AB1337" t="s">
        <v>71</v>
      </c>
      <c r="AC1337" t="s">
        <v>5511</v>
      </c>
      <c r="AD1337" t="b">
        <v>0</v>
      </c>
      <c r="AF1337">
        <v>13</v>
      </c>
      <c r="AG1337" t="s">
        <v>155</v>
      </c>
    </row>
    <row r="1338" spans="1:33" x14ac:dyDescent="0.2">
      <c r="A1338">
        <v>760</v>
      </c>
      <c r="B1338" t="s">
        <v>7561</v>
      </c>
      <c r="C1338" t="s">
        <v>34</v>
      </c>
      <c r="D1338" t="s">
        <v>35</v>
      </c>
      <c r="E1338" t="s">
        <v>7562</v>
      </c>
      <c r="F1338" t="s">
        <v>7563</v>
      </c>
      <c r="G1338" t="s">
        <v>916</v>
      </c>
      <c r="H1338" t="s">
        <v>567</v>
      </c>
      <c r="I1338" t="s">
        <v>1113</v>
      </c>
      <c r="J1338" t="s">
        <v>49</v>
      </c>
      <c r="K1338">
        <v>1997</v>
      </c>
      <c r="L1338">
        <v>1997</v>
      </c>
      <c r="M1338">
        <v>2.4</v>
      </c>
      <c r="N1338">
        <v>9.1579999999999995</v>
      </c>
      <c r="O1338">
        <v>7.69</v>
      </c>
      <c r="P1338">
        <v>37</v>
      </c>
      <c r="Q1338">
        <v>1.7000000000000001E-2</v>
      </c>
      <c r="R1338" t="s">
        <v>97</v>
      </c>
      <c r="S1338" t="s">
        <v>7564</v>
      </c>
      <c r="T1338" t="b">
        <v>1</v>
      </c>
      <c r="U1338" t="s">
        <v>7565</v>
      </c>
      <c r="V1338" t="s">
        <v>7566</v>
      </c>
      <c r="W1338" t="s">
        <v>7567</v>
      </c>
      <c r="X1338" t="s">
        <v>47</v>
      </c>
      <c r="AA1338" t="s">
        <v>1116</v>
      </c>
      <c r="AB1338" t="s">
        <v>177</v>
      </c>
      <c r="AC1338" t="s">
        <v>1117</v>
      </c>
      <c r="AD1338" t="b">
        <v>0</v>
      </c>
      <c r="AF1338">
        <v>1</v>
      </c>
      <c r="AG1338" t="s">
        <v>104</v>
      </c>
    </row>
    <row r="1339" spans="1:33" x14ac:dyDescent="0.2">
      <c r="A1339">
        <v>1953</v>
      </c>
      <c r="B1339" t="s">
        <v>7568</v>
      </c>
      <c r="C1339" t="s">
        <v>34</v>
      </c>
      <c r="D1339" t="s">
        <v>35</v>
      </c>
      <c r="E1339" t="s">
        <v>7569</v>
      </c>
      <c r="F1339" t="s">
        <v>7570</v>
      </c>
      <c r="G1339" t="s">
        <v>68</v>
      </c>
      <c r="H1339" t="s">
        <v>69</v>
      </c>
      <c r="I1339" t="s">
        <v>453</v>
      </c>
      <c r="J1339" t="s">
        <v>192</v>
      </c>
      <c r="K1339">
        <v>2019</v>
      </c>
      <c r="L1339">
        <v>2019</v>
      </c>
      <c r="M1339">
        <v>2.9</v>
      </c>
      <c r="N1339">
        <v>9.9710000000000001</v>
      </c>
      <c r="O1339">
        <v>319</v>
      </c>
      <c r="P1339">
        <v>1.1000000000000001</v>
      </c>
      <c r="Q1339">
        <v>0.73199999999999998</v>
      </c>
      <c r="R1339" t="s">
        <v>72</v>
      </c>
      <c r="S1339" t="s">
        <v>7571</v>
      </c>
      <c r="T1339" t="b">
        <v>1</v>
      </c>
      <c r="U1339" t="s">
        <v>7572</v>
      </c>
      <c r="V1339" t="s">
        <v>7573</v>
      </c>
      <c r="W1339" t="s">
        <v>7574</v>
      </c>
      <c r="X1339" t="s">
        <v>47</v>
      </c>
      <c r="AA1339" t="s">
        <v>114</v>
      </c>
      <c r="AC1339" t="s">
        <v>63</v>
      </c>
      <c r="AD1339" t="b">
        <v>0</v>
      </c>
      <c r="AF1339">
        <v>8</v>
      </c>
      <c r="AG1339" t="s">
        <v>78</v>
      </c>
    </row>
    <row r="1340" spans="1:33" x14ac:dyDescent="0.2">
      <c r="A1340">
        <v>386</v>
      </c>
      <c r="B1340" t="s">
        <v>7575</v>
      </c>
      <c r="C1340" t="s">
        <v>34</v>
      </c>
      <c r="D1340" t="s">
        <v>35</v>
      </c>
      <c r="E1340" t="s">
        <v>728</v>
      </c>
      <c r="F1340" t="s">
        <v>729</v>
      </c>
      <c r="G1340" t="s">
        <v>53</v>
      </c>
      <c r="H1340" t="s">
        <v>54</v>
      </c>
      <c r="I1340" t="s">
        <v>2058</v>
      </c>
      <c r="J1340" t="s">
        <v>354</v>
      </c>
      <c r="K1340">
        <v>1936</v>
      </c>
      <c r="L1340">
        <v>1936</v>
      </c>
      <c r="M1340">
        <v>1.8</v>
      </c>
      <c r="N1340">
        <v>6.17</v>
      </c>
      <c r="O1340">
        <v>340</v>
      </c>
      <c r="P1340">
        <v>0.69</v>
      </c>
      <c r="Q1340">
        <v>0.71299999999999997</v>
      </c>
      <c r="R1340" t="s">
        <v>72</v>
      </c>
      <c r="S1340" t="s">
        <v>7576</v>
      </c>
      <c r="T1340" t="b">
        <v>1</v>
      </c>
      <c r="U1340" t="s">
        <v>4387</v>
      </c>
      <c r="V1340" t="s">
        <v>2923</v>
      </c>
      <c r="W1340" t="s">
        <v>7577</v>
      </c>
      <c r="X1340" t="s">
        <v>47</v>
      </c>
      <c r="AA1340" t="s">
        <v>7578</v>
      </c>
      <c r="AB1340" t="s">
        <v>49</v>
      </c>
      <c r="AC1340" t="s">
        <v>7579</v>
      </c>
      <c r="AD1340" t="b">
        <v>0</v>
      </c>
      <c r="AF1340">
        <v>13</v>
      </c>
      <c r="AG1340" t="s">
        <v>155</v>
      </c>
    </row>
    <row r="1341" spans="1:33" x14ac:dyDescent="0.2">
      <c r="A1341">
        <v>2028</v>
      </c>
      <c r="B1341" t="s">
        <v>7580</v>
      </c>
      <c r="C1341" t="s">
        <v>34</v>
      </c>
      <c r="D1341" t="s">
        <v>35</v>
      </c>
      <c r="E1341" t="s">
        <v>892</v>
      </c>
      <c r="F1341" t="s">
        <v>893</v>
      </c>
      <c r="G1341" t="s">
        <v>68</v>
      </c>
      <c r="H1341" t="s">
        <v>69</v>
      </c>
      <c r="I1341" t="s">
        <v>445</v>
      </c>
      <c r="J1341" t="s">
        <v>203</v>
      </c>
      <c r="K1341">
        <v>2021</v>
      </c>
      <c r="L1341">
        <v>2021</v>
      </c>
      <c r="M1341">
        <v>6.81</v>
      </c>
      <c r="N1341">
        <v>21.346</v>
      </c>
      <c r="O1341">
        <v>199.5</v>
      </c>
      <c r="P1341">
        <v>4.2</v>
      </c>
      <c r="Q1341">
        <v>0.45</v>
      </c>
      <c r="R1341" t="s">
        <v>72</v>
      </c>
      <c r="S1341" t="s">
        <v>7581</v>
      </c>
      <c r="T1341" t="b">
        <v>1</v>
      </c>
      <c r="U1341" t="s">
        <v>7582</v>
      </c>
      <c r="V1341" t="s">
        <v>896</v>
      </c>
      <c r="W1341" t="s">
        <v>7583</v>
      </c>
      <c r="X1341" t="s">
        <v>47</v>
      </c>
      <c r="AA1341" t="s">
        <v>7580</v>
      </c>
      <c r="AC1341" t="s">
        <v>63</v>
      </c>
      <c r="AD1341" t="b">
        <v>0</v>
      </c>
      <c r="AF1341">
        <v>8</v>
      </c>
      <c r="AG1341" t="s">
        <v>78</v>
      </c>
    </row>
    <row r="1342" spans="1:33" x14ac:dyDescent="0.2">
      <c r="A1342">
        <v>1116</v>
      </c>
      <c r="B1342" t="s">
        <v>7584</v>
      </c>
      <c r="C1342" t="s">
        <v>34</v>
      </c>
      <c r="D1342" t="s">
        <v>35</v>
      </c>
      <c r="E1342" t="s">
        <v>7585</v>
      </c>
      <c r="F1342" t="s">
        <v>7586</v>
      </c>
      <c r="G1342" t="s">
        <v>242</v>
      </c>
      <c r="H1342" t="s">
        <v>243</v>
      </c>
      <c r="I1342" t="s">
        <v>4582</v>
      </c>
      <c r="J1342" t="s">
        <v>533</v>
      </c>
      <c r="K1342">
        <v>1997</v>
      </c>
      <c r="L1342">
        <v>1997</v>
      </c>
      <c r="M1342">
        <v>0.08</v>
      </c>
      <c r="N1342">
        <v>0.31900000000000001</v>
      </c>
      <c r="R1342" t="s">
        <v>42</v>
      </c>
      <c r="S1342" t="s">
        <v>7587</v>
      </c>
      <c r="T1342" t="b">
        <v>1</v>
      </c>
      <c r="U1342" t="s">
        <v>111</v>
      </c>
      <c r="V1342" t="s">
        <v>7588</v>
      </c>
      <c r="W1342" t="s">
        <v>7589</v>
      </c>
      <c r="X1342" t="s">
        <v>47</v>
      </c>
      <c r="AA1342" t="s">
        <v>261</v>
      </c>
      <c r="AC1342" t="s">
        <v>263</v>
      </c>
      <c r="AD1342" t="b">
        <v>0</v>
      </c>
      <c r="AF1342">
        <v>10</v>
      </c>
      <c r="AG1342" t="s">
        <v>143</v>
      </c>
    </row>
    <row r="1343" spans="1:33" x14ac:dyDescent="0.2">
      <c r="A1343">
        <v>387</v>
      </c>
      <c r="B1343" t="s">
        <v>7590</v>
      </c>
      <c r="C1343" t="s">
        <v>34</v>
      </c>
      <c r="D1343" t="s">
        <v>35</v>
      </c>
      <c r="E1343" t="s">
        <v>4674</v>
      </c>
      <c r="F1343" t="s">
        <v>4675</v>
      </c>
      <c r="G1343" t="s">
        <v>503</v>
      </c>
      <c r="H1343" t="s">
        <v>462</v>
      </c>
      <c r="I1343" t="s">
        <v>578</v>
      </c>
      <c r="J1343" t="s">
        <v>308</v>
      </c>
      <c r="K1343">
        <v>1953</v>
      </c>
      <c r="L1343">
        <v>1953</v>
      </c>
      <c r="M1343">
        <v>24</v>
      </c>
      <c r="N1343">
        <v>161.774</v>
      </c>
      <c r="O1343">
        <v>10</v>
      </c>
      <c r="P1343">
        <v>290</v>
      </c>
      <c r="Q1343">
        <v>2.3E-2</v>
      </c>
      <c r="R1343" t="s">
        <v>84</v>
      </c>
      <c r="S1343" t="s">
        <v>7591</v>
      </c>
      <c r="T1343" t="b">
        <v>1</v>
      </c>
      <c r="U1343" t="s">
        <v>6454</v>
      </c>
      <c r="V1343" t="s">
        <v>4678</v>
      </c>
      <c r="W1343" t="s">
        <v>7592</v>
      </c>
      <c r="X1343" t="s">
        <v>47</v>
      </c>
      <c r="AA1343" t="s">
        <v>583</v>
      </c>
      <c r="AB1343" t="s">
        <v>231</v>
      </c>
      <c r="AC1343" t="s">
        <v>585</v>
      </c>
      <c r="AD1343" t="b">
        <v>0</v>
      </c>
      <c r="AF1343">
        <v>3</v>
      </c>
      <c r="AG1343" t="s">
        <v>332</v>
      </c>
    </row>
    <row r="1344" spans="1:33" x14ac:dyDescent="0.2">
      <c r="A1344">
        <v>772</v>
      </c>
      <c r="B1344" t="s">
        <v>7593</v>
      </c>
      <c r="C1344" t="s">
        <v>34</v>
      </c>
      <c r="D1344" t="s">
        <v>35</v>
      </c>
      <c r="E1344" t="s">
        <v>7594</v>
      </c>
      <c r="F1344" t="s">
        <v>7595</v>
      </c>
      <c r="G1344" t="s">
        <v>224</v>
      </c>
      <c r="H1344" t="s">
        <v>225</v>
      </c>
      <c r="I1344" t="s">
        <v>3222</v>
      </c>
      <c r="J1344" t="s">
        <v>337</v>
      </c>
      <c r="K1344">
        <v>1992</v>
      </c>
      <c r="L1344">
        <v>1992</v>
      </c>
      <c r="M1344">
        <v>1</v>
      </c>
      <c r="N1344">
        <v>1.845</v>
      </c>
      <c r="O1344">
        <v>20</v>
      </c>
      <c r="P1344">
        <v>6</v>
      </c>
      <c r="Q1344">
        <v>4.5999999999999999E-2</v>
      </c>
      <c r="R1344" t="s">
        <v>97</v>
      </c>
      <c r="S1344" t="s">
        <v>7596</v>
      </c>
      <c r="T1344" t="b">
        <v>1</v>
      </c>
      <c r="U1344" t="s">
        <v>5269</v>
      </c>
      <c r="V1344" t="s">
        <v>7597</v>
      </c>
      <c r="W1344" t="s">
        <v>7598</v>
      </c>
      <c r="X1344" t="s">
        <v>47</v>
      </c>
      <c r="AA1344" t="s">
        <v>102</v>
      </c>
      <c r="AB1344" t="s">
        <v>7599</v>
      </c>
      <c r="AC1344" t="s">
        <v>103</v>
      </c>
      <c r="AD1344" t="b">
        <v>0</v>
      </c>
      <c r="AF1344">
        <v>1</v>
      </c>
      <c r="AG1344" t="s">
        <v>104</v>
      </c>
    </row>
    <row r="1345" spans="1:33" x14ac:dyDescent="0.2">
      <c r="A1345">
        <v>1722</v>
      </c>
      <c r="B1345" t="s">
        <v>7600</v>
      </c>
      <c r="C1345" t="s">
        <v>34</v>
      </c>
      <c r="D1345" t="s">
        <v>35</v>
      </c>
      <c r="E1345" t="s">
        <v>168</v>
      </c>
      <c r="F1345" t="s">
        <v>169</v>
      </c>
      <c r="G1345" t="s">
        <v>134</v>
      </c>
      <c r="H1345" t="s">
        <v>135</v>
      </c>
      <c r="I1345" t="s">
        <v>136</v>
      </c>
      <c r="J1345" t="s">
        <v>41</v>
      </c>
      <c r="K1345">
        <v>2014</v>
      </c>
      <c r="L1345">
        <v>2014</v>
      </c>
      <c r="M1345">
        <v>5</v>
      </c>
      <c r="N1345">
        <v>13.282</v>
      </c>
      <c r="O1345">
        <v>259</v>
      </c>
      <c r="P1345">
        <v>2.4</v>
      </c>
      <c r="Q1345">
        <v>0.57899999999999996</v>
      </c>
      <c r="R1345" t="s">
        <v>42</v>
      </c>
      <c r="S1345" t="s">
        <v>7601</v>
      </c>
      <c r="T1345" t="b">
        <v>1</v>
      </c>
      <c r="U1345" t="s">
        <v>7602</v>
      </c>
      <c r="V1345" t="s">
        <v>174</v>
      </c>
      <c r="W1345" t="s">
        <v>7603</v>
      </c>
      <c r="X1345" t="s">
        <v>47</v>
      </c>
      <c r="AA1345" t="s">
        <v>7600</v>
      </c>
      <c r="AC1345" t="s">
        <v>63</v>
      </c>
      <c r="AD1345" t="b">
        <v>0</v>
      </c>
      <c r="AF1345">
        <v>10</v>
      </c>
      <c r="AG1345" t="s">
        <v>143</v>
      </c>
    </row>
    <row r="1346" spans="1:33" x14ac:dyDescent="0.2">
      <c r="A1346">
        <v>750</v>
      </c>
      <c r="B1346" t="s">
        <v>7604</v>
      </c>
      <c r="C1346" t="s">
        <v>34</v>
      </c>
      <c r="D1346" t="s">
        <v>35</v>
      </c>
      <c r="E1346" t="s">
        <v>2669</v>
      </c>
      <c r="F1346" t="s">
        <v>2670</v>
      </c>
      <c r="G1346" t="s">
        <v>503</v>
      </c>
      <c r="H1346" t="s">
        <v>462</v>
      </c>
      <c r="I1346" t="s">
        <v>504</v>
      </c>
      <c r="J1346" t="s">
        <v>109</v>
      </c>
      <c r="K1346">
        <v>1995</v>
      </c>
      <c r="L1346">
        <v>1995</v>
      </c>
      <c r="M1346">
        <v>6.9</v>
      </c>
      <c r="N1346">
        <v>39.457999999999998</v>
      </c>
      <c r="O1346">
        <v>55.1</v>
      </c>
      <c r="P1346">
        <v>14.5</v>
      </c>
      <c r="Q1346">
        <v>0.13200000000000001</v>
      </c>
      <c r="R1346" t="s">
        <v>84</v>
      </c>
      <c r="S1346" t="s">
        <v>7605</v>
      </c>
      <c r="T1346" t="b">
        <v>1</v>
      </c>
      <c r="U1346" t="s">
        <v>7606</v>
      </c>
      <c r="V1346" t="s">
        <v>2673</v>
      </c>
      <c r="W1346" t="s">
        <v>7607</v>
      </c>
      <c r="X1346" t="s">
        <v>47</v>
      </c>
      <c r="AA1346" t="s">
        <v>509</v>
      </c>
      <c r="AB1346" t="s">
        <v>119</v>
      </c>
      <c r="AC1346" t="s">
        <v>510</v>
      </c>
      <c r="AD1346" t="b">
        <v>0</v>
      </c>
      <c r="AF1346">
        <v>3</v>
      </c>
      <c r="AG1346" t="s">
        <v>332</v>
      </c>
    </row>
    <row r="1347" spans="1:33" x14ac:dyDescent="0.2">
      <c r="A1347">
        <v>1791</v>
      </c>
      <c r="B1347" t="s">
        <v>7608</v>
      </c>
      <c r="C1347" t="s">
        <v>34</v>
      </c>
      <c r="D1347" t="s">
        <v>35</v>
      </c>
      <c r="E1347" t="s">
        <v>180</v>
      </c>
      <c r="F1347" t="s">
        <v>181</v>
      </c>
      <c r="G1347" t="s">
        <v>312</v>
      </c>
      <c r="H1347" t="s">
        <v>313</v>
      </c>
      <c r="I1347" t="s">
        <v>1385</v>
      </c>
      <c r="J1347" t="s">
        <v>337</v>
      </c>
      <c r="K1347">
        <v>2014</v>
      </c>
      <c r="L1347">
        <v>2014</v>
      </c>
      <c r="M1347">
        <v>2.6</v>
      </c>
      <c r="N1347">
        <v>9.9060000000000006</v>
      </c>
      <c r="O1347">
        <v>11.78</v>
      </c>
      <c r="P1347">
        <v>26</v>
      </c>
      <c r="Q1347">
        <v>2.8000000000000001E-2</v>
      </c>
      <c r="R1347" t="s">
        <v>84</v>
      </c>
      <c r="S1347" t="s">
        <v>3990</v>
      </c>
      <c r="T1347" t="b">
        <v>1</v>
      </c>
      <c r="U1347" t="s">
        <v>7609</v>
      </c>
      <c r="V1347" t="s">
        <v>429</v>
      </c>
      <c r="W1347" t="s">
        <v>7610</v>
      </c>
      <c r="X1347" t="s">
        <v>47</v>
      </c>
      <c r="AA1347" t="s">
        <v>860</v>
      </c>
      <c r="AB1347" t="s">
        <v>612</v>
      </c>
      <c r="AC1347" t="s">
        <v>861</v>
      </c>
      <c r="AD1347" t="b">
        <v>0</v>
      </c>
      <c r="AF1347">
        <v>4</v>
      </c>
      <c r="AG1347" t="s">
        <v>321</v>
      </c>
    </row>
    <row r="1348" spans="1:33" x14ac:dyDescent="0.2">
      <c r="A1348">
        <v>1424</v>
      </c>
      <c r="B1348" t="s">
        <v>7611</v>
      </c>
      <c r="C1348" t="s">
        <v>34</v>
      </c>
      <c r="D1348" t="s">
        <v>35</v>
      </c>
      <c r="E1348" t="s">
        <v>1085</v>
      </c>
      <c r="F1348" t="s">
        <v>1086</v>
      </c>
      <c r="G1348" t="s">
        <v>134</v>
      </c>
      <c r="H1348" t="s">
        <v>135</v>
      </c>
      <c r="I1348" t="s">
        <v>1094</v>
      </c>
      <c r="J1348" t="s">
        <v>426</v>
      </c>
      <c r="K1348">
        <v>2008</v>
      </c>
      <c r="L1348">
        <v>2008</v>
      </c>
      <c r="M1348">
        <v>2.2999999999999998</v>
      </c>
      <c r="N1348">
        <v>9.0419999999999998</v>
      </c>
      <c r="O1348">
        <v>285</v>
      </c>
      <c r="P1348">
        <v>1</v>
      </c>
      <c r="Q1348">
        <v>0.68300000000000005</v>
      </c>
      <c r="R1348" t="s">
        <v>42</v>
      </c>
      <c r="S1348" t="s">
        <v>7612</v>
      </c>
      <c r="T1348" t="b">
        <v>1</v>
      </c>
      <c r="U1348" t="s">
        <v>7613</v>
      </c>
      <c r="V1348" t="s">
        <v>1089</v>
      </c>
      <c r="W1348" t="s">
        <v>7614</v>
      </c>
      <c r="X1348" t="s">
        <v>47</v>
      </c>
      <c r="AA1348" t="s">
        <v>7611</v>
      </c>
      <c r="AC1348" t="s">
        <v>7615</v>
      </c>
      <c r="AD1348" t="b">
        <v>0</v>
      </c>
      <c r="AF1348">
        <v>10</v>
      </c>
      <c r="AG1348" t="s">
        <v>143</v>
      </c>
    </row>
    <row r="1349" spans="1:33" x14ac:dyDescent="0.2">
      <c r="A1349">
        <v>1080</v>
      </c>
      <c r="B1349" t="s">
        <v>7616</v>
      </c>
      <c r="C1349" t="s">
        <v>34</v>
      </c>
      <c r="D1349" t="s">
        <v>35</v>
      </c>
      <c r="G1349" t="s">
        <v>242</v>
      </c>
      <c r="H1349" t="s">
        <v>243</v>
      </c>
      <c r="I1349" t="s">
        <v>799</v>
      </c>
      <c r="J1349" t="s">
        <v>96</v>
      </c>
      <c r="K1349">
        <v>1999</v>
      </c>
      <c r="L1349">
        <v>1999</v>
      </c>
      <c r="M1349">
        <v>6.0000000000000001E-3</v>
      </c>
      <c r="N1349">
        <v>0.02</v>
      </c>
      <c r="R1349" t="s">
        <v>72</v>
      </c>
      <c r="S1349" t="s">
        <v>7617</v>
      </c>
      <c r="T1349" t="b">
        <v>1</v>
      </c>
      <c r="U1349" t="s">
        <v>571</v>
      </c>
      <c r="V1349" t="s">
        <v>274</v>
      </c>
      <c r="W1349" t="s">
        <v>7618</v>
      </c>
      <c r="X1349" t="s">
        <v>47</v>
      </c>
      <c r="AA1349" t="s">
        <v>802</v>
      </c>
      <c r="AC1349" t="s">
        <v>63</v>
      </c>
      <c r="AD1349" t="b">
        <v>0</v>
      </c>
      <c r="AF1349">
        <v>9</v>
      </c>
      <c r="AG1349" t="s">
        <v>251</v>
      </c>
    </row>
    <row r="1350" spans="1:33" x14ac:dyDescent="0.2">
      <c r="A1350">
        <v>388</v>
      </c>
      <c r="B1350" t="s">
        <v>7619</v>
      </c>
      <c r="C1350" t="s">
        <v>34</v>
      </c>
      <c r="D1350" t="s">
        <v>35</v>
      </c>
      <c r="E1350" t="s">
        <v>4384</v>
      </c>
      <c r="F1350" t="s">
        <v>4385</v>
      </c>
      <c r="G1350" t="s">
        <v>53</v>
      </c>
      <c r="H1350" t="s">
        <v>54</v>
      </c>
      <c r="I1350" t="s">
        <v>675</v>
      </c>
      <c r="J1350" t="s">
        <v>676</v>
      </c>
      <c r="K1350">
        <v>1950</v>
      </c>
      <c r="L1350">
        <v>2020</v>
      </c>
      <c r="M1350">
        <v>4.9400000000000004</v>
      </c>
      <c r="N1350">
        <v>25.114999999999998</v>
      </c>
      <c r="O1350">
        <v>177.22</v>
      </c>
      <c r="P1350">
        <v>3.4</v>
      </c>
      <c r="Q1350">
        <v>0.40400000000000003</v>
      </c>
      <c r="R1350" t="s">
        <v>57</v>
      </c>
      <c r="S1350" t="s">
        <v>7620</v>
      </c>
      <c r="T1350" t="b">
        <v>1</v>
      </c>
      <c r="U1350" t="s">
        <v>7621</v>
      </c>
      <c r="V1350" t="s">
        <v>4388</v>
      </c>
      <c r="W1350" t="s">
        <v>7622</v>
      </c>
      <c r="X1350" t="s">
        <v>47</v>
      </c>
      <c r="AA1350" t="s">
        <v>7623</v>
      </c>
      <c r="AB1350" t="s">
        <v>49</v>
      </c>
      <c r="AC1350" t="s">
        <v>7624</v>
      </c>
      <c r="AD1350" t="b">
        <v>0</v>
      </c>
      <c r="AF1350">
        <v>6</v>
      </c>
      <c r="AG1350" t="s">
        <v>64</v>
      </c>
    </row>
    <row r="1351" spans="1:33" x14ac:dyDescent="0.2">
      <c r="A1351">
        <v>1396</v>
      </c>
      <c r="B1351" t="s">
        <v>7625</v>
      </c>
      <c r="C1351" t="s">
        <v>34</v>
      </c>
      <c r="D1351" t="s">
        <v>35</v>
      </c>
      <c r="E1351" t="s">
        <v>501</v>
      </c>
      <c r="F1351" t="s">
        <v>502</v>
      </c>
      <c r="G1351" t="s">
        <v>242</v>
      </c>
      <c r="H1351" t="s">
        <v>243</v>
      </c>
      <c r="I1351" t="s">
        <v>244</v>
      </c>
      <c r="J1351" t="s">
        <v>245</v>
      </c>
      <c r="K1351">
        <v>1910</v>
      </c>
      <c r="L1351">
        <v>1910</v>
      </c>
      <c r="M1351">
        <v>0.45</v>
      </c>
      <c r="N1351">
        <v>1.2110000000000001</v>
      </c>
      <c r="O1351">
        <v>22.5</v>
      </c>
      <c r="P1351">
        <v>2.6</v>
      </c>
      <c r="R1351" t="s">
        <v>72</v>
      </c>
      <c r="S1351" t="s">
        <v>5928</v>
      </c>
      <c r="T1351" t="b">
        <v>1</v>
      </c>
      <c r="U1351" t="s">
        <v>7626</v>
      </c>
      <c r="V1351" t="s">
        <v>507</v>
      </c>
      <c r="W1351" t="s">
        <v>5930</v>
      </c>
      <c r="X1351" t="s">
        <v>47</v>
      </c>
      <c r="AA1351" t="s">
        <v>5931</v>
      </c>
      <c r="AC1351" t="s">
        <v>63</v>
      </c>
      <c r="AD1351" t="b">
        <v>0</v>
      </c>
      <c r="AF1351">
        <v>9</v>
      </c>
      <c r="AG1351" t="s">
        <v>251</v>
      </c>
    </row>
    <row r="1352" spans="1:33" x14ac:dyDescent="0.2">
      <c r="A1352">
        <v>1597</v>
      </c>
      <c r="B1352" t="s">
        <v>7627</v>
      </c>
      <c r="C1352" t="s">
        <v>34</v>
      </c>
      <c r="D1352" t="s">
        <v>35</v>
      </c>
      <c r="E1352" t="s">
        <v>1320</v>
      </c>
      <c r="F1352" t="s">
        <v>1321</v>
      </c>
      <c r="G1352" t="s">
        <v>53</v>
      </c>
      <c r="H1352" t="s">
        <v>54</v>
      </c>
      <c r="I1352" t="s">
        <v>147</v>
      </c>
      <c r="J1352" t="s">
        <v>148</v>
      </c>
      <c r="K1352">
        <v>2010</v>
      </c>
      <c r="L1352">
        <v>2010</v>
      </c>
      <c r="M1352">
        <v>4.76</v>
      </c>
      <c r="N1352">
        <v>12.324</v>
      </c>
      <c r="O1352">
        <v>354</v>
      </c>
      <c r="P1352">
        <v>1.6</v>
      </c>
      <c r="Q1352">
        <v>0.82599999999999996</v>
      </c>
      <c r="R1352" t="s">
        <v>72</v>
      </c>
      <c r="S1352" t="s">
        <v>7628</v>
      </c>
      <c r="T1352" t="b">
        <v>1</v>
      </c>
      <c r="U1352" t="s">
        <v>7629</v>
      </c>
      <c r="V1352" t="s">
        <v>1324</v>
      </c>
      <c r="W1352" t="s">
        <v>7630</v>
      </c>
      <c r="X1352" t="s">
        <v>47</v>
      </c>
      <c r="AA1352" t="s">
        <v>7631</v>
      </c>
      <c r="AB1352" t="s">
        <v>49</v>
      </c>
      <c r="AC1352" t="s">
        <v>7632</v>
      </c>
      <c r="AD1352" t="b">
        <v>0</v>
      </c>
      <c r="AF1352">
        <v>13</v>
      </c>
      <c r="AG1352" t="s">
        <v>155</v>
      </c>
    </row>
    <row r="1353" spans="1:33" x14ac:dyDescent="0.2">
      <c r="A1353">
        <v>1386</v>
      </c>
      <c r="B1353" t="s">
        <v>7633</v>
      </c>
      <c r="C1353" t="s">
        <v>34</v>
      </c>
      <c r="D1353" t="s">
        <v>35</v>
      </c>
      <c r="E1353" t="s">
        <v>7634</v>
      </c>
      <c r="F1353" t="s">
        <v>7635</v>
      </c>
      <c r="G1353" t="s">
        <v>53</v>
      </c>
      <c r="H1353" t="s">
        <v>54</v>
      </c>
      <c r="I1353" t="s">
        <v>675</v>
      </c>
      <c r="J1353" t="s">
        <v>676</v>
      </c>
      <c r="K1353">
        <v>2008</v>
      </c>
      <c r="L1353">
        <v>2008</v>
      </c>
      <c r="M1353">
        <v>1.44</v>
      </c>
      <c r="N1353">
        <v>3.5379999999999998</v>
      </c>
      <c r="O1353">
        <v>154</v>
      </c>
      <c r="P1353">
        <v>1.1000000000000001</v>
      </c>
      <c r="Q1353">
        <v>0.36299999999999999</v>
      </c>
      <c r="R1353" t="s">
        <v>57</v>
      </c>
      <c r="S1353" t="s">
        <v>6569</v>
      </c>
      <c r="T1353" t="b">
        <v>1</v>
      </c>
      <c r="U1353" t="s">
        <v>7636</v>
      </c>
      <c r="V1353" t="s">
        <v>7637</v>
      </c>
      <c r="W1353" t="s">
        <v>7638</v>
      </c>
      <c r="X1353" t="s">
        <v>47</v>
      </c>
      <c r="AA1353" t="s">
        <v>114</v>
      </c>
      <c r="AC1353" t="s">
        <v>63</v>
      </c>
      <c r="AD1353" t="b">
        <v>0</v>
      </c>
      <c r="AF1353">
        <v>6</v>
      </c>
      <c r="AG1353" t="s">
        <v>64</v>
      </c>
    </row>
    <row r="1354" spans="1:33" x14ac:dyDescent="0.2">
      <c r="A1354">
        <v>1761</v>
      </c>
      <c r="B1354" t="s">
        <v>7639</v>
      </c>
      <c r="C1354" t="s">
        <v>34</v>
      </c>
      <c r="D1354" t="s">
        <v>35</v>
      </c>
      <c r="E1354" t="s">
        <v>682</v>
      </c>
      <c r="F1354" t="s">
        <v>683</v>
      </c>
      <c r="G1354" t="s">
        <v>68</v>
      </c>
      <c r="H1354" t="s">
        <v>69</v>
      </c>
      <c r="I1354" t="s">
        <v>597</v>
      </c>
      <c r="J1354" t="s">
        <v>83</v>
      </c>
      <c r="K1354">
        <v>2015</v>
      </c>
      <c r="L1354">
        <v>2015</v>
      </c>
      <c r="M1354">
        <v>1.4</v>
      </c>
      <c r="N1354">
        <v>4.319</v>
      </c>
      <c r="O1354">
        <v>319</v>
      </c>
      <c r="P1354">
        <v>0.5</v>
      </c>
      <c r="Q1354">
        <v>0.77800000000000002</v>
      </c>
      <c r="R1354" t="s">
        <v>72</v>
      </c>
      <c r="S1354" t="s">
        <v>7640</v>
      </c>
      <c r="T1354" t="b">
        <v>1</v>
      </c>
      <c r="U1354" t="s">
        <v>7641</v>
      </c>
      <c r="V1354" t="s">
        <v>686</v>
      </c>
      <c r="W1354" t="s">
        <v>7642</v>
      </c>
      <c r="X1354" t="s">
        <v>47</v>
      </c>
      <c r="AA1354" t="s">
        <v>114</v>
      </c>
      <c r="AC1354" t="s">
        <v>63</v>
      </c>
      <c r="AD1354" t="b">
        <v>0</v>
      </c>
      <c r="AF1354">
        <v>13</v>
      </c>
      <c r="AG1354" t="s">
        <v>155</v>
      </c>
    </row>
    <row r="1355" spans="1:33" x14ac:dyDescent="0.2">
      <c r="A1355">
        <v>888</v>
      </c>
      <c r="B1355" t="s">
        <v>7643</v>
      </c>
      <c r="C1355" t="s">
        <v>34</v>
      </c>
      <c r="D1355" t="s">
        <v>35</v>
      </c>
      <c r="E1355" t="s">
        <v>7644</v>
      </c>
      <c r="F1355" t="s">
        <v>7645</v>
      </c>
      <c r="G1355" t="s">
        <v>213</v>
      </c>
      <c r="H1355" t="s">
        <v>83</v>
      </c>
      <c r="I1355" t="s">
        <v>635</v>
      </c>
      <c r="J1355" t="s">
        <v>94</v>
      </c>
      <c r="K1355">
        <v>2002</v>
      </c>
      <c r="L1355">
        <v>2002</v>
      </c>
      <c r="M1355">
        <v>7.4999999999999997E-2</v>
      </c>
      <c r="N1355">
        <v>0.39900000000000002</v>
      </c>
      <c r="O1355">
        <v>200</v>
      </c>
      <c r="R1355" t="s">
        <v>84</v>
      </c>
      <c r="S1355" t="s">
        <v>7646</v>
      </c>
      <c r="T1355" t="b">
        <v>1</v>
      </c>
      <c r="U1355" t="s">
        <v>247</v>
      </c>
      <c r="V1355" t="s">
        <v>7647</v>
      </c>
      <c r="W1355" t="s">
        <v>7648</v>
      </c>
      <c r="X1355" t="s">
        <v>47</v>
      </c>
      <c r="AA1355" t="s">
        <v>958</v>
      </c>
      <c r="AC1355" t="s">
        <v>959</v>
      </c>
      <c r="AD1355" t="b">
        <v>0</v>
      </c>
      <c r="AF1355">
        <v>3</v>
      </c>
      <c r="AG1355" t="s">
        <v>332</v>
      </c>
    </row>
    <row r="1356" spans="1:33" x14ac:dyDescent="0.2">
      <c r="A1356">
        <v>1968</v>
      </c>
      <c r="B1356" t="s">
        <v>7649</v>
      </c>
      <c r="C1356" t="s">
        <v>34</v>
      </c>
      <c r="D1356" t="s">
        <v>35</v>
      </c>
      <c r="E1356" t="s">
        <v>180</v>
      </c>
      <c r="F1356" t="s">
        <v>181</v>
      </c>
      <c r="G1356" t="s">
        <v>68</v>
      </c>
      <c r="H1356" t="s">
        <v>69</v>
      </c>
      <c r="I1356" t="s">
        <v>445</v>
      </c>
      <c r="J1356" t="s">
        <v>203</v>
      </c>
      <c r="K1356">
        <v>2019</v>
      </c>
      <c r="L1356">
        <v>2019</v>
      </c>
      <c r="M1356">
        <v>1.8</v>
      </c>
      <c r="N1356">
        <v>5.9649999999999999</v>
      </c>
      <c r="O1356">
        <v>312.2</v>
      </c>
      <c r="P1356">
        <v>0.67</v>
      </c>
      <c r="Q1356">
        <v>0.746</v>
      </c>
      <c r="R1356" t="s">
        <v>72</v>
      </c>
      <c r="S1356" t="s">
        <v>7650</v>
      </c>
      <c r="T1356" t="b">
        <v>1</v>
      </c>
      <c r="U1356" t="s">
        <v>7651</v>
      </c>
      <c r="V1356" t="s">
        <v>185</v>
      </c>
      <c r="W1356" t="s">
        <v>7652</v>
      </c>
      <c r="X1356" t="s">
        <v>47</v>
      </c>
      <c r="AA1356" t="s">
        <v>7653</v>
      </c>
      <c r="AC1356" t="s">
        <v>63</v>
      </c>
      <c r="AD1356" t="b">
        <v>0</v>
      </c>
      <c r="AF1356">
        <v>8</v>
      </c>
      <c r="AG1356" t="s">
        <v>78</v>
      </c>
    </row>
    <row r="1357" spans="1:33" x14ac:dyDescent="0.2">
      <c r="A1357">
        <v>855</v>
      </c>
      <c r="B1357" t="s">
        <v>7654</v>
      </c>
      <c r="C1357" t="s">
        <v>34</v>
      </c>
      <c r="D1357" t="s">
        <v>35</v>
      </c>
      <c r="E1357" t="s">
        <v>2256</v>
      </c>
      <c r="F1357" t="s">
        <v>2257</v>
      </c>
      <c r="G1357" t="s">
        <v>503</v>
      </c>
      <c r="H1357" t="s">
        <v>462</v>
      </c>
      <c r="I1357" t="s">
        <v>578</v>
      </c>
      <c r="J1357" t="s">
        <v>308</v>
      </c>
      <c r="K1357">
        <v>1975</v>
      </c>
      <c r="L1357">
        <v>1975</v>
      </c>
      <c r="M1357">
        <v>0.7</v>
      </c>
      <c r="N1357">
        <v>2.9649999999999999</v>
      </c>
      <c r="O1357">
        <v>10.5</v>
      </c>
      <c r="P1357">
        <v>9</v>
      </c>
      <c r="Q1357">
        <v>2.1999999999999999E-2</v>
      </c>
      <c r="R1357" t="s">
        <v>84</v>
      </c>
      <c r="S1357" t="s">
        <v>7655</v>
      </c>
      <c r="T1357" t="b">
        <v>1</v>
      </c>
      <c r="U1357" t="s">
        <v>3070</v>
      </c>
      <c r="V1357" t="s">
        <v>2260</v>
      </c>
      <c r="W1357" t="s">
        <v>113</v>
      </c>
      <c r="X1357" t="s">
        <v>47</v>
      </c>
      <c r="AA1357" t="s">
        <v>583</v>
      </c>
      <c r="AC1357" t="s">
        <v>585</v>
      </c>
      <c r="AD1357" t="b">
        <v>0</v>
      </c>
      <c r="AF1357">
        <v>3</v>
      </c>
      <c r="AG1357" t="s">
        <v>332</v>
      </c>
    </row>
    <row r="1358" spans="1:33" x14ac:dyDescent="0.2">
      <c r="A1358">
        <v>2167</v>
      </c>
      <c r="B1358" t="s">
        <v>7656</v>
      </c>
      <c r="C1358" t="s">
        <v>34</v>
      </c>
      <c r="D1358" t="s">
        <v>35</v>
      </c>
      <c r="E1358" t="s">
        <v>7657</v>
      </c>
      <c r="F1358" t="s">
        <v>7658</v>
      </c>
      <c r="G1358" t="s">
        <v>312</v>
      </c>
      <c r="H1358" t="s">
        <v>313</v>
      </c>
      <c r="I1358" t="s">
        <v>493</v>
      </c>
      <c r="J1358" t="s">
        <v>409</v>
      </c>
      <c r="K1358">
        <v>2023</v>
      </c>
      <c r="L1358">
        <v>2023</v>
      </c>
      <c r="M1358">
        <v>1.4999999999999999E-2</v>
      </c>
      <c r="N1358">
        <v>3.5000000000000003E-2</v>
      </c>
      <c r="O1358">
        <v>82</v>
      </c>
      <c r="P1358">
        <v>2.1000000000000001E-2</v>
      </c>
      <c r="Q1358">
        <v>0.19800000000000001</v>
      </c>
      <c r="R1358" t="s">
        <v>84</v>
      </c>
      <c r="S1358" t="s">
        <v>2733</v>
      </c>
      <c r="T1358" t="b">
        <v>1</v>
      </c>
      <c r="U1358" t="s">
        <v>7659</v>
      </c>
      <c r="V1358" t="s">
        <v>7660</v>
      </c>
      <c r="W1358" t="s">
        <v>7661</v>
      </c>
      <c r="X1358" t="s">
        <v>47</v>
      </c>
      <c r="AA1358" t="s">
        <v>498</v>
      </c>
      <c r="AC1358" t="s">
        <v>499</v>
      </c>
      <c r="AD1358" t="b">
        <v>0</v>
      </c>
      <c r="AF1358">
        <v>4</v>
      </c>
      <c r="AG1358" t="s">
        <v>321</v>
      </c>
    </row>
    <row r="1359" spans="1:33" x14ac:dyDescent="0.2">
      <c r="A1359">
        <v>1820</v>
      </c>
      <c r="B1359" t="s">
        <v>7662</v>
      </c>
      <c r="C1359" t="s">
        <v>34</v>
      </c>
      <c r="D1359" t="s">
        <v>35</v>
      </c>
      <c r="E1359" t="s">
        <v>7663</v>
      </c>
      <c r="F1359" t="s">
        <v>7664</v>
      </c>
      <c r="G1359" t="s">
        <v>53</v>
      </c>
      <c r="H1359" t="s">
        <v>54</v>
      </c>
      <c r="I1359" t="s">
        <v>325</v>
      </c>
      <c r="J1359" t="s">
        <v>135</v>
      </c>
      <c r="K1359">
        <v>2017</v>
      </c>
      <c r="L1359">
        <v>2017</v>
      </c>
      <c r="M1359">
        <v>5.5</v>
      </c>
      <c r="N1359">
        <v>17.027999999999999</v>
      </c>
      <c r="O1359">
        <v>742</v>
      </c>
      <c r="P1359">
        <v>0.9</v>
      </c>
      <c r="Q1359">
        <v>1.698</v>
      </c>
      <c r="R1359" t="s">
        <v>84</v>
      </c>
      <c r="S1359" t="s">
        <v>7665</v>
      </c>
      <c r="T1359" t="b">
        <v>1</v>
      </c>
      <c r="U1359" t="s">
        <v>7666</v>
      </c>
      <c r="V1359" t="s">
        <v>7667</v>
      </c>
      <c r="W1359" t="s">
        <v>7668</v>
      </c>
      <c r="X1359" t="s">
        <v>47</v>
      </c>
      <c r="AA1359" t="s">
        <v>114</v>
      </c>
      <c r="AC1359" t="s">
        <v>63</v>
      </c>
      <c r="AD1359" t="b">
        <v>0</v>
      </c>
      <c r="AF1359">
        <v>3</v>
      </c>
      <c r="AG1359" t="s">
        <v>332</v>
      </c>
    </row>
    <row r="1360" spans="1:33" x14ac:dyDescent="0.2">
      <c r="A1360">
        <v>389</v>
      </c>
      <c r="B1360" t="s">
        <v>7669</v>
      </c>
      <c r="C1360" t="s">
        <v>34</v>
      </c>
      <c r="D1360" t="s">
        <v>35</v>
      </c>
      <c r="E1360" t="s">
        <v>4313</v>
      </c>
      <c r="F1360" t="s">
        <v>4314</v>
      </c>
      <c r="G1360" t="s">
        <v>242</v>
      </c>
      <c r="H1360" t="s">
        <v>243</v>
      </c>
      <c r="I1360" t="s">
        <v>3245</v>
      </c>
      <c r="J1360" t="s">
        <v>109</v>
      </c>
      <c r="K1360">
        <v>1985</v>
      </c>
      <c r="L1360">
        <v>1985</v>
      </c>
      <c r="M1360">
        <v>20</v>
      </c>
      <c r="N1360">
        <v>82.667000000000002</v>
      </c>
      <c r="O1360">
        <v>178</v>
      </c>
      <c r="P1360">
        <v>13.01</v>
      </c>
      <c r="Q1360">
        <v>0.42599999999999999</v>
      </c>
      <c r="R1360" t="s">
        <v>72</v>
      </c>
      <c r="S1360" t="s">
        <v>7670</v>
      </c>
      <c r="T1360" t="b">
        <v>1</v>
      </c>
      <c r="U1360" t="s">
        <v>7671</v>
      </c>
      <c r="V1360" t="s">
        <v>4317</v>
      </c>
      <c r="W1360" t="s">
        <v>7672</v>
      </c>
      <c r="X1360" t="s">
        <v>47</v>
      </c>
      <c r="AA1360" t="s">
        <v>982</v>
      </c>
      <c r="AB1360" t="s">
        <v>83</v>
      </c>
      <c r="AC1360" t="s">
        <v>983</v>
      </c>
      <c r="AD1360" t="b">
        <v>0</v>
      </c>
      <c r="AF1360">
        <v>9</v>
      </c>
      <c r="AG1360" t="s">
        <v>251</v>
      </c>
    </row>
    <row r="1361" spans="1:33" x14ac:dyDescent="0.2">
      <c r="A1361">
        <v>390</v>
      </c>
      <c r="B1361" t="s">
        <v>7673</v>
      </c>
      <c r="C1361" t="s">
        <v>34</v>
      </c>
      <c r="D1361" t="s">
        <v>35</v>
      </c>
      <c r="E1361" t="s">
        <v>2311</v>
      </c>
      <c r="F1361" t="s">
        <v>2312</v>
      </c>
      <c r="G1361" t="s">
        <v>134</v>
      </c>
      <c r="H1361" t="s">
        <v>135</v>
      </c>
      <c r="I1361" t="s">
        <v>6701</v>
      </c>
      <c r="J1361" t="s">
        <v>1062</v>
      </c>
      <c r="K1361">
        <v>1983</v>
      </c>
      <c r="L1361">
        <v>1983</v>
      </c>
      <c r="M1361">
        <v>21</v>
      </c>
      <c r="N1361">
        <v>78.570999999999998</v>
      </c>
      <c r="O1361">
        <v>246.5</v>
      </c>
      <c r="P1361">
        <v>10.01</v>
      </c>
      <c r="Q1361">
        <v>0.58299999999999996</v>
      </c>
      <c r="R1361" t="s">
        <v>42</v>
      </c>
      <c r="S1361" t="s">
        <v>7674</v>
      </c>
      <c r="T1361" t="b">
        <v>1</v>
      </c>
      <c r="U1361" t="s">
        <v>7675</v>
      </c>
      <c r="V1361" t="s">
        <v>2315</v>
      </c>
      <c r="W1361" t="s">
        <v>7676</v>
      </c>
      <c r="X1361" t="s">
        <v>47</v>
      </c>
      <c r="AA1361" t="s">
        <v>6704</v>
      </c>
      <c r="AB1361" t="s">
        <v>401</v>
      </c>
      <c r="AC1361" t="s">
        <v>6705</v>
      </c>
      <c r="AD1361" t="b">
        <v>0</v>
      </c>
      <c r="AF1361">
        <v>10</v>
      </c>
      <c r="AG1361" t="s">
        <v>143</v>
      </c>
    </row>
    <row r="1362" spans="1:33" x14ac:dyDescent="0.2">
      <c r="A1362">
        <v>391</v>
      </c>
      <c r="B1362" t="s">
        <v>7677</v>
      </c>
      <c r="C1362" t="s">
        <v>34</v>
      </c>
      <c r="D1362" t="s">
        <v>35</v>
      </c>
      <c r="E1362" t="s">
        <v>404</v>
      </c>
      <c r="F1362" t="s">
        <v>405</v>
      </c>
      <c r="G1362" t="s">
        <v>312</v>
      </c>
      <c r="H1362" t="s">
        <v>313</v>
      </c>
      <c r="I1362" t="s">
        <v>4164</v>
      </c>
      <c r="J1362" t="s">
        <v>41</v>
      </c>
      <c r="K1362">
        <v>1985</v>
      </c>
      <c r="L1362">
        <v>1985</v>
      </c>
      <c r="M1362">
        <v>24</v>
      </c>
      <c r="N1362">
        <v>128.82</v>
      </c>
      <c r="O1362">
        <v>97</v>
      </c>
      <c r="P1362">
        <v>28.98</v>
      </c>
      <c r="Q1362">
        <v>0.23</v>
      </c>
      <c r="R1362" t="s">
        <v>84</v>
      </c>
      <c r="S1362" t="s">
        <v>7678</v>
      </c>
      <c r="T1362" t="b">
        <v>1</v>
      </c>
      <c r="U1362" t="s">
        <v>517</v>
      </c>
      <c r="V1362" t="s">
        <v>408</v>
      </c>
      <c r="W1362" t="s">
        <v>7679</v>
      </c>
      <c r="X1362" t="s">
        <v>47</v>
      </c>
      <c r="AA1362" t="s">
        <v>622</v>
      </c>
      <c r="AB1362" t="s">
        <v>56</v>
      </c>
      <c r="AC1362" t="s">
        <v>623</v>
      </c>
      <c r="AD1362" t="b">
        <v>0</v>
      </c>
      <c r="AF1362">
        <v>4</v>
      </c>
      <c r="AG1362" t="s">
        <v>321</v>
      </c>
    </row>
    <row r="1363" spans="1:33" x14ac:dyDescent="0.2">
      <c r="A1363">
        <v>1847</v>
      </c>
      <c r="B1363" t="s">
        <v>7680</v>
      </c>
      <c r="C1363" t="s">
        <v>34</v>
      </c>
      <c r="D1363" t="s">
        <v>35</v>
      </c>
      <c r="E1363" t="s">
        <v>7681</v>
      </c>
      <c r="F1363" t="s">
        <v>7682</v>
      </c>
      <c r="G1363" t="s">
        <v>134</v>
      </c>
      <c r="H1363" t="s">
        <v>135</v>
      </c>
      <c r="I1363" t="s">
        <v>4520</v>
      </c>
      <c r="J1363" t="s">
        <v>485</v>
      </c>
      <c r="K1363">
        <v>2022</v>
      </c>
      <c r="L1363">
        <v>2022</v>
      </c>
      <c r="M1363">
        <v>33</v>
      </c>
      <c r="N1363">
        <v>122.589</v>
      </c>
      <c r="O1363">
        <v>503</v>
      </c>
      <c r="P1363">
        <v>7.5</v>
      </c>
      <c r="Q1363">
        <v>1.222</v>
      </c>
      <c r="R1363" t="s">
        <v>42</v>
      </c>
      <c r="S1363" t="s">
        <v>7683</v>
      </c>
      <c r="T1363" t="b">
        <v>1</v>
      </c>
      <c r="U1363" t="s">
        <v>7684</v>
      </c>
      <c r="V1363" t="s">
        <v>7685</v>
      </c>
      <c r="W1363" t="s">
        <v>7686</v>
      </c>
      <c r="X1363" t="s">
        <v>47</v>
      </c>
      <c r="AA1363" t="s">
        <v>114</v>
      </c>
      <c r="AB1363" t="s">
        <v>49</v>
      </c>
      <c r="AC1363" t="s">
        <v>351</v>
      </c>
      <c r="AD1363" t="b">
        <v>0</v>
      </c>
      <c r="AF1363">
        <v>10</v>
      </c>
      <c r="AG1363" t="s">
        <v>143</v>
      </c>
    </row>
    <row r="1364" spans="1:33" x14ac:dyDescent="0.2">
      <c r="A1364">
        <v>1028</v>
      </c>
      <c r="B1364" t="s">
        <v>7687</v>
      </c>
      <c r="C1364" t="s">
        <v>34</v>
      </c>
      <c r="D1364" t="s">
        <v>35</v>
      </c>
      <c r="E1364" t="s">
        <v>36</v>
      </c>
      <c r="F1364" t="s">
        <v>37</v>
      </c>
      <c r="G1364" t="s">
        <v>503</v>
      </c>
      <c r="H1364" t="s">
        <v>462</v>
      </c>
      <c r="I1364" t="s">
        <v>3390</v>
      </c>
      <c r="J1364" t="s">
        <v>485</v>
      </c>
      <c r="K1364">
        <v>1982</v>
      </c>
      <c r="L1364">
        <v>1982</v>
      </c>
      <c r="M1364">
        <v>0.36</v>
      </c>
      <c r="N1364">
        <v>1.623</v>
      </c>
      <c r="R1364" t="s">
        <v>84</v>
      </c>
      <c r="S1364" t="s">
        <v>7688</v>
      </c>
      <c r="T1364" t="b">
        <v>1</v>
      </c>
      <c r="U1364" t="s">
        <v>1196</v>
      </c>
      <c r="V1364" t="s">
        <v>45</v>
      </c>
      <c r="W1364" t="s">
        <v>113</v>
      </c>
      <c r="X1364" t="s">
        <v>47</v>
      </c>
      <c r="AA1364" t="s">
        <v>583</v>
      </c>
      <c r="AC1364" t="s">
        <v>585</v>
      </c>
      <c r="AD1364" t="b">
        <v>0</v>
      </c>
      <c r="AF1364">
        <v>3</v>
      </c>
      <c r="AG1364" t="s">
        <v>332</v>
      </c>
    </row>
    <row r="1365" spans="1:33" x14ac:dyDescent="0.2">
      <c r="A1365">
        <v>1619</v>
      </c>
      <c r="B1365" t="s">
        <v>7689</v>
      </c>
      <c r="C1365" t="s">
        <v>34</v>
      </c>
      <c r="D1365" t="s">
        <v>35</v>
      </c>
      <c r="E1365" t="s">
        <v>36</v>
      </c>
      <c r="F1365" t="s">
        <v>37</v>
      </c>
      <c r="G1365" t="s">
        <v>503</v>
      </c>
      <c r="H1365" t="s">
        <v>462</v>
      </c>
      <c r="I1365" t="s">
        <v>3390</v>
      </c>
      <c r="J1365" t="s">
        <v>485</v>
      </c>
      <c r="K1365">
        <v>1999</v>
      </c>
      <c r="L1365">
        <v>1999</v>
      </c>
      <c r="M1365">
        <v>0.32</v>
      </c>
      <c r="N1365">
        <v>1.839</v>
      </c>
      <c r="R1365" t="s">
        <v>84</v>
      </c>
      <c r="S1365" t="s">
        <v>7688</v>
      </c>
      <c r="T1365" t="b">
        <v>1</v>
      </c>
      <c r="U1365" t="s">
        <v>571</v>
      </c>
      <c r="V1365" t="s">
        <v>45</v>
      </c>
      <c r="W1365" t="s">
        <v>113</v>
      </c>
      <c r="X1365" t="s">
        <v>47</v>
      </c>
      <c r="AA1365" t="s">
        <v>583</v>
      </c>
      <c r="AC1365" t="s">
        <v>585</v>
      </c>
      <c r="AD1365" t="b">
        <v>0</v>
      </c>
      <c r="AF1365">
        <v>3</v>
      </c>
      <c r="AG1365" t="s">
        <v>332</v>
      </c>
    </row>
    <row r="1366" spans="1:33" x14ac:dyDescent="0.2">
      <c r="A1366">
        <v>2137</v>
      </c>
      <c r="B1366" t="s">
        <v>7690</v>
      </c>
      <c r="C1366" t="s">
        <v>34</v>
      </c>
      <c r="D1366" t="s">
        <v>35</v>
      </c>
      <c r="E1366" t="s">
        <v>757</v>
      </c>
      <c r="F1366" t="s">
        <v>758</v>
      </c>
      <c r="G1366" t="s">
        <v>53</v>
      </c>
      <c r="H1366" t="s">
        <v>54</v>
      </c>
      <c r="I1366" t="s">
        <v>1723</v>
      </c>
      <c r="J1366" t="s">
        <v>1697</v>
      </c>
      <c r="K1366">
        <v>2025</v>
      </c>
      <c r="L1366">
        <v>2025</v>
      </c>
      <c r="M1366">
        <v>3.5190000000000001</v>
      </c>
      <c r="N1366">
        <v>8.8000000000000007</v>
      </c>
      <c r="O1366">
        <v>319.64</v>
      </c>
      <c r="P1366">
        <v>1.35</v>
      </c>
      <c r="Q1366">
        <v>0.72399999999999998</v>
      </c>
      <c r="R1366" t="s">
        <v>57</v>
      </c>
      <c r="S1366" t="s">
        <v>7691</v>
      </c>
      <c r="T1366" t="b">
        <v>1</v>
      </c>
      <c r="U1366" t="s">
        <v>7692</v>
      </c>
      <c r="V1366" t="s">
        <v>761</v>
      </c>
      <c r="W1366" t="s">
        <v>7693</v>
      </c>
      <c r="X1366" t="s">
        <v>47</v>
      </c>
      <c r="AA1366" t="s">
        <v>114</v>
      </c>
      <c r="AB1366" t="s">
        <v>49</v>
      </c>
      <c r="AC1366" t="s">
        <v>7694</v>
      </c>
      <c r="AD1366" t="b">
        <v>0</v>
      </c>
      <c r="AF1366">
        <v>6</v>
      </c>
      <c r="AG1366" t="s">
        <v>64</v>
      </c>
    </row>
    <row r="1367" spans="1:33" x14ac:dyDescent="0.2">
      <c r="A1367">
        <v>1400</v>
      </c>
      <c r="B1367" t="s">
        <v>7695</v>
      </c>
      <c r="C1367" t="s">
        <v>34</v>
      </c>
      <c r="D1367" t="s">
        <v>35</v>
      </c>
      <c r="E1367" t="s">
        <v>7696</v>
      </c>
      <c r="F1367" t="s">
        <v>7697</v>
      </c>
      <c r="G1367" t="s">
        <v>224</v>
      </c>
      <c r="H1367" t="s">
        <v>225</v>
      </c>
      <c r="I1367" t="s">
        <v>1544</v>
      </c>
      <c r="J1367" t="s">
        <v>426</v>
      </c>
      <c r="K1367">
        <v>2008</v>
      </c>
      <c r="L1367">
        <v>2008</v>
      </c>
      <c r="M1367">
        <v>1.4</v>
      </c>
      <c r="N1367">
        <v>4.32</v>
      </c>
      <c r="O1367">
        <v>172</v>
      </c>
      <c r="P1367">
        <v>1.1000000000000001</v>
      </c>
      <c r="Q1367">
        <v>0.35399999999999998</v>
      </c>
      <c r="R1367" t="s">
        <v>57</v>
      </c>
      <c r="S1367" t="s">
        <v>7698</v>
      </c>
      <c r="T1367" t="b">
        <v>1</v>
      </c>
      <c r="U1367" t="s">
        <v>7699</v>
      </c>
      <c r="V1367" t="s">
        <v>7700</v>
      </c>
      <c r="W1367" t="s">
        <v>7701</v>
      </c>
      <c r="X1367" t="s">
        <v>47</v>
      </c>
      <c r="AA1367" t="s">
        <v>1548</v>
      </c>
      <c r="AB1367" t="s">
        <v>1975</v>
      </c>
      <c r="AC1367" t="s">
        <v>1549</v>
      </c>
      <c r="AD1367" t="b">
        <v>0</v>
      </c>
      <c r="AF1367">
        <v>2</v>
      </c>
      <c r="AG1367" t="s">
        <v>287</v>
      </c>
    </row>
    <row r="1368" spans="1:33" x14ac:dyDescent="0.2">
      <c r="A1368">
        <v>1747</v>
      </c>
      <c r="B1368" t="s">
        <v>7695</v>
      </c>
      <c r="C1368" t="s">
        <v>34</v>
      </c>
      <c r="D1368" t="s">
        <v>35</v>
      </c>
      <c r="E1368" t="s">
        <v>1814</v>
      </c>
      <c r="F1368" t="s">
        <v>1815</v>
      </c>
      <c r="G1368" t="s">
        <v>93</v>
      </c>
      <c r="H1368" t="s">
        <v>94</v>
      </c>
      <c r="I1368" t="s">
        <v>2850</v>
      </c>
      <c r="J1368" t="s">
        <v>94</v>
      </c>
      <c r="K1368">
        <v>2015</v>
      </c>
      <c r="L1368">
        <v>2015</v>
      </c>
      <c r="M1368">
        <v>13.7</v>
      </c>
      <c r="N1368">
        <v>49.417999999999999</v>
      </c>
      <c r="O1368">
        <v>123</v>
      </c>
      <c r="P1368">
        <v>13.2</v>
      </c>
      <c r="Q1368">
        <v>0.29299999999999998</v>
      </c>
      <c r="R1368" t="s">
        <v>72</v>
      </c>
      <c r="S1368" t="s">
        <v>7702</v>
      </c>
      <c r="T1368" t="b">
        <v>1</v>
      </c>
      <c r="U1368" t="s">
        <v>580</v>
      </c>
      <c r="V1368" t="s">
        <v>1818</v>
      </c>
      <c r="W1368" t="s">
        <v>7703</v>
      </c>
      <c r="X1368" t="s">
        <v>47</v>
      </c>
      <c r="AA1368" t="s">
        <v>340</v>
      </c>
      <c r="AB1368" t="s">
        <v>437</v>
      </c>
      <c r="AC1368" t="s">
        <v>1063</v>
      </c>
      <c r="AD1368" t="b">
        <v>0</v>
      </c>
      <c r="AF1368">
        <v>8</v>
      </c>
      <c r="AG1368" t="s">
        <v>78</v>
      </c>
    </row>
    <row r="1369" spans="1:33" x14ac:dyDescent="0.2">
      <c r="A1369">
        <v>392</v>
      </c>
      <c r="B1369" t="s">
        <v>7704</v>
      </c>
      <c r="C1369" t="s">
        <v>34</v>
      </c>
      <c r="D1369" t="s">
        <v>35</v>
      </c>
      <c r="E1369" t="s">
        <v>542</v>
      </c>
      <c r="F1369" t="s">
        <v>543</v>
      </c>
      <c r="G1369" t="s">
        <v>377</v>
      </c>
      <c r="H1369" t="s">
        <v>378</v>
      </c>
      <c r="I1369" t="s">
        <v>1409</v>
      </c>
      <c r="J1369" t="s">
        <v>54</v>
      </c>
      <c r="K1369">
        <v>1970</v>
      </c>
      <c r="L1369">
        <v>1970</v>
      </c>
      <c r="M1369">
        <v>18.8</v>
      </c>
      <c r="N1369">
        <v>85.451999999999998</v>
      </c>
      <c r="O1369">
        <v>221</v>
      </c>
      <c r="P1369">
        <v>11</v>
      </c>
      <c r="Q1369">
        <v>0.48</v>
      </c>
      <c r="R1369" t="s">
        <v>42</v>
      </c>
      <c r="S1369" t="s">
        <v>1410</v>
      </c>
      <c r="T1369" t="b">
        <v>1</v>
      </c>
      <c r="U1369" t="s">
        <v>7705</v>
      </c>
      <c r="V1369" t="s">
        <v>547</v>
      </c>
      <c r="W1369" t="s">
        <v>7706</v>
      </c>
      <c r="X1369" t="s">
        <v>47</v>
      </c>
      <c r="AA1369" t="s">
        <v>1413</v>
      </c>
      <c r="AB1369" t="s">
        <v>177</v>
      </c>
      <c r="AC1369" t="s">
        <v>1414</v>
      </c>
      <c r="AD1369" t="b">
        <v>0</v>
      </c>
      <c r="AF1369">
        <v>12</v>
      </c>
      <c r="AG1369" t="s">
        <v>51</v>
      </c>
    </row>
    <row r="1370" spans="1:33" x14ac:dyDescent="0.2">
      <c r="A1370">
        <v>2130</v>
      </c>
      <c r="B1370" t="s">
        <v>7707</v>
      </c>
      <c r="C1370" t="s">
        <v>34</v>
      </c>
      <c r="D1370" t="s">
        <v>35</v>
      </c>
      <c r="E1370" t="s">
        <v>7708</v>
      </c>
      <c r="F1370" t="s">
        <v>7709</v>
      </c>
      <c r="G1370" t="s">
        <v>68</v>
      </c>
      <c r="H1370" t="s">
        <v>69</v>
      </c>
      <c r="I1370" t="s">
        <v>265</v>
      </c>
      <c r="J1370" t="s">
        <v>266</v>
      </c>
      <c r="K1370">
        <v>2025</v>
      </c>
      <c r="L1370">
        <v>2025</v>
      </c>
      <c r="M1370">
        <v>15.7</v>
      </c>
      <c r="N1370">
        <v>39</v>
      </c>
      <c r="O1370">
        <v>675</v>
      </c>
      <c r="P1370">
        <v>2.7</v>
      </c>
      <c r="Q1370">
        <v>1.615</v>
      </c>
      <c r="R1370" t="s">
        <v>72</v>
      </c>
      <c r="S1370" t="s">
        <v>7710</v>
      </c>
      <c r="T1370" t="b">
        <v>1</v>
      </c>
      <c r="U1370" t="s">
        <v>7711</v>
      </c>
      <c r="V1370" t="s">
        <v>7712</v>
      </c>
      <c r="W1370" t="s">
        <v>7713</v>
      </c>
      <c r="X1370" t="s">
        <v>47</v>
      </c>
      <c r="AA1370" t="s">
        <v>1638</v>
      </c>
      <c r="AB1370" t="s">
        <v>243</v>
      </c>
      <c r="AC1370" t="s">
        <v>1645</v>
      </c>
      <c r="AD1370" t="b">
        <v>0</v>
      </c>
      <c r="AF1370">
        <v>8</v>
      </c>
      <c r="AG1370" t="s">
        <v>78</v>
      </c>
    </row>
    <row r="1371" spans="1:33" x14ac:dyDescent="0.2">
      <c r="A1371">
        <v>1779</v>
      </c>
      <c r="B1371" t="s">
        <v>7714</v>
      </c>
      <c r="C1371" t="s">
        <v>34</v>
      </c>
      <c r="D1371" t="s">
        <v>35</v>
      </c>
      <c r="E1371" t="s">
        <v>7715</v>
      </c>
      <c r="F1371" t="s">
        <v>7716</v>
      </c>
      <c r="G1371" t="s">
        <v>134</v>
      </c>
      <c r="H1371" t="s">
        <v>135</v>
      </c>
      <c r="I1371" t="s">
        <v>2074</v>
      </c>
      <c r="J1371" t="s">
        <v>225</v>
      </c>
      <c r="K1371">
        <v>2014</v>
      </c>
      <c r="L1371">
        <v>2014</v>
      </c>
      <c r="M1371">
        <v>2.7</v>
      </c>
      <c r="N1371">
        <v>7.4880000000000004</v>
      </c>
      <c r="O1371">
        <v>232.9</v>
      </c>
      <c r="P1371">
        <v>1.5</v>
      </c>
      <c r="Q1371">
        <v>0.5</v>
      </c>
      <c r="R1371" t="s">
        <v>42</v>
      </c>
      <c r="S1371" t="s">
        <v>7717</v>
      </c>
      <c r="T1371" t="b">
        <v>1</v>
      </c>
      <c r="U1371" t="s">
        <v>7718</v>
      </c>
      <c r="V1371" t="s">
        <v>7719</v>
      </c>
      <c r="W1371" t="s">
        <v>7720</v>
      </c>
      <c r="X1371" t="s">
        <v>47</v>
      </c>
      <c r="AA1371" t="s">
        <v>2652</v>
      </c>
      <c r="AB1371" t="s">
        <v>69</v>
      </c>
      <c r="AC1371" t="s">
        <v>2653</v>
      </c>
      <c r="AD1371" t="b">
        <v>0</v>
      </c>
      <c r="AF1371">
        <v>10</v>
      </c>
      <c r="AG1371" t="s">
        <v>143</v>
      </c>
    </row>
    <row r="1372" spans="1:33" x14ac:dyDescent="0.2">
      <c r="A1372">
        <v>393</v>
      </c>
      <c r="B1372" t="s">
        <v>7721</v>
      </c>
      <c r="C1372" t="s">
        <v>34</v>
      </c>
      <c r="D1372" t="s">
        <v>35</v>
      </c>
      <c r="E1372" t="s">
        <v>4112</v>
      </c>
      <c r="F1372" t="s">
        <v>4113</v>
      </c>
      <c r="G1372" t="s">
        <v>242</v>
      </c>
      <c r="H1372" t="s">
        <v>243</v>
      </c>
      <c r="I1372" t="s">
        <v>1439</v>
      </c>
      <c r="J1372" t="s">
        <v>171</v>
      </c>
      <c r="K1372">
        <v>1964</v>
      </c>
      <c r="L1372">
        <v>1964</v>
      </c>
      <c r="M1372">
        <v>30</v>
      </c>
      <c r="N1372">
        <v>143.96799999999999</v>
      </c>
      <c r="O1372">
        <v>181.7</v>
      </c>
      <c r="P1372">
        <v>23</v>
      </c>
      <c r="Q1372">
        <v>0.36199999999999999</v>
      </c>
      <c r="R1372" t="s">
        <v>72</v>
      </c>
      <c r="S1372" t="s">
        <v>7722</v>
      </c>
      <c r="T1372" t="b">
        <v>1</v>
      </c>
      <c r="U1372" t="s">
        <v>7723</v>
      </c>
      <c r="V1372" t="s">
        <v>4116</v>
      </c>
      <c r="W1372" t="s">
        <v>7724</v>
      </c>
      <c r="X1372" t="s">
        <v>47</v>
      </c>
      <c r="AA1372" t="s">
        <v>1276</v>
      </c>
      <c r="AB1372" t="s">
        <v>83</v>
      </c>
      <c r="AC1372" t="s">
        <v>1277</v>
      </c>
      <c r="AD1372" t="b">
        <v>0</v>
      </c>
      <c r="AF1372">
        <v>8</v>
      </c>
      <c r="AG1372" t="s">
        <v>78</v>
      </c>
    </row>
    <row r="1373" spans="1:33" x14ac:dyDescent="0.2">
      <c r="A1373">
        <v>1470</v>
      </c>
      <c r="B1373" t="s">
        <v>7725</v>
      </c>
      <c r="C1373" t="s">
        <v>34</v>
      </c>
      <c r="D1373" t="s">
        <v>35</v>
      </c>
      <c r="E1373" t="s">
        <v>892</v>
      </c>
      <c r="F1373" t="s">
        <v>893</v>
      </c>
      <c r="G1373" t="s">
        <v>503</v>
      </c>
      <c r="H1373" t="s">
        <v>462</v>
      </c>
      <c r="I1373" t="s">
        <v>504</v>
      </c>
      <c r="J1373" t="s">
        <v>109</v>
      </c>
      <c r="K1373">
        <v>2009</v>
      </c>
      <c r="L1373">
        <v>2009</v>
      </c>
      <c r="M1373">
        <v>1.48</v>
      </c>
      <c r="N1373">
        <v>5.1109999999999998</v>
      </c>
      <c r="O1373">
        <v>190</v>
      </c>
      <c r="P1373">
        <v>1.1000000000000001</v>
      </c>
      <c r="Q1373">
        <v>0.374</v>
      </c>
      <c r="R1373" t="s">
        <v>84</v>
      </c>
      <c r="S1373" t="s">
        <v>7726</v>
      </c>
      <c r="T1373" t="b">
        <v>1</v>
      </c>
      <c r="U1373" t="s">
        <v>7727</v>
      </c>
      <c r="V1373" t="s">
        <v>896</v>
      </c>
      <c r="W1373" t="s">
        <v>7728</v>
      </c>
      <c r="X1373" t="s">
        <v>47</v>
      </c>
      <c r="AA1373" t="s">
        <v>509</v>
      </c>
      <c r="AC1373" t="s">
        <v>510</v>
      </c>
      <c r="AD1373" t="b">
        <v>0</v>
      </c>
      <c r="AF1373">
        <v>3</v>
      </c>
      <c r="AG1373" t="s">
        <v>332</v>
      </c>
    </row>
    <row r="1374" spans="1:33" x14ac:dyDescent="0.2">
      <c r="A1374">
        <v>776</v>
      </c>
      <c r="B1374" t="s">
        <v>7729</v>
      </c>
      <c r="C1374" t="s">
        <v>34</v>
      </c>
      <c r="D1374" t="s">
        <v>35</v>
      </c>
      <c r="E1374" t="s">
        <v>277</v>
      </c>
      <c r="F1374" t="s">
        <v>278</v>
      </c>
      <c r="G1374" t="s">
        <v>916</v>
      </c>
      <c r="H1374" t="s">
        <v>567</v>
      </c>
      <c r="I1374" t="s">
        <v>2112</v>
      </c>
      <c r="J1374" t="s">
        <v>135</v>
      </c>
      <c r="K1374">
        <v>1924</v>
      </c>
      <c r="L1374">
        <v>1924</v>
      </c>
      <c r="M1374">
        <v>201</v>
      </c>
      <c r="N1374">
        <v>1048.1569999999999</v>
      </c>
      <c r="O1374">
        <v>20.5</v>
      </c>
      <c r="P1374">
        <v>1269</v>
      </c>
      <c r="Q1374">
        <v>4.5999999999999999E-2</v>
      </c>
      <c r="R1374" t="s">
        <v>97</v>
      </c>
      <c r="S1374" t="s">
        <v>7730</v>
      </c>
      <c r="T1374" t="b">
        <v>1</v>
      </c>
      <c r="U1374" t="s">
        <v>7731</v>
      </c>
      <c r="V1374" t="s">
        <v>7732</v>
      </c>
      <c r="W1374" t="s">
        <v>113</v>
      </c>
      <c r="X1374" t="s">
        <v>47</v>
      </c>
      <c r="AA1374" t="s">
        <v>340</v>
      </c>
      <c r="AB1374" t="s">
        <v>135</v>
      </c>
      <c r="AC1374" t="s">
        <v>341</v>
      </c>
      <c r="AD1374" t="b">
        <v>0</v>
      </c>
      <c r="AF1374">
        <v>1</v>
      </c>
      <c r="AG1374" t="s">
        <v>104</v>
      </c>
    </row>
    <row r="1375" spans="1:33" x14ac:dyDescent="0.2">
      <c r="A1375">
        <v>395</v>
      </c>
      <c r="B1375" t="s">
        <v>7733</v>
      </c>
      <c r="C1375" t="s">
        <v>34</v>
      </c>
      <c r="D1375" t="s">
        <v>35</v>
      </c>
      <c r="E1375" t="s">
        <v>3469</v>
      </c>
      <c r="F1375" t="s">
        <v>3470</v>
      </c>
      <c r="G1375" t="s">
        <v>134</v>
      </c>
      <c r="H1375" t="s">
        <v>135</v>
      </c>
      <c r="I1375" t="s">
        <v>7734</v>
      </c>
      <c r="J1375" t="s">
        <v>2626</v>
      </c>
      <c r="K1375">
        <v>1956</v>
      </c>
      <c r="L1375">
        <v>1956</v>
      </c>
      <c r="M1375">
        <v>4.2</v>
      </c>
      <c r="N1375">
        <v>9.7789999999999999</v>
      </c>
      <c r="O1375">
        <v>84</v>
      </c>
      <c r="P1375">
        <v>8.2200000000000006</v>
      </c>
      <c r="Q1375">
        <v>0.14199999999999999</v>
      </c>
      <c r="R1375" t="s">
        <v>42</v>
      </c>
      <c r="S1375" t="s">
        <v>7735</v>
      </c>
      <c r="T1375" t="b">
        <v>1</v>
      </c>
      <c r="U1375" t="s">
        <v>1854</v>
      </c>
      <c r="V1375" t="s">
        <v>3473</v>
      </c>
      <c r="W1375" t="s">
        <v>7736</v>
      </c>
      <c r="X1375" t="s">
        <v>47</v>
      </c>
      <c r="AA1375" t="s">
        <v>7737</v>
      </c>
      <c r="AB1375" t="s">
        <v>49</v>
      </c>
      <c r="AC1375" t="s">
        <v>7738</v>
      </c>
      <c r="AD1375" t="b">
        <v>0</v>
      </c>
      <c r="AF1375">
        <v>11</v>
      </c>
      <c r="AG1375" t="s">
        <v>198</v>
      </c>
    </row>
    <row r="1376" spans="1:33" x14ac:dyDescent="0.2">
      <c r="A1376">
        <v>396</v>
      </c>
      <c r="B1376" t="s">
        <v>7739</v>
      </c>
      <c r="C1376" t="s">
        <v>34</v>
      </c>
      <c r="D1376" t="s">
        <v>35</v>
      </c>
      <c r="E1376" t="s">
        <v>1670</v>
      </c>
      <c r="F1376" t="s">
        <v>1671</v>
      </c>
      <c r="G1376" t="s">
        <v>312</v>
      </c>
      <c r="H1376" t="s">
        <v>313</v>
      </c>
      <c r="I1376" t="s">
        <v>493</v>
      </c>
      <c r="J1376" t="s">
        <v>409</v>
      </c>
      <c r="K1376">
        <v>1974</v>
      </c>
      <c r="L1376">
        <v>1974</v>
      </c>
      <c r="M1376">
        <v>200</v>
      </c>
      <c r="N1376">
        <v>729.68299999999999</v>
      </c>
      <c r="O1376">
        <v>215</v>
      </c>
      <c r="P1376">
        <v>110.01</v>
      </c>
      <c r="Q1376">
        <v>0.504</v>
      </c>
      <c r="R1376" t="s">
        <v>84</v>
      </c>
      <c r="S1376" t="s">
        <v>7740</v>
      </c>
      <c r="T1376" t="b">
        <v>1</v>
      </c>
      <c r="U1376" t="s">
        <v>7741</v>
      </c>
      <c r="V1376" t="s">
        <v>1675</v>
      </c>
      <c r="W1376" t="s">
        <v>7742</v>
      </c>
      <c r="X1376" t="s">
        <v>47</v>
      </c>
      <c r="AA1376" t="s">
        <v>498</v>
      </c>
      <c r="AB1376" t="s">
        <v>676</v>
      </c>
      <c r="AC1376" t="s">
        <v>616</v>
      </c>
      <c r="AD1376" t="b">
        <v>0</v>
      </c>
      <c r="AF1376">
        <v>4</v>
      </c>
      <c r="AG1376" t="s">
        <v>321</v>
      </c>
    </row>
    <row r="1377" spans="1:33" x14ac:dyDescent="0.2">
      <c r="A1377">
        <v>1151</v>
      </c>
      <c r="B1377" t="s">
        <v>7743</v>
      </c>
      <c r="C1377" t="s">
        <v>34</v>
      </c>
      <c r="D1377" t="s">
        <v>35</v>
      </c>
      <c r="G1377" t="s">
        <v>68</v>
      </c>
      <c r="H1377" t="s">
        <v>69</v>
      </c>
      <c r="I1377" t="s">
        <v>7744</v>
      </c>
      <c r="J1377" t="s">
        <v>231</v>
      </c>
      <c r="K1377">
        <v>1913</v>
      </c>
      <c r="L1377">
        <v>1913</v>
      </c>
      <c r="M1377">
        <v>1.2E-2</v>
      </c>
      <c r="N1377">
        <v>4.8000000000000001E-2</v>
      </c>
      <c r="R1377" t="s">
        <v>72</v>
      </c>
      <c r="S1377" t="s">
        <v>7745</v>
      </c>
      <c r="T1377" t="b">
        <v>1</v>
      </c>
      <c r="U1377" t="s">
        <v>7746</v>
      </c>
      <c r="V1377" t="s">
        <v>274</v>
      </c>
      <c r="W1377" t="s">
        <v>113</v>
      </c>
      <c r="X1377" t="s">
        <v>47</v>
      </c>
      <c r="AA1377" t="s">
        <v>7747</v>
      </c>
      <c r="AC1377" t="s">
        <v>63</v>
      </c>
      <c r="AD1377" t="b">
        <v>0</v>
      </c>
      <c r="AF1377">
        <v>8</v>
      </c>
      <c r="AG1377" t="s">
        <v>78</v>
      </c>
    </row>
    <row r="1378" spans="1:33" x14ac:dyDescent="0.2">
      <c r="A1378">
        <v>2176</v>
      </c>
      <c r="B1378" t="s">
        <v>7748</v>
      </c>
      <c r="C1378" t="s">
        <v>34</v>
      </c>
      <c r="D1378" t="s">
        <v>35</v>
      </c>
      <c r="E1378" t="s">
        <v>757</v>
      </c>
      <c r="F1378" t="s">
        <v>758</v>
      </c>
      <c r="G1378" t="s">
        <v>68</v>
      </c>
      <c r="H1378" t="s">
        <v>69</v>
      </c>
      <c r="I1378" t="s">
        <v>265</v>
      </c>
      <c r="J1378" t="s">
        <v>266</v>
      </c>
      <c r="K1378">
        <v>2025</v>
      </c>
      <c r="L1378">
        <v>2025</v>
      </c>
      <c r="M1378">
        <v>3.7</v>
      </c>
      <c r="N1378">
        <v>11.1</v>
      </c>
      <c r="O1378">
        <v>424</v>
      </c>
      <c r="P1378">
        <v>1.04</v>
      </c>
      <c r="Q1378">
        <v>0.98799999999999999</v>
      </c>
      <c r="R1378" t="s">
        <v>72</v>
      </c>
      <c r="S1378" t="s">
        <v>1641</v>
      </c>
      <c r="T1378" t="b">
        <v>1</v>
      </c>
      <c r="U1378" t="s">
        <v>7749</v>
      </c>
      <c r="V1378" t="s">
        <v>761</v>
      </c>
      <c r="W1378" t="s">
        <v>7750</v>
      </c>
      <c r="X1378" t="s">
        <v>47</v>
      </c>
      <c r="AA1378" t="s">
        <v>1638</v>
      </c>
      <c r="AC1378" t="s">
        <v>1645</v>
      </c>
      <c r="AD1378" t="b">
        <v>0</v>
      </c>
      <c r="AF1378">
        <v>8</v>
      </c>
      <c r="AG1378" t="s">
        <v>78</v>
      </c>
    </row>
    <row r="1379" spans="1:33" x14ac:dyDescent="0.2">
      <c r="A1379">
        <v>397</v>
      </c>
      <c r="B1379" t="s">
        <v>7751</v>
      </c>
      <c r="C1379" t="s">
        <v>34</v>
      </c>
      <c r="D1379" t="s">
        <v>35</v>
      </c>
      <c r="E1379" t="s">
        <v>36</v>
      </c>
      <c r="F1379" t="s">
        <v>37</v>
      </c>
      <c r="G1379" t="s">
        <v>503</v>
      </c>
      <c r="H1379" t="s">
        <v>462</v>
      </c>
      <c r="I1379" t="s">
        <v>3390</v>
      </c>
      <c r="J1379" t="s">
        <v>485</v>
      </c>
      <c r="K1379">
        <v>1964</v>
      </c>
      <c r="L1379">
        <v>1964</v>
      </c>
      <c r="M1379">
        <v>120</v>
      </c>
      <c r="N1379">
        <v>619.46100000000001</v>
      </c>
      <c r="O1379">
        <v>286.7</v>
      </c>
      <c r="P1379">
        <v>52</v>
      </c>
      <c r="Q1379">
        <v>0.64</v>
      </c>
      <c r="R1379" t="s">
        <v>84</v>
      </c>
      <c r="S1379" t="s">
        <v>7752</v>
      </c>
      <c r="T1379" t="b">
        <v>1</v>
      </c>
      <c r="U1379" t="s">
        <v>7753</v>
      </c>
      <c r="V1379" t="s">
        <v>45</v>
      </c>
      <c r="W1379" t="s">
        <v>7754</v>
      </c>
      <c r="X1379" t="s">
        <v>47</v>
      </c>
      <c r="AA1379" t="s">
        <v>583</v>
      </c>
      <c r="AB1379" t="s">
        <v>1742</v>
      </c>
      <c r="AC1379" t="s">
        <v>585</v>
      </c>
      <c r="AD1379" t="b">
        <v>0</v>
      </c>
      <c r="AF1379">
        <v>3</v>
      </c>
      <c r="AG1379" t="s">
        <v>332</v>
      </c>
    </row>
    <row r="1380" spans="1:33" x14ac:dyDescent="0.2">
      <c r="A1380">
        <v>1165</v>
      </c>
      <c r="B1380" t="s">
        <v>7755</v>
      </c>
      <c r="C1380" t="s">
        <v>34</v>
      </c>
      <c r="D1380" t="s">
        <v>35</v>
      </c>
      <c r="G1380" t="s">
        <v>93</v>
      </c>
      <c r="H1380" t="s">
        <v>94</v>
      </c>
      <c r="I1380" t="s">
        <v>386</v>
      </c>
      <c r="J1380" t="s">
        <v>49</v>
      </c>
      <c r="K1380">
        <v>1977</v>
      </c>
      <c r="L1380">
        <v>1977</v>
      </c>
      <c r="M1380">
        <v>0.02</v>
      </c>
      <c r="N1380">
        <v>1.4999999999999999E-2</v>
      </c>
      <c r="R1380" t="s">
        <v>97</v>
      </c>
      <c r="S1380" t="s">
        <v>4746</v>
      </c>
      <c r="T1380" t="b">
        <v>1</v>
      </c>
      <c r="U1380" t="s">
        <v>5945</v>
      </c>
      <c r="V1380" t="s">
        <v>274</v>
      </c>
      <c r="W1380" t="s">
        <v>113</v>
      </c>
      <c r="X1380" t="s">
        <v>47</v>
      </c>
      <c r="AA1380" t="s">
        <v>340</v>
      </c>
      <c r="AC1380" t="s">
        <v>341</v>
      </c>
      <c r="AD1380" t="b">
        <v>0</v>
      </c>
      <c r="AF1380">
        <v>1</v>
      </c>
      <c r="AG1380" t="s">
        <v>104</v>
      </c>
    </row>
    <row r="1381" spans="1:33" x14ac:dyDescent="0.2">
      <c r="A1381">
        <v>972</v>
      </c>
      <c r="B1381" t="s">
        <v>7756</v>
      </c>
      <c r="C1381" t="s">
        <v>34</v>
      </c>
      <c r="D1381" t="s">
        <v>35</v>
      </c>
      <c r="E1381" t="s">
        <v>7757</v>
      </c>
      <c r="F1381" t="s">
        <v>7758</v>
      </c>
      <c r="G1381" t="s">
        <v>483</v>
      </c>
      <c r="H1381" t="s">
        <v>109</v>
      </c>
      <c r="I1381" t="s">
        <v>7759</v>
      </c>
      <c r="J1381" t="s">
        <v>49</v>
      </c>
      <c r="K1381">
        <v>1915</v>
      </c>
      <c r="L1381">
        <v>1915</v>
      </c>
      <c r="M1381">
        <v>0.38</v>
      </c>
      <c r="N1381">
        <v>0.98199999999999998</v>
      </c>
      <c r="R1381" t="s">
        <v>97</v>
      </c>
      <c r="S1381" t="s">
        <v>7760</v>
      </c>
      <c r="T1381" t="b">
        <v>1</v>
      </c>
      <c r="U1381" t="s">
        <v>5412</v>
      </c>
      <c r="V1381" t="s">
        <v>7761</v>
      </c>
      <c r="W1381" t="s">
        <v>113</v>
      </c>
      <c r="X1381" t="s">
        <v>47</v>
      </c>
      <c r="AA1381" t="s">
        <v>7762</v>
      </c>
      <c r="AC1381" t="s">
        <v>7763</v>
      </c>
      <c r="AD1381" t="b">
        <v>0</v>
      </c>
      <c r="AF1381">
        <v>1</v>
      </c>
      <c r="AG1381" t="s">
        <v>104</v>
      </c>
    </row>
    <row r="1382" spans="1:33" x14ac:dyDescent="0.2">
      <c r="A1382">
        <v>1402</v>
      </c>
      <c r="B1382" t="s">
        <v>7764</v>
      </c>
      <c r="C1382" t="s">
        <v>34</v>
      </c>
      <c r="D1382" t="s">
        <v>35</v>
      </c>
      <c r="E1382" t="s">
        <v>892</v>
      </c>
      <c r="F1382" t="s">
        <v>893</v>
      </c>
      <c r="G1382" t="s">
        <v>312</v>
      </c>
      <c r="H1382" t="s">
        <v>313</v>
      </c>
      <c r="I1382" t="s">
        <v>618</v>
      </c>
      <c r="J1382" t="s">
        <v>227</v>
      </c>
      <c r="K1382">
        <v>2008</v>
      </c>
      <c r="L1382">
        <v>2008</v>
      </c>
      <c r="M1382">
        <v>1.25</v>
      </c>
      <c r="N1382">
        <v>3.9049999999999998</v>
      </c>
      <c r="O1382">
        <v>116.8</v>
      </c>
      <c r="P1382">
        <v>1.25</v>
      </c>
      <c r="Q1382">
        <v>0.27800000000000002</v>
      </c>
      <c r="R1382" t="s">
        <v>84</v>
      </c>
      <c r="S1382" t="s">
        <v>7765</v>
      </c>
      <c r="T1382" t="b">
        <v>1</v>
      </c>
      <c r="U1382" t="s">
        <v>7766</v>
      </c>
      <c r="V1382" t="s">
        <v>896</v>
      </c>
      <c r="W1382" t="s">
        <v>7767</v>
      </c>
      <c r="X1382" t="s">
        <v>47</v>
      </c>
      <c r="AA1382" t="s">
        <v>2615</v>
      </c>
      <c r="AB1382" t="s">
        <v>539</v>
      </c>
      <c r="AC1382" t="s">
        <v>2616</v>
      </c>
      <c r="AD1382" t="b">
        <v>0</v>
      </c>
      <c r="AF1382">
        <v>4</v>
      </c>
      <c r="AG1382" t="s">
        <v>321</v>
      </c>
    </row>
    <row r="1383" spans="1:33" x14ac:dyDescent="0.2">
      <c r="A1383">
        <v>783</v>
      </c>
      <c r="B1383" t="s">
        <v>7768</v>
      </c>
      <c r="C1383" t="s">
        <v>34</v>
      </c>
      <c r="D1383" t="s">
        <v>35</v>
      </c>
      <c r="E1383" t="s">
        <v>1739</v>
      </c>
      <c r="F1383" t="s">
        <v>1740</v>
      </c>
      <c r="G1383" t="s">
        <v>68</v>
      </c>
      <c r="H1383" t="s">
        <v>69</v>
      </c>
      <c r="I1383" t="s">
        <v>1974</v>
      </c>
      <c r="J1383" t="s">
        <v>1975</v>
      </c>
      <c r="K1383">
        <v>2001</v>
      </c>
      <c r="L1383">
        <v>2001</v>
      </c>
      <c r="M1383">
        <v>4.53</v>
      </c>
      <c r="N1383">
        <v>21.698</v>
      </c>
      <c r="O1383">
        <v>64.25</v>
      </c>
      <c r="P1383">
        <v>8</v>
      </c>
      <c r="Q1383">
        <v>0.157</v>
      </c>
      <c r="R1383" t="s">
        <v>72</v>
      </c>
      <c r="S1383" t="s">
        <v>7769</v>
      </c>
      <c r="T1383" t="b">
        <v>1</v>
      </c>
      <c r="U1383" t="s">
        <v>7770</v>
      </c>
      <c r="V1383" t="s">
        <v>1745</v>
      </c>
      <c r="W1383" t="s">
        <v>7771</v>
      </c>
      <c r="X1383" t="s">
        <v>47</v>
      </c>
      <c r="AA1383" t="s">
        <v>3802</v>
      </c>
      <c r="AB1383" t="s">
        <v>49</v>
      </c>
      <c r="AC1383" t="s">
        <v>3803</v>
      </c>
      <c r="AD1383" t="b">
        <v>0</v>
      </c>
      <c r="AF1383">
        <v>8</v>
      </c>
      <c r="AG1383" t="s">
        <v>78</v>
      </c>
    </row>
    <row r="1384" spans="1:33" x14ac:dyDescent="0.2">
      <c r="A1384">
        <v>779</v>
      </c>
      <c r="B1384" t="s">
        <v>7772</v>
      </c>
      <c r="C1384" t="s">
        <v>34</v>
      </c>
      <c r="D1384" t="s">
        <v>35</v>
      </c>
      <c r="E1384" t="s">
        <v>818</v>
      </c>
      <c r="F1384" t="s">
        <v>819</v>
      </c>
      <c r="G1384" t="s">
        <v>53</v>
      </c>
      <c r="H1384" t="s">
        <v>54</v>
      </c>
      <c r="I1384" t="s">
        <v>118</v>
      </c>
      <c r="J1384" t="s">
        <v>119</v>
      </c>
      <c r="K1384">
        <v>2000</v>
      </c>
      <c r="L1384">
        <v>2000</v>
      </c>
      <c r="M1384">
        <v>3.8</v>
      </c>
      <c r="N1384">
        <v>18.568999999999999</v>
      </c>
      <c r="O1384">
        <v>214</v>
      </c>
      <c r="P1384">
        <v>2</v>
      </c>
      <c r="Q1384">
        <v>0.52800000000000002</v>
      </c>
      <c r="R1384" t="s">
        <v>84</v>
      </c>
      <c r="S1384" t="s">
        <v>7773</v>
      </c>
      <c r="T1384" t="b">
        <v>1</v>
      </c>
      <c r="U1384" t="s">
        <v>754</v>
      </c>
      <c r="V1384" t="s">
        <v>822</v>
      </c>
      <c r="W1384" t="s">
        <v>7774</v>
      </c>
      <c r="X1384" t="s">
        <v>47</v>
      </c>
      <c r="AA1384" t="s">
        <v>824</v>
      </c>
      <c r="AB1384" t="s">
        <v>231</v>
      </c>
      <c r="AC1384" t="s">
        <v>825</v>
      </c>
      <c r="AD1384" t="b">
        <v>0</v>
      </c>
      <c r="AF1384">
        <v>5</v>
      </c>
      <c r="AG1384" t="s">
        <v>89</v>
      </c>
    </row>
    <row r="1385" spans="1:33" x14ac:dyDescent="0.2">
      <c r="A1385">
        <v>398</v>
      </c>
      <c r="B1385" t="s">
        <v>7775</v>
      </c>
      <c r="C1385" t="s">
        <v>34</v>
      </c>
      <c r="D1385" t="s">
        <v>35</v>
      </c>
      <c r="E1385" t="s">
        <v>4333</v>
      </c>
      <c r="F1385" t="s">
        <v>4334</v>
      </c>
      <c r="G1385" t="s">
        <v>53</v>
      </c>
      <c r="H1385" t="s">
        <v>54</v>
      </c>
      <c r="I1385" t="s">
        <v>147</v>
      </c>
      <c r="J1385" t="s">
        <v>148</v>
      </c>
      <c r="K1385">
        <v>1954</v>
      </c>
      <c r="L1385">
        <v>1954</v>
      </c>
      <c r="M1385">
        <v>10</v>
      </c>
      <c r="N1385">
        <v>22</v>
      </c>
      <c r="O1385">
        <v>43.79</v>
      </c>
      <c r="P1385">
        <v>31.2</v>
      </c>
      <c r="Q1385">
        <v>8.8999999999999996E-2</v>
      </c>
      <c r="R1385" t="s">
        <v>72</v>
      </c>
      <c r="S1385" t="s">
        <v>7776</v>
      </c>
      <c r="T1385" t="b">
        <v>1</v>
      </c>
      <c r="U1385" t="s">
        <v>7777</v>
      </c>
      <c r="V1385" t="s">
        <v>4336</v>
      </c>
      <c r="W1385" t="s">
        <v>7778</v>
      </c>
      <c r="X1385" t="s">
        <v>47</v>
      </c>
      <c r="AA1385" t="s">
        <v>153</v>
      </c>
      <c r="AB1385" t="s">
        <v>177</v>
      </c>
      <c r="AC1385" t="s">
        <v>154</v>
      </c>
      <c r="AD1385" t="b">
        <v>0</v>
      </c>
      <c r="AF1385">
        <v>13</v>
      </c>
      <c r="AG1385" t="s">
        <v>155</v>
      </c>
    </row>
    <row r="1386" spans="1:33" x14ac:dyDescent="0.2">
      <c r="A1386">
        <v>2022</v>
      </c>
      <c r="B1386" t="s">
        <v>7779</v>
      </c>
      <c r="C1386" t="s">
        <v>34</v>
      </c>
      <c r="D1386" t="s">
        <v>35</v>
      </c>
      <c r="E1386" t="s">
        <v>1320</v>
      </c>
      <c r="F1386" t="s">
        <v>1321</v>
      </c>
      <c r="G1386" t="s">
        <v>53</v>
      </c>
      <c r="H1386" t="s">
        <v>54</v>
      </c>
      <c r="I1386" t="s">
        <v>325</v>
      </c>
      <c r="J1386" t="s">
        <v>135</v>
      </c>
      <c r="K1386">
        <v>2021</v>
      </c>
      <c r="L1386">
        <v>2021</v>
      </c>
      <c r="M1386">
        <v>5.72</v>
      </c>
      <c r="N1386">
        <v>21.977</v>
      </c>
      <c r="O1386">
        <v>552.14</v>
      </c>
      <c r="P1386">
        <v>1.22</v>
      </c>
      <c r="Q1386">
        <v>1.302</v>
      </c>
      <c r="R1386" t="s">
        <v>57</v>
      </c>
      <c r="S1386" t="s">
        <v>7780</v>
      </c>
      <c r="T1386" t="b">
        <v>1</v>
      </c>
      <c r="U1386" t="s">
        <v>7781</v>
      </c>
      <c r="V1386" t="s">
        <v>1324</v>
      </c>
      <c r="W1386" t="s">
        <v>7782</v>
      </c>
      <c r="X1386" t="s">
        <v>47</v>
      </c>
      <c r="AA1386" t="s">
        <v>114</v>
      </c>
      <c r="AB1386" t="s">
        <v>49</v>
      </c>
      <c r="AC1386" t="s">
        <v>7783</v>
      </c>
      <c r="AD1386" t="b">
        <v>0</v>
      </c>
      <c r="AF1386">
        <v>6</v>
      </c>
      <c r="AG1386" t="s">
        <v>64</v>
      </c>
    </row>
    <row r="1387" spans="1:33" x14ac:dyDescent="0.2">
      <c r="A1387">
        <v>1566</v>
      </c>
      <c r="B1387" t="s">
        <v>7784</v>
      </c>
      <c r="C1387" t="s">
        <v>34</v>
      </c>
      <c r="D1387" t="s">
        <v>35</v>
      </c>
      <c r="E1387" t="s">
        <v>682</v>
      </c>
      <c r="F1387" t="s">
        <v>683</v>
      </c>
      <c r="G1387" t="s">
        <v>68</v>
      </c>
      <c r="H1387" t="s">
        <v>69</v>
      </c>
      <c r="I1387" t="s">
        <v>70</v>
      </c>
      <c r="J1387" t="s">
        <v>71</v>
      </c>
      <c r="K1387">
        <v>2012</v>
      </c>
      <c r="L1387">
        <v>2012</v>
      </c>
      <c r="M1387">
        <v>5.49</v>
      </c>
      <c r="N1387">
        <v>15.276999999999999</v>
      </c>
      <c r="O1387">
        <v>258</v>
      </c>
      <c r="P1387">
        <v>3</v>
      </c>
      <c r="Q1387">
        <v>0.50800000000000001</v>
      </c>
      <c r="R1387" t="s">
        <v>72</v>
      </c>
      <c r="S1387" t="s">
        <v>1480</v>
      </c>
      <c r="T1387" t="b">
        <v>1</v>
      </c>
      <c r="U1387" t="s">
        <v>7785</v>
      </c>
      <c r="V1387" t="s">
        <v>686</v>
      </c>
      <c r="W1387" t="s">
        <v>7786</v>
      </c>
      <c r="X1387" t="s">
        <v>47</v>
      </c>
      <c r="AA1387" t="s">
        <v>1483</v>
      </c>
      <c r="AB1387" t="s">
        <v>49</v>
      </c>
      <c r="AC1387" t="s">
        <v>1484</v>
      </c>
      <c r="AD1387" t="b">
        <v>0</v>
      </c>
      <c r="AF1387">
        <v>8</v>
      </c>
      <c r="AG1387" t="s">
        <v>78</v>
      </c>
    </row>
    <row r="1388" spans="1:33" x14ac:dyDescent="0.2">
      <c r="A1388">
        <v>1955</v>
      </c>
      <c r="B1388" t="s">
        <v>7787</v>
      </c>
      <c r="C1388" t="s">
        <v>34</v>
      </c>
      <c r="D1388" t="s">
        <v>35</v>
      </c>
      <c r="E1388" t="s">
        <v>7788</v>
      </c>
      <c r="F1388" t="s">
        <v>7789</v>
      </c>
      <c r="G1388" t="s">
        <v>53</v>
      </c>
      <c r="H1388" t="s">
        <v>54</v>
      </c>
      <c r="I1388" t="s">
        <v>147</v>
      </c>
      <c r="J1388" t="s">
        <v>148</v>
      </c>
      <c r="K1388">
        <v>2020</v>
      </c>
      <c r="L1388">
        <v>2020</v>
      </c>
      <c r="M1388">
        <v>17.37</v>
      </c>
      <c r="N1388">
        <v>57.426000000000002</v>
      </c>
      <c r="O1388">
        <v>62.5</v>
      </c>
      <c r="P1388">
        <v>31.6</v>
      </c>
      <c r="Q1388">
        <v>0.153</v>
      </c>
      <c r="R1388" t="s">
        <v>72</v>
      </c>
      <c r="S1388" t="s">
        <v>7790</v>
      </c>
      <c r="T1388" t="b">
        <v>1</v>
      </c>
      <c r="U1388" t="s">
        <v>6197</v>
      </c>
      <c r="V1388" t="s">
        <v>7791</v>
      </c>
      <c r="W1388" t="s">
        <v>7792</v>
      </c>
      <c r="X1388" t="s">
        <v>47</v>
      </c>
      <c r="AA1388" t="s">
        <v>400</v>
      </c>
      <c r="AB1388" t="s">
        <v>973</v>
      </c>
      <c r="AC1388" t="s">
        <v>402</v>
      </c>
      <c r="AD1388" t="b">
        <v>0</v>
      </c>
      <c r="AF1388">
        <v>13</v>
      </c>
      <c r="AG1388" t="s">
        <v>155</v>
      </c>
    </row>
    <row r="1389" spans="1:33" x14ac:dyDescent="0.2">
      <c r="A1389">
        <v>1329</v>
      </c>
      <c r="B1389" t="s">
        <v>7793</v>
      </c>
      <c r="C1389" t="s">
        <v>34</v>
      </c>
      <c r="D1389" t="s">
        <v>35</v>
      </c>
      <c r="E1389" t="s">
        <v>7794</v>
      </c>
      <c r="F1389" t="s">
        <v>7795</v>
      </c>
      <c r="G1389" t="s">
        <v>312</v>
      </c>
      <c r="H1389" t="s">
        <v>313</v>
      </c>
      <c r="I1389" t="s">
        <v>2224</v>
      </c>
      <c r="J1389" t="s">
        <v>119</v>
      </c>
      <c r="K1389">
        <v>2007</v>
      </c>
      <c r="L1389">
        <v>2007</v>
      </c>
      <c r="M1389">
        <v>1.2</v>
      </c>
      <c r="N1389">
        <v>4.0540000000000003</v>
      </c>
      <c r="O1389">
        <v>250</v>
      </c>
      <c r="P1389">
        <v>0.6</v>
      </c>
      <c r="Q1389">
        <v>0.55600000000000005</v>
      </c>
      <c r="R1389" t="s">
        <v>84</v>
      </c>
      <c r="S1389" t="s">
        <v>7796</v>
      </c>
      <c r="T1389" t="b">
        <v>1</v>
      </c>
      <c r="U1389" t="s">
        <v>7797</v>
      </c>
      <c r="V1389" t="s">
        <v>7798</v>
      </c>
      <c r="W1389" t="s">
        <v>7799</v>
      </c>
      <c r="X1389" t="s">
        <v>47</v>
      </c>
      <c r="AA1389" t="s">
        <v>509</v>
      </c>
      <c r="AB1389" t="s">
        <v>533</v>
      </c>
      <c r="AC1389" t="s">
        <v>510</v>
      </c>
      <c r="AD1389" t="b">
        <v>0</v>
      </c>
      <c r="AF1389">
        <v>4</v>
      </c>
      <c r="AG1389" t="s">
        <v>321</v>
      </c>
    </row>
    <row r="1390" spans="1:33" x14ac:dyDescent="0.2">
      <c r="A1390">
        <v>794</v>
      </c>
      <c r="B1390" t="s">
        <v>7800</v>
      </c>
      <c r="C1390" t="s">
        <v>34</v>
      </c>
      <c r="D1390" t="s">
        <v>35</v>
      </c>
      <c r="E1390" t="s">
        <v>7801</v>
      </c>
      <c r="F1390" t="s">
        <v>7802</v>
      </c>
      <c r="G1390" t="s">
        <v>503</v>
      </c>
      <c r="H1390" t="s">
        <v>462</v>
      </c>
      <c r="I1390" t="s">
        <v>2564</v>
      </c>
      <c r="J1390" t="s">
        <v>262</v>
      </c>
      <c r="K1390">
        <v>2002</v>
      </c>
      <c r="L1390">
        <v>2002</v>
      </c>
      <c r="M1390">
        <v>2.4</v>
      </c>
      <c r="N1390">
        <v>10.571</v>
      </c>
      <c r="O1390">
        <v>37</v>
      </c>
      <c r="P1390">
        <v>12</v>
      </c>
      <c r="Q1390">
        <v>5.6000000000000001E-2</v>
      </c>
      <c r="R1390" t="s">
        <v>84</v>
      </c>
      <c r="S1390" t="s">
        <v>7803</v>
      </c>
      <c r="T1390" t="b">
        <v>1</v>
      </c>
      <c r="U1390" t="s">
        <v>7804</v>
      </c>
      <c r="V1390" t="s">
        <v>7805</v>
      </c>
      <c r="W1390" t="s">
        <v>7806</v>
      </c>
      <c r="X1390" t="s">
        <v>47</v>
      </c>
      <c r="AA1390" t="s">
        <v>583</v>
      </c>
      <c r="AB1390" t="s">
        <v>567</v>
      </c>
      <c r="AC1390" t="s">
        <v>585</v>
      </c>
      <c r="AD1390" t="b">
        <v>0</v>
      </c>
      <c r="AF1390">
        <v>3</v>
      </c>
      <c r="AG1390" t="s">
        <v>332</v>
      </c>
    </row>
    <row r="1391" spans="1:33" x14ac:dyDescent="0.2">
      <c r="A1391">
        <v>1499</v>
      </c>
      <c r="B1391" t="s">
        <v>7807</v>
      </c>
      <c r="C1391" t="s">
        <v>34</v>
      </c>
      <c r="D1391" t="s">
        <v>35</v>
      </c>
      <c r="G1391" t="s">
        <v>134</v>
      </c>
      <c r="H1391" t="s">
        <v>135</v>
      </c>
      <c r="I1391" t="s">
        <v>2074</v>
      </c>
      <c r="J1391" t="s">
        <v>225</v>
      </c>
      <c r="K1391">
        <v>2010</v>
      </c>
      <c r="L1391">
        <v>2010</v>
      </c>
      <c r="M1391">
        <v>7.1999999999999998E-3</v>
      </c>
      <c r="N1391">
        <v>2.5000000000000001E-2</v>
      </c>
      <c r="O1391">
        <v>20</v>
      </c>
      <c r="P1391">
        <v>6.5000000000000002E-2</v>
      </c>
      <c r="Q1391">
        <v>3.1E-2</v>
      </c>
      <c r="R1391" t="s">
        <v>42</v>
      </c>
      <c r="S1391" t="s">
        <v>7808</v>
      </c>
      <c r="T1391" t="b">
        <v>1</v>
      </c>
      <c r="U1391" t="s">
        <v>6598</v>
      </c>
      <c r="V1391" t="s">
        <v>60</v>
      </c>
      <c r="W1391" t="s">
        <v>7809</v>
      </c>
      <c r="X1391" t="s">
        <v>47</v>
      </c>
      <c r="AA1391" t="s">
        <v>2652</v>
      </c>
      <c r="AC1391" t="s">
        <v>2653</v>
      </c>
      <c r="AD1391" t="b">
        <v>0</v>
      </c>
      <c r="AF1391">
        <v>10</v>
      </c>
      <c r="AG1391" t="s">
        <v>143</v>
      </c>
    </row>
    <row r="1392" spans="1:33" x14ac:dyDescent="0.2">
      <c r="A1392">
        <v>2085</v>
      </c>
      <c r="B1392" t="s">
        <v>7810</v>
      </c>
      <c r="C1392" t="s">
        <v>34</v>
      </c>
      <c r="D1392" t="s">
        <v>35</v>
      </c>
      <c r="E1392" t="s">
        <v>2229</v>
      </c>
      <c r="F1392" t="s">
        <v>2230</v>
      </c>
      <c r="G1392" t="s">
        <v>213</v>
      </c>
      <c r="H1392" t="s">
        <v>83</v>
      </c>
      <c r="I1392" t="s">
        <v>611</v>
      </c>
      <c r="J1392" t="s">
        <v>612</v>
      </c>
      <c r="K1392">
        <v>2022</v>
      </c>
      <c r="L1392">
        <v>2022</v>
      </c>
      <c r="M1392">
        <v>2</v>
      </c>
      <c r="N1392">
        <v>7.7279999999999998</v>
      </c>
      <c r="O1392">
        <v>76.58</v>
      </c>
      <c r="P1392">
        <v>3.1</v>
      </c>
      <c r="Q1392">
        <v>0.17899999999999999</v>
      </c>
      <c r="R1392" t="s">
        <v>84</v>
      </c>
      <c r="S1392" t="s">
        <v>2231</v>
      </c>
      <c r="T1392" t="b">
        <v>1</v>
      </c>
      <c r="U1392" t="s">
        <v>7811</v>
      </c>
      <c r="V1392" t="s">
        <v>2233</v>
      </c>
      <c r="W1392" t="s">
        <v>7812</v>
      </c>
      <c r="X1392" t="s">
        <v>47</v>
      </c>
      <c r="AA1392" t="s">
        <v>615</v>
      </c>
      <c r="AC1392" t="s">
        <v>616</v>
      </c>
      <c r="AD1392" t="b">
        <v>0</v>
      </c>
      <c r="AF1392">
        <v>4</v>
      </c>
      <c r="AG1392" t="s">
        <v>321</v>
      </c>
    </row>
    <row r="1393" spans="1:33" x14ac:dyDescent="0.2">
      <c r="A1393">
        <v>1941</v>
      </c>
      <c r="B1393" t="s">
        <v>7813</v>
      </c>
      <c r="C1393" t="s">
        <v>34</v>
      </c>
      <c r="D1393" t="s">
        <v>35</v>
      </c>
      <c r="E1393" t="s">
        <v>7814</v>
      </c>
      <c r="F1393" t="s">
        <v>7815</v>
      </c>
      <c r="G1393" t="s">
        <v>53</v>
      </c>
      <c r="H1393" t="s">
        <v>54</v>
      </c>
      <c r="I1393" t="s">
        <v>1251</v>
      </c>
      <c r="J1393" t="s">
        <v>177</v>
      </c>
      <c r="K1393">
        <v>2019</v>
      </c>
      <c r="L1393">
        <v>2019</v>
      </c>
      <c r="M1393">
        <v>4.2</v>
      </c>
      <c r="N1393">
        <v>13.063000000000001</v>
      </c>
      <c r="O1393">
        <v>183.4</v>
      </c>
      <c r="P1393">
        <v>2.95</v>
      </c>
      <c r="Q1393">
        <v>0.39500000000000002</v>
      </c>
      <c r="R1393" t="s">
        <v>72</v>
      </c>
      <c r="S1393" t="s">
        <v>7816</v>
      </c>
      <c r="T1393" t="b">
        <v>1</v>
      </c>
      <c r="U1393" t="s">
        <v>7817</v>
      </c>
      <c r="V1393" t="s">
        <v>7818</v>
      </c>
      <c r="W1393" t="s">
        <v>7819</v>
      </c>
      <c r="X1393" t="s">
        <v>47</v>
      </c>
      <c r="AA1393" t="s">
        <v>3480</v>
      </c>
      <c r="AB1393" t="s">
        <v>56</v>
      </c>
      <c r="AC1393" t="s">
        <v>5511</v>
      </c>
      <c r="AD1393" t="b">
        <v>0</v>
      </c>
      <c r="AF1393">
        <v>13</v>
      </c>
      <c r="AG1393" t="s">
        <v>155</v>
      </c>
    </row>
    <row r="1394" spans="1:33" x14ac:dyDescent="0.2">
      <c r="A1394">
        <v>1942</v>
      </c>
      <c r="B1394" t="s">
        <v>7820</v>
      </c>
      <c r="C1394" t="s">
        <v>34</v>
      </c>
      <c r="D1394" t="s">
        <v>35</v>
      </c>
      <c r="E1394" t="s">
        <v>7814</v>
      </c>
      <c r="F1394" t="s">
        <v>7815</v>
      </c>
      <c r="G1394" t="s">
        <v>53</v>
      </c>
      <c r="H1394" t="s">
        <v>54</v>
      </c>
      <c r="I1394" t="s">
        <v>1251</v>
      </c>
      <c r="J1394" t="s">
        <v>177</v>
      </c>
      <c r="K1394">
        <v>2019</v>
      </c>
      <c r="L1394">
        <v>2019</v>
      </c>
      <c r="M1394">
        <v>3.1</v>
      </c>
      <c r="N1394">
        <v>10.050000000000001</v>
      </c>
      <c r="O1394">
        <v>178.9</v>
      </c>
      <c r="P1394">
        <v>2.0299999999999998</v>
      </c>
      <c r="Q1394">
        <v>0.42399999999999999</v>
      </c>
      <c r="R1394" t="s">
        <v>72</v>
      </c>
      <c r="S1394" t="s">
        <v>7821</v>
      </c>
      <c r="T1394" t="b">
        <v>1</v>
      </c>
      <c r="U1394" t="s">
        <v>7817</v>
      </c>
      <c r="V1394" t="s">
        <v>7818</v>
      </c>
      <c r="W1394" t="s">
        <v>7819</v>
      </c>
      <c r="X1394" t="s">
        <v>47</v>
      </c>
      <c r="AA1394" t="s">
        <v>3480</v>
      </c>
      <c r="AB1394" t="s">
        <v>676</v>
      </c>
      <c r="AC1394" t="s">
        <v>5511</v>
      </c>
      <c r="AD1394" t="b">
        <v>0</v>
      </c>
      <c r="AF1394">
        <v>13</v>
      </c>
      <c r="AG1394" t="s">
        <v>155</v>
      </c>
    </row>
    <row r="1395" spans="1:33" x14ac:dyDescent="0.2">
      <c r="A1395">
        <v>1456</v>
      </c>
      <c r="B1395" t="s">
        <v>7822</v>
      </c>
      <c r="C1395" t="s">
        <v>34</v>
      </c>
      <c r="D1395" t="s">
        <v>35</v>
      </c>
      <c r="E1395" t="s">
        <v>7823</v>
      </c>
      <c r="F1395" t="s">
        <v>7824</v>
      </c>
      <c r="G1395" t="s">
        <v>53</v>
      </c>
      <c r="H1395" t="s">
        <v>54</v>
      </c>
      <c r="I1395" t="s">
        <v>1165</v>
      </c>
      <c r="J1395" t="s">
        <v>1166</v>
      </c>
      <c r="K1395">
        <v>2009</v>
      </c>
      <c r="L1395">
        <v>2009</v>
      </c>
      <c r="M1395">
        <v>2.6</v>
      </c>
      <c r="N1395">
        <v>5.718</v>
      </c>
      <c r="O1395">
        <v>270.95</v>
      </c>
      <c r="P1395">
        <v>1.17</v>
      </c>
      <c r="Q1395">
        <v>0.61699999999999999</v>
      </c>
      <c r="R1395" t="s">
        <v>72</v>
      </c>
      <c r="S1395" t="s">
        <v>7825</v>
      </c>
      <c r="T1395" t="b">
        <v>1</v>
      </c>
      <c r="U1395" t="s">
        <v>1262</v>
      </c>
      <c r="V1395" t="s">
        <v>7826</v>
      </c>
      <c r="W1395" t="s">
        <v>7827</v>
      </c>
      <c r="X1395" t="s">
        <v>47</v>
      </c>
      <c r="AA1395" t="s">
        <v>7822</v>
      </c>
      <c r="AB1395" t="s">
        <v>177</v>
      </c>
      <c r="AC1395" t="s">
        <v>7828</v>
      </c>
      <c r="AD1395" t="b">
        <v>0</v>
      </c>
      <c r="AF1395">
        <v>8</v>
      </c>
      <c r="AG1395" t="s">
        <v>78</v>
      </c>
    </row>
    <row r="1396" spans="1:33" x14ac:dyDescent="0.2">
      <c r="A1396">
        <v>1376</v>
      </c>
      <c r="B1396" t="s">
        <v>7829</v>
      </c>
      <c r="C1396" t="s">
        <v>34</v>
      </c>
      <c r="D1396" t="s">
        <v>35</v>
      </c>
      <c r="E1396" t="s">
        <v>7830</v>
      </c>
      <c r="F1396" t="s">
        <v>7831</v>
      </c>
      <c r="G1396" t="s">
        <v>213</v>
      </c>
      <c r="H1396" t="s">
        <v>83</v>
      </c>
      <c r="I1396" t="s">
        <v>635</v>
      </c>
      <c r="J1396" t="s">
        <v>94</v>
      </c>
      <c r="K1396">
        <v>2006</v>
      </c>
      <c r="L1396">
        <v>2006</v>
      </c>
      <c r="M1396">
        <v>1.9</v>
      </c>
      <c r="N1396">
        <v>5.1509999999999998</v>
      </c>
      <c r="O1396">
        <v>190</v>
      </c>
      <c r="P1396">
        <v>1.1000000000000001</v>
      </c>
      <c r="Q1396">
        <v>0.48</v>
      </c>
      <c r="R1396" t="s">
        <v>84</v>
      </c>
      <c r="S1396" t="s">
        <v>7832</v>
      </c>
      <c r="T1396" t="b">
        <v>1</v>
      </c>
      <c r="U1396" t="s">
        <v>7833</v>
      </c>
      <c r="V1396" t="s">
        <v>7834</v>
      </c>
      <c r="W1396" t="s">
        <v>7835</v>
      </c>
      <c r="X1396" t="s">
        <v>47</v>
      </c>
      <c r="AA1396" t="s">
        <v>958</v>
      </c>
      <c r="AB1396" t="s">
        <v>7836</v>
      </c>
      <c r="AC1396" t="s">
        <v>959</v>
      </c>
      <c r="AD1396" t="b">
        <v>0</v>
      </c>
      <c r="AF1396">
        <v>3</v>
      </c>
      <c r="AG1396" t="s">
        <v>332</v>
      </c>
    </row>
    <row r="1397" spans="1:33" x14ac:dyDescent="0.2">
      <c r="A1397">
        <v>399</v>
      </c>
      <c r="B1397" t="s">
        <v>7837</v>
      </c>
      <c r="C1397" t="s">
        <v>34</v>
      </c>
      <c r="D1397" t="s">
        <v>35</v>
      </c>
      <c r="E1397" t="s">
        <v>404</v>
      </c>
      <c r="F1397" t="s">
        <v>405</v>
      </c>
      <c r="G1397" t="s">
        <v>312</v>
      </c>
      <c r="H1397" t="s">
        <v>313</v>
      </c>
      <c r="I1397" t="s">
        <v>3194</v>
      </c>
      <c r="J1397" t="s">
        <v>1697</v>
      </c>
      <c r="K1397">
        <v>1957</v>
      </c>
      <c r="L1397">
        <v>1957</v>
      </c>
      <c r="M1397">
        <v>110</v>
      </c>
      <c r="N1397">
        <v>577.16499999999996</v>
      </c>
      <c r="O1397">
        <v>58</v>
      </c>
      <c r="P1397">
        <v>244.44</v>
      </c>
      <c r="Q1397">
        <v>0.125</v>
      </c>
      <c r="R1397" t="s">
        <v>84</v>
      </c>
      <c r="S1397" t="s">
        <v>7838</v>
      </c>
      <c r="T1397" t="b">
        <v>1</v>
      </c>
      <c r="U1397" t="s">
        <v>1583</v>
      </c>
      <c r="V1397" t="s">
        <v>408</v>
      </c>
      <c r="W1397" t="s">
        <v>113</v>
      </c>
      <c r="X1397" t="s">
        <v>47</v>
      </c>
      <c r="AA1397" t="s">
        <v>319</v>
      </c>
      <c r="AB1397" t="s">
        <v>308</v>
      </c>
      <c r="AC1397" t="s">
        <v>320</v>
      </c>
      <c r="AD1397" t="b">
        <v>0</v>
      </c>
      <c r="AF1397">
        <v>4</v>
      </c>
      <c r="AG1397" t="s">
        <v>321</v>
      </c>
    </row>
    <row r="1398" spans="1:33" x14ac:dyDescent="0.2">
      <c r="A1398">
        <v>400</v>
      </c>
      <c r="B1398" t="s">
        <v>7839</v>
      </c>
      <c r="C1398" t="s">
        <v>34</v>
      </c>
      <c r="D1398" t="s">
        <v>35</v>
      </c>
      <c r="E1398" t="s">
        <v>1200</v>
      </c>
      <c r="F1398" t="s">
        <v>1201</v>
      </c>
      <c r="G1398" t="s">
        <v>53</v>
      </c>
      <c r="H1398" t="s">
        <v>54</v>
      </c>
      <c r="I1398" t="s">
        <v>1241</v>
      </c>
      <c r="J1398" t="s">
        <v>1242</v>
      </c>
      <c r="K1398">
        <v>1981</v>
      </c>
      <c r="L1398">
        <v>1981</v>
      </c>
      <c r="M1398">
        <v>170</v>
      </c>
      <c r="N1398">
        <v>802.572</v>
      </c>
      <c r="O1398">
        <v>451.3</v>
      </c>
      <c r="P1398">
        <v>41</v>
      </c>
      <c r="Q1398">
        <v>1.1519999999999999</v>
      </c>
      <c r="R1398" t="s">
        <v>57</v>
      </c>
      <c r="S1398" t="s">
        <v>7840</v>
      </c>
      <c r="T1398" t="b">
        <v>1</v>
      </c>
      <c r="U1398" t="s">
        <v>1069</v>
      </c>
      <c r="V1398" t="s">
        <v>1204</v>
      </c>
      <c r="W1398" t="s">
        <v>7841</v>
      </c>
      <c r="X1398" t="s">
        <v>47</v>
      </c>
      <c r="AA1398" t="s">
        <v>1247</v>
      </c>
      <c r="AB1398" t="s">
        <v>177</v>
      </c>
      <c r="AC1398" t="s">
        <v>1248</v>
      </c>
      <c r="AD1398" t="b">
        <v>0</v>
      </c>
      <c r="AF1398">
        <v>6</v>
      </c>
      <c r="AG1398" t="s">
        <v>64</v>
      </c>
    </row>
    <row r="1399" spans="1:33" x14ac:dyDescent="0.2">
      <c r="A1399">
        <v>1419</v>
      </c>
      <c r="B1399" t="s">
        <v>7842</v>
      </c>
      <c r="C1399" t="s">
        <v>34</v>
      </c>
      <c r="D1399" t="s">
        <v>35</v>
      </c>
      <c r="E1399" t="s">
        <v>7843</v>
      </c>
      <c r="F1399" t="s">
        <v>7844</v>
      </c>
      <c r="G1399" t="s">
        <v>68</v>
      </c>
      <c r="H1399" t="s">
        <v>69</v>
      </c>
      <c r="I1399" t="s">
        <v>1458</v>
      </c>
      <c r="J1399" t="s">
        <v>1459</v>
      </c>
      <c r="K1399">
        <v>2009</v>
      </c>
      <c r="L1399">
        <v>2009</v>
      </c>
      <c r="M1399">
        <v>8.1999999999999993</v>
      </c>
      <c r="N1399">
        <v>24.544</v>
      </c>
      <c r="O1399">
        <v>692</v>
      </c>
      <c r="P1399">
        <v>1.4</v>
      </c>
      <c r="Q1399">
        <v>1.647</v>
      </c>
      <c r="R1399" t="s">
        <v>72</v>
      </c>
      <c r="S1399" t="s">
        <v>7845</v>
      </c>
      <c r="T1399" t="b">
        <v>1</v>
      </c>
      <c r="U1399" t="s">
        <v>7846</v>
      </c>
      <c r="V1399" t="s">
        <v>7847</v>
      </c>
      <c r="W1399" t="s">
        <v>7848</v>
      </c>
      <c r="X1399" t="s">
        <v>47</v>
      </c>
      <c r="AA1399" t="s">
        <v>7849</v>
      </c>
      <c r="AB1399" t="s">
        <v>49</v>
      </c>
      <c r="AC1399" t="s">
        <v>7850</v>
      </c>
      <c r="AD1399" t="b">
        <v>0</v>
      </c>
      <c r="AF1399">
        <v>13</v>
      </c>
      <c r="AG1399" t="s">
        <v>155</v>
      </c>
    </row>
    <row r="1400" spans="1:33" x14ac:dyDescent="0.2">
      <c r="A1400">
        <v>1648</v>
      </c>
      <c r="B1400" t="s">
        <v>7851</v>
      </c>
      <c r="C1400" t="s">
        <v>34</v>
      </c>
      <c r="D1400" t="s">
        <v>35</v>
      </c>
      <c r="E1400" t="s">
        <v>1085</v>
      </c>
      <c r="F1400" t="s">
        <v>1086</v>
      </c>
      <c r="G1400" t="s">
        <v>134</v>
      </c>
      <c r="H1400" t="s">
        <v>135</v>
      </c>
      <c r="I1400" t="s">
        <v>202</v>
      </c>
      <c r="J1400" t="s">
        <v>203</v>
      </c>
      <c r="K1400">
        <v>2013</v>
      </c>
      <c r="L1400">
        <v>2013</v>
      </c>
      <c r="M1400">
        <v>5.4</v>
      </c>
      <c r="N1400">
        <v>16.616</v>
      </c>
      <c r="O1400">
        <v>448</v>
      </c>
      <c r="P1400">
        <v>1.4</v>
      </c>
      <c r="Q1400">
        <v>1.071</v>
      </c>
      <c r="R1400" t="s">
        <v>42</v>
      </c>
      <c r="S1400" t="s">
        <v>7852</v>
      </c>
      <c r="T1400" t="b">
        <v>1</v>
      </c>
      <c r="U1400" t="s">
        <v>7853</v>
      </c>
      <c r="V1400" t="s">
        <v>1089</v>
      </c>
      <c r="W1400" t="s">
        <v>7854</v>
      </c>
      <c r="X1400" t="s">
        <v>47</v>
      </c>
      <c r="AA1400" t="s">
        <v>208</v>
      </c>
      <c r="AB1400" t="s">
        <v>177</v>
      </c>
      <c r="AC1400" t="s">
        <v>4566</v>
      </c>
      <c r="AD1400" t="b">
        <v>0</v>
      </c>
      <c r="AF1400">
        <v>10</v>
      </c>
      <c r="AG1400" t="s">
        <v>143</v>
      </c>
    </row>
    <row r="1401" spans="1:33" x14ac:dyDescent="0.2">
      <c r="A1401">
        <v>984</v>
      </c>
      <c r="B1401" t="s">
        <v>7855</v>
      </c>
      <c r="C1401" t="s">
        <v>34</v>
      </c>
      <c r="D1401" t="s">
        <v>35</v>
      </c>
      <c r="E1401" t="s">
        <v>7856</v>
      </c>
      <c r="F1401" t="s">
        <v>7857</v>
      </c>
      <c r="G1401" t="s">
        <v>53</v>
      </c>
      <c r="H1401" t="s">
        <v>54</v>
      </c>
      <c r="I1401" t="s">
        <v>182</v>
      </c>
      <c r="J1401" t="s">
        <v>49</v>
      </c>
      <c r="K1401">
        <v>1913</v>
      </c>
      <c r="L1401">
        <v>1985</v>
      </c>
      <c r="M1401">
        <v>0.95</v>
      </c>
      <c r="N1401">
        <v>1.8779999999999999</v>
      </c>
      <c r="R1401" t="s">
        <v>57</v>
      </c>
      <c r="S1401" t="s">
        <v>7858</v>
      </c>
      <c r="T1401" t="b">
        <v>1</v>
      </c>
      <c r="U1401" t="s">
        <v>7859</v>
      </c>
      <c r="V1401" t="s">
        <v>7860</v>
      </c>
      <c r="W1401" t="s">
        <v>113</v>
      </c>
      <c r="X1401" t="s">
        <v>47</v>
      </c>
      <c r="AA1401" t="s">
        <v>114</v>
      </c>
      <c r="AC1401" t="s">
        <v>63</v>
      </c>
      <c r="AD1401" t="b">
        <v>0</v>
      </c>
      <c r="AF1401">
        <v>6</v>
      </c>
      <c r="AG1401" t="s">
        <v>64</v>
      </c>
    </row>
    <row r="1402" spans="1:33" x14ac:dyDescent="0.2">
      <c r="A1402">
        <v>1681</v>
      </c>
      <c r="B1402" t="s">
        <v>7861</v>
      </c>
      <c r="C1402" t="s">
        <v>34</v>
      </c>
      <c r="D1402" t="s">
        <v>35</v>
      </c>
      <c r="E1402" t="s">
        <v>7862</v>
      </c>
      <c r="F1402" t="s">
        <v>7863</v>
      </c>
      <c r="G1402" t="s">
        <v>312</v>
      </c>
      <c r="H1402" t="s">
        <v>313</v>
      </c>
      <c r="I1402" t="s">
        <v>7864</v>
      </c>
      <c r="J1402" t="s">
        <v>49</v>
      </c>
      <c r="K1402">
        <v>1939</v>
      </c>
      <c r="L1402">
        <v>1939</v>
      </c>
      <c r="M1402">
        <v>0.75</v>
      </c>
      <c r="N1402">
        <v>3.5339999999999998</v>
      </c>
      <c r="O1402">
        <v>15</v>
      </c>
      <c r="P1402">
        <v>6.5</v>
      </c>
      <c r="Q1402">
        <v>3.2000000000000001E-2</v>
      </c>
      <c r="R1402" t="s">
        <v>84</v>
      </c>
      <c r="S1402" t="s">
        <v>7865</v>
      </c>
      <c r="T1402" t="b">
        <v>1</v>
      </c>
      <c r="U1402" t="s">
        <v>2048</v>
      </c>
      <c r="V1402" t="s">
        <v>7866</v>
      </c>
      <c r="W1402" t="s">
        <v>113</v>
      </c>
      <c r="X1402" t="s">
        <v>47</v>
      </c>
      <c r="AA1402" t="s">
        <v>7867</v>
      </c>
      <c r="AC1402" t="s">
        <v>63</v>
      </c>
      <c r="AD1402" t="b">
        <v>0</v>
      </c>
      <c r="AF1402">
        <v>3</v>
      </c>
      <c r="AG1402" t="s">
        <v>332</v>
      </c>
    </row>
    <row r="1403" spans="1:33" x14ac:dyDescent="0.2">
      <c r="A1403">
        <v>1452</v>
      </c>
      <c r="B1403" t="s">
        <v>7868</v>
      </c>
      <c r="C1403" t="s">
        <v>34</v>
      </c>
      <c r="D1403" t="s">
        <v>35</v>
      </c>
      <c r="E1403" t="s">
        <v>168</v>
      </c>
      <c r="F1403" t="s">
        <v>169</v>
      </c>
      <c r="G1403" t="s">
        <v>312</v>
      </c>
      <c r="H1403" t="s">
        <v>313</v>
      </c>
      <c r="I1403" t="s">
        <v>493</v>
      </c>
      <c r="J1403" t="s">
        <v>409</v>
      </c>
      <c r="K1403">
        <v>2010</v>
      </c>
      <c r="L1403">
        <v>2010</v>
      </c>
      <c r="M1403">
        <v>3.12</v>
      </c>
      <c r="N1403">
        <v>8.5090000000000003</v>
      </c>
      <c r="O1403">
        <v>137</v>
      </c>
      <c r="P1403">
        <v>2.7</v>
      </c>
      <c r="Q1403">
        <v>0.32100000000000001</v>
      </c>
      <c r="R1403" t="s">
        <v>84</v>
      </c>
      <c r="S1403" t="s">
        <v>7869</v>
      </c>
      <c r="T1403" t="b">
        <v>1</v>
      </c>
      <c r="U1403" t="s">
        <v>7870</v>
      </c>
      <c r="V1403" t="s">
        <v>174</v>
      </c>
      <c r="W1403" t="s">
        <v>7871</v>
      </c>
      <c r="X1403" t="s">
        <v>47</v>
      </c>
      <c r="AA1403" t="s">
        <v>498</v>
      </c>
      <c r="AB1403" t="s">
        <v>177</v>
      </c>
      <c r="AC1403" t="s">
        <v>499</v>
      </c>
      <c r="AD1403" t="b">
        <v>0</v>
      </c>
      <c r="AF1403">
        <v>4</v>
      </c>
      <c r="AG1403" t="s">
        <v>321</v>
      </c>
    </row>
    <row r="1404" spans="1:33" x14ac:dyDescent="0.2">
      <c r="A1404">
        <v>401</v>
      </c>
      <c r="B1404" t="s">
        <v>7872</v>
      </c>
      <c r="C1404" t="s">
        <v>34</v>
      </c>
      <c r="D1404" t="s">
        <v>35</v>
      </c>
      <c r="E1404" t="s">
        <v>728</v>
      </c>
      <c r="F1404" t="s">
        <v>729</v>
      </c>
      <c r="G1404" t="s">
        <v>53</v>
      </c>
      <c r="H1404" t="s">
        <v>54</v>
      </c>
      <c r="I1404" t="s">
        <v>362</v>
      </c>
      <c r="J1404" t="s">
        <v>256</v>
      </c>
      <c r="K1404">
        <v>1907</v>
      </c>
      <c r="L1404">
        <v>1907</v>
      </c>
      <c r="M1404">
        <v>2.9</v>
      </c>
      <c r="N1404">
        <v>15.346</v>
      </c>
      <c r="O1404">
        <v>90</v>
      </c>
      <c r="P1404">
        <v>3.3</v>
      </c>
      <c r="Q1404">
        <v>0.20899999999999999</v>
      </c>
      <c r="R1404" t="s">
        <v>72</v>
      </c>
      <c r="S1404" t="s">
        <v>7873</v>
      </c>
      <c r="T1404" t="b">
        <v>1</v>
      </c>
      <c r="U1404" t="s">
        <v>2962</v>
      </c>
      <c r="V1404" t="s">
        <v>2923</v>
      </c>
      <c r="W1404" t="s">
        <v>6526</v>
      </c>
      <c r="X1404" t="s">
        <v>47</v>
      </c>
      <c r="AA1404" t="s">
        <v>6527</v>
      </c>
      <c r="AB1404" t="s">
        <v>49</v>
      </c>
      <c r="AC1404" t="s">
        <v>6528</v>
      </c>
      <c r="AD1404" t="b">
        <v>0</v>
      </c>
      <c r="AF1404">
        <v>13</v>
      </c>
      <c r="AG1404" t="s">
        <v>155</v>
      </c>
    </row>
    <row r="1405" spans="1:33" x14ac:dyDescent="0.2">
      <c r="A1405">
        <v>2194</v>
      </c>
      <c r="B1405" t="s">
        <v>7874</v>
      </c>
      <c r="C1405" t="s">
        <v>34</v>
      </c>
      <c r="D1405" t="s">
        <v>35</v>
      </c>
      <c r="E1405" t="s">
        <v>7875</v>
      </c>
      <c r="F1405" t="s">
        <v>7876</v>
      </c>
      <c r="G1405" t="s">
        <v>93</v>
      </c>
      <c r="H1405" t="s">
        <v>94</v>
      </c>
      <c r="I1405" t="s">
        <v>7211</v>
      </c>
      <c r="J1405" t="s">
        <v>171</v>
      </c>
      <c r="K1405">
        <v>2025</v>
      </c>
      <c r="L1405">
        <v>2025</v>
      </c>
      <c r="M1405">
        <v>2.2999999999999998</v>
      </c>
      <c r="N1405">
        <v>6.5</v>
      </c>
      <c r="O1405">
        <v>232.2</v>
      </c>
      <c r="P1405">
        <v>1.25</v>
      </c>
      <c r="Q1405">
        <v>0.51100000000000001</v>
      </c>
      <c r="R1405" t="s">
        <v>97</v>
      </c>
      <c r="S1405" t="s">
        <v>7877</v>
      </c>
      <c r="T1405" t="b">
        <v>1</v>
      </c>
      <c r="U1405" t="s">
        <v>5338</v>
      </c>
      <c r="V1405" t="s">
        <v>7878</v>
      </c>
      <c r="W1405" t="s">
        <v>7879</v>
      </c>
      <c r="X1405" t="s">
        <v>47</v>
      </c>
      <c r="AA1405" t="s">
        <v>340</v>
      </c>
      <c r="AC1405" t="s">
        <v>341</v>
      </c>
      <c r="AD1405" t="b">
        <v>0</v>
      </c>
      <c r="AF1405">
        <v>1</v>
      </c>
      <c r="AG1405" t="s">
        <v>104</v>
      </c>
    </row>
    <row r="1406" spans="1:33" x14ac:dyDescent="0.2">
      <c r="A1406">
        <v>402</v>
      </c>
      <c r="B1406" t="s">
        <v>7880</v>
      </c>
      <c r="C1406" t="s">
        <v>34</v>
      </c>
      <c r="D1406" t="s">
        <v>35</v>
      </c>
      <c r="E1406" t="s">
        <v>1200</v>
      </c>
      <c r="F1406" t="s">
        <v>1201</v>
      </c>
      <c r="G1406" t="s">
        <v>53</v>
      </c>
      <c r="H1406" t="s">
        <v>54</v>
      </c>
      <c r="I1406" t="s">
        <v>604</v>
      </c>
      <c r="J1406" t="s">
        <v>426</v>
      </c>
      <c r="K1406">
        <v>1974</v>
      </c>
      <c r="L1406">
        <v>1974</v>
      </c>
      <c r="M1406">
        <v>26</v>
      </c>
      <c r="N1406">
        <v>59.177999999999997</v>
      </c>
      <c r="O1406">
        <v>115</v>
      </c>
      <c r="P1406">
        <v>28.7</v>
      </c>
      <c r="Q1406">
        <v>0.252</v>
      </c>
      <c r="R1406" t="s">
        <v>57</v>
      </c>
      <c r="S1406" t="s">
        <v>7881</v>
      </c>
      <c r="T1406" t="b">
        <v>1</v>
      </c>
      <c r="U1406" t="s">
        <v>7882</v>
      </c>
      <c r="V1406" t="s">
        <v>1204</v>
      </c>
      <c r="W1406" t="s">
        <v>113</v>
      </c>
      <c r="X1406" t="s">
        <v>47</v>
      </c>
      <c r="AA1406" t="s">
        <v>3878</v>
      </c>
      <c r="AB1406" t="s">
        <v>192</v>
      </c>
      <c r="AC1406" t="s">
        <v>3879</v>
      </c>
      <c r="AD1406" t="b">
        <v>0</v>
      </c>
      <c r="AF1406">
        <v>6</v>
      </c>
      <c r="AG1406" t="s">
        <v>64</v>
      </c>
    </row>
    <row r="1407" spans="1:33" x14ac:dyDescent="0.2">
      <c r="A1407">
        <v>831</v>
      </c>
      <c r="B1407" t="s">
        <v>7883</v>
      </c>
      <c r="C1407" t="s">
        <v>34</v>
      </c>
      <c r="D1407" t="s">
        <v>35</v>
      </c>
      <c r="E1407" t="s">
        <v>7884</v>
      </c>
      <c r="F1407" t="s">
        <v>7885</v>
      </c>
      <c r="G1407" t="s">
        <v>312</v>
      </c>
      <c r="H1407" t="s">
        <v>313</v>
      </c>
      <c r="I1407" t="s">
        <v>2125</v>
      </c>
      <c r="J1407" t="s">
        <v>973</v>
      </c>
      <c r="K1407">
        <v>2004</v>
      </c>
      <c r="L1407">
        <v>2004</v>
      </c>
      <c r="M1407">
        <v>2</v>
      </c>
      <c r="N1407">
        <v>6.96</v>
      </c>
      <c r="O1407">
        <v>280</v>
      </c>
      <c r="P1407">
        <v>0.88</v>
      </c>
      <c r="Q1407">
        <v>0.63100000000000001</v>
      </c>
      <c r="R1407" t="s">
        <v>84</v>
      </c>
      <c r="S1407" t="s">
        <v>7886</v>
      </c>
      <c r="T1407" t="b">
        <v>1</v>
      </c>
      <c r="U1407" t="s">
        <v>7887</v>
      </c>
      <c r="V1407" t="s">
        <v>7888</v>
      </c>
      <c r="W1407" t="s">
        <v>7889</v>
      </c>
      <c r="X1407" t="s">
        <v>47</v>
      </c>
      <c r="AA1407" t="s">
        <v>319</v>
      </c>
      <c r="AB1407" t="s">
        <v>3789</v>
      </c>
      <c r="AC1407" t="s">
        <v>320</v>
      </c>
      <c r="AD1407" t="b">
        <v>0</v>
      </c>
      <c r="AF1407">
        <v>4</v>
      </c>
      <c r="AG1407" t="s">
        <v>321</v>
      </c>
    </row>
    <row r="1408" spans="1:33" x14ac:dyDescent="0.2">
      <c r="A1408">
        <v>950</v>
      </c>
      <c r="B1408" t="s">
        <v>7890</v>
      </c>
      <c r="C1408" t="s">
        <v>34</v>
      </c>
      <c r="D1408" t="s">
        <v>35</v>
      </c>
      <c r="E1408" t="s">
        <v>7891</v>
      </c>
      <c r="F1408" t="s">
        <v>7892</v>
      </c>
      <c r="G1408" t="s">
        <v>53</v>
      </c>
      <c r="H1408" t="s">
        <v>54</v>
      </c>
      <c r="I1408" t="s">
        <v>1143</v>
      </c>
      <c r="J1408" t="s">
        <v>54</v>
      </c>
      <c r="K1408">
        <v>2002</v>
      </c>
      <c r="L1408">
        <v>2008</v>
      </c>
      <c r="M1408">
        <v>0.75</v>
      </c>
      <c r="N1408">
        <v>1.8260000000000001</v>
      </c>
      <c r="R1408" t="s">
        <v>72</v>
      </c>
      <c r="S1408" t="s">
        <v>1494</v>
      </c>
      <c r="T1408" t="b">
        <v>1</v>
      </c>
      <c r="U1408" t="s">
        <v>74</v>
      </c>
      <c r="V1408" t="s">
        <v>7893</v>
      </c>
      <c r="W1408" t="s">
        <v>7894</v>
      </c>
      <c r="X1408" t="s">
        <v>47</v>
      </c>
      <c r="AA1408" t="s">
        <v>479</v>
      </c>
      <c r="AC1408" t="s">
        <v>1148</v>
      </c>
      <c r="AD1408" t="b">
        <v>0</v>
      </c>
      <c r="AF1408">
        <v>13</v>
      </c>
      <c r="AG1408" t="s">
        <v>155</v>
      </c>
    </row>
    <row r="1409" spans="1:33" x14ac:dyDescent="0.2">
      <c r="A1409">
        <v>852</v>
      </c>
      <c r="B1409" t="s">
        <v>479</v>
      </c>
      <c r="C1409" t="s">
        <v>34</v>
      </c>
      <c r="D1409" t="s">
        <v>35</v>
      </c>
      <c r="E1409" t="s">
        <v>7895</v>
      </c>
      <c r="F1409" t="s">
        <v>7896</v>
      </c>
      <c r="G1409" t="s">
        <v>377</v>
      </c>
      <c r="H1409" t="s">
        <v>378</v>
      </c>
      <c r="I1409" t="s">
        <v>6259</v>
      </c>
      <c r="J1409" t="s">
        <v>337</v>
      </c>
      <c r="K1409">
        <v>1948</v>
      </c>
      <c r="L1409">
        <v>1948</v>
      </c>
      <c r="M1409">
        <v>0.47</v>
      </c>
      <c r="N1409">
        <v>2.8340000000000001</v>
      </c>
      <c r="O1409">
        <v>306</v>
      </c>
      <c r="P1409">
        <v>0.2</v>
      </c>
      <c r="R1409" t="s">
        <v>42</v>
      </c>
      <c r="S1409" t="s">
        <v>7897</v>
      </c>
      <c r="T1409" t="b">
        <v>1</v>
      </c>
      <c r="U1409" t="s">
        <v>7898</v>
      </c>
      <c r="V1409" t="s">
        <v>7899</v>
      </c>
      <c r="W1409" t="s">
        <v>113</v>
      </c>
      <c r="X1409" t="s">
        <v>47</v>
      </c>
      <c r="AA1409" t="s">
        <v>114</v>
      </c>
      <c r="AC1409" t="s">
        <v>63</v>
      </c>
      <c r="AD1409" t="b">
        <v>0</v>
      </c>
      <c r="AF1409">
        <v>11</v>
      </c>
      <c r="AG1409" t="s">
        <v>198</v>
      </c>
    </row>
    <row r="1410" spans="1:33" x14ac:dyDescent="0.2">
      <c r="A1410">
        <v>903</v>
      </c>
      <c r="B1410" t="s">
        <v>479</v>
      </c>
      <c r="C1410" t="s">
        <v>34</v>
      </c>
      <c r="D1410" t="s">
        <v>35</v>
      </c>
      <c r="E1410" t="s">
        <v>7900</v>
      </c>
      <c r="F1410" t="s">
        <v>7901</v>
      </c>
      <c r="G1410" t="s">
        <v>53</v>
      </c>
      <c r="H1410" t="s">
        <v>54</v>
      </c>
      <c r="I1410" t="s">
        <v>1251</v>
      </c>
      <c r="J1410" t="s">
        <v>177</v>
      </c>
      <c r="K1410">
        <v>1999</v>
      </c>
      <c r="L1410">
        <v>1999</v>
      </c>
      <c r="M1410">
        <v>0.4</v>
      </c>
      <c r="N1410">
        <v>3.1970000000000001</v>
      </c>
      <c r="R1410" t="s">
        <v>72</v>
      </c>
      <c r="S1410" t="s">
        <v>4848</v>
      </c>
      <c r="T1410" t="b">
        <v>1</v>
      </c>
      <c r="U1410" t="s">
        <v>571</v>
      </c>
      <c r="V1410" t="s">
        <v>7902</v>
      </c>
      <c r="W1410" t="s">
        <v>7903</v>
      </c>
      <c r="X1410" t="s">
        <v>47</v>
      </c>
      <c r="AA1410" t="s">
        <v>1256</v>
      </c>
      <c r="AC1410" t="s">
        <v>1257</v>
      </c>
      <c r="AD1410" t="b">
        <v>0</v>
      </c>
      <c r="AF1410">
        <v>13</v>
      </c>
      <c r="AG1410" t="s">
        <v>155</v>
      </c>
    </row>
    <row r="1411" spans="1:33" x14ac:dyDescent="0.2">
      <c r="A1411">
        <v>1856</v>
      </c>
      <c r="B1411" t="s">
        <v>479</v>
      </c>
      <c r="C1411" t="s">
        <v>34</v>
      </c>
      <c r="D1411" t="s">
        <v>35</v>
      </c>
      <c r="E1411" t="s">
        <v>132</v>
      </c>
      <c r="F1411" t="s">
        <v>133</v>
      </c>
      <c r="G1411" t="s">
        <v>134</v>
      </c>
      <c r="H1411" t="s">
        <v>135</v>
      </c>
      <c r="I1411" t="s">
        <v>764</v>
      </c>
      <c r="J1411" t="s">
        <v>765</v>
      </c>
      <c r="K1411">
        <v>2019</v>
      </c>
      <c r="L1411">
        <v>2019</v>
      </c>
      <c r="M1411">
        <v>8</v>
      </c>
      <c r="N1411">
        <v>23.457000000000001</v>
      </c>
      <c r="O1411">
        <v>87.1</v>
      </c>
      <c r="P1411">
        <v>10.4</v>
      </c>
      <c r="Q1411">
        <v>0.214</v>
      </c>
      <c r="R1411" t="s">
        <v>42</v>
      </c>
      <c r="S1411" t="s">
        <v>7904</v>
      </c>
      <c r="T1411" t="b">
        <v>1</v>
      </c>
      <c r="U1411" t="s">
        <v>7905</v>
      </c>
      <c r="V1411" t="s">
        <v>139</v>
      </c>
      <c r="W1411" t="s">
        <v>7906</v>
      </c>
      <c r="X1411" t="s">
        <v>47</v>
      </c>
      <c r="AA1411" t="s">
        <v>479</v>
      </c>
      <c r="AB1411" t="s">
        <v>49</v>
      </c>
      <c r="AC1411" t="s">
        <v>7907</v>
      </c>
      <c r="AD1411" t="b">
        <v>0</v>
      </c>
      <c r="AF1411">
        <v>10</v>
      </c>
      <c r="AG1411" t="s">
        <v>143</v>
      </c>
    </row>
    <row r="1412" spans="1:33" x14ac:dyDescent="0.2">
      <c r="A1412">
        <v>2030</v>
      </c>
      <c r="B1412" t="s">
        <v>479</v>
      </c>
      <c r="C1412" t="s">
        <v>34</v>
      </c>
      <c r="D1412" t="s">
        <v>35</v>
      </c>
      <c r="E1412" t="s">
        <v>892</v>
      </c>
      <c r="F1412" t="s">
        <v>893</v>
      </c>
      <c r="G1412" t="s">
        <v>53</v>
      </c>
      <c r="H1412" t="s">
        <v>54</v>
      </c>
      <c r="I1412" t="s">
        <v>1678</v>
      </c>
      <c r="J1412" t="s">
        <v>245</v>
      </c>
      <c r="K1412">
        <v>2021</v>
      </c>
      <c r="L1412">
        <v>2021</v>
      </c>
      <c r="M1412">
        <v>3.64</v>
      </c>
      <c r="N1412">
        <v>9.9489999999999998</v>
      </c>
      <c r="O1412">
        <v>65.5</v>
      </c>
      <c r="P1412">
        <v>6.5</v>
      </c>
      <c r="Q1412">
        <v>0.156</v>
      </c>
      <c r="R1412" t="s">
        <v>57</v>
      </c>
      <c r="S1412" t="s">
        <v>1679</v>
      </c>
      <c r="T1412" t="b">
        <v>1</v>
      </c>
      <c r="U1412" t="s">
        <v>7908</v>
      </c>
      <c r="V1412" t="s">
        <v>896</v>
      </c>
      <c r="W1412" t="s">
        <v>7909</v>
      </c>
      <c r="X1412" t="s">
        <v>47</v>
      </c>
      <c r="AA1412" t="s">
        <v>1682</v>
      </c>
      <c r="AC1412" t="s">
        <v>63</v>
      </c>
      <c r="AD1412" t="b">
        <v>0</v>
      </c>
      <c r="AF1412">
        <v>6</v>
      </c>
      <c r="AG1412" t="s">
        <v>64</v>
      </c>
    </row>
    <row r="1413" spans="1:33" x14ac:dyDescent="0.2">
      <c r="A1413">
        <v>1876</v>
      </c>
      <c r="B1413" t="s">
        <v>3629</v>
      </c>
      <c r="C1413" t="s">
        <v>34</v>
      </c>
      <c r="D1413" t="s">
        <v>35</v>
      </c>
      <c r="E1413" t="s">
        <v>7910</v>
      </c>
      <c r="F1413" t="s">
        <v>7911</v>
      </c>
      <c r="G1413" t="s">
        <v>53</v>
      </c>
      <c r="H1413" t="s">
        <v>54</v>
      </c>
      <c r="I1413" t="s">
        <v>325</v>
      </c>
      <c r="J1413" t="s">
        <v>135</v>
      </c>
      <c r="K1413">
        <v>2017</v>
      </c>
      <c r="L1413">
        <v>2017</v>
      </c>
      <c r="M1413">
        <v>4.04</v>
      </c>
      <c r="N1413">
        <v>5.7889999999999997</v>
      </c>
      <c r="O1413">
        <v>645.27</v>
      </c>
      <c r="P1413">
        <v>0.71</v>
      </c>
      <c r="Q1413">
        <v>1.581</v>
      </c>
      <c r="R1413" t="s">
        <v>57</v>
      </c>
      <c r="S1413" t="s">
        <v>7912</v>
      </c>
      <c r="T1413" t="b">
        <v>1</v>
      </c>
      <c r="U1413" t="s">
        <v>7913</v>
      </c>
      <c r="V1413" t="s">
        <v>7914</v>
      </c>
      <c r="W1413" t="s">
        <v>7915</v>
      </c>
      <c r="X1413" t="s">
        <v>47</v>
      </c>
      <c r="AA1413" t="s">
        <v>114</v>
      </c>
      <c r="AC1413" t="s">
        <v>63</v>
      </c>
      <c r="AD1413" t="b">
        <v>0</v>
      </c>
      <c r="AF1413">
        <v>6</v>
      </c>
      <c r="AG1413" t="s">
        <v>64</v>
      </c>
    </row>
    <row r="1414" spans="1:33" x14ac:dyDescent="0.2">
      <c r="A1414">
        <v>1785</v>
      </c>
      <c r="B1414" t="s">
        <v>7916</v>
      </c>
      <c r="C1414" t="s">
        <v>34</v>
      </c>
      <c r="D1414" t="s">
        <v>35</v>
      </c>
      <c r="E1414" t="s">
        <v>1085</v>
      </c>
      <c r="F1414" t="s">
        <v>1086</v>
      </c>
      <c r="G1414" t="s">
        <v>134</v>
      </c>
      <c r="H1414" t="s">
        <v>135</v>
      </c>
      <c r="I1414" t="s">
        <v>1431</v>
      </c>
      <c r="J1414" t="s">
        <v>280</v>
      </c>
      <c r="K1414">
        <v>2015</v>
      </c>
      <c r="L1414">
        <v>2015</v>
      </c>
      <c r="M1414">
        <v>5</v>
      </c>
      <c r="N1414">
        <v>13.992000000000001</v>
      </c>
      <c r="O1414">
        <v>78.38</v>
      </c>
      <c r="P1414">
        <v>10</v>
      </c>
      <c r="Q1414">
        <v>0.13900000000000001</v>
      </c>
      <c r="R1414" t="s">
        <v>42</v>
      </c>
      <c r="S1414" t="s">
        <v>7917</v>
      </c>
      <c r="T1414" t="b">
        <v>1</v>
      </c>
      <c r="U1414" t="s">
        <v>7918</v>
      </c>
      <c r="V1414" t="s">
        <v>1089</v>
      </c>
      <c r="W1414" t="s">
        <v>7919</v>
      </c>
      <c r="X1414" t="s">
        <v>47</v>
      </c>
      <c r="AA1414" t="s">
        <v>1434</v>
      </c>
      <c r="AB1414" t="s">
        <v>676</v>
      </c>
      <c r="AC1414" t="s">
        <v>1435</v>
      </c>
      <c r="AD1414" t="b">
        <v>0</v>
      </c>
      <c r="AF1414">
        <v>10</v>
      </c>
      <c r="AG1414" t="s">
        <v>143</v>
      </c>
    </row>
    <row r="1415" spans="1:33" x14ac:dyDescent="0.2">
      <c r="A1415">
        <v>738</v>
      </c>
      <c r="B1415" t="s">
        <v>7920</v>
      </c>
      <c r="C1415" t="s">
        <v>34</v>
      </c>
      <c r="D1415" t="s">
        <v>35</v>
      </c>
      <c r="E1415" t="s">
        <v>1965</v>
      </c>
      <c r="F1415" t="s">
        <v>1966</v>
      </c>
      <c r="G1415" t="s">
        <v>93</v>
      </c>
      <c r="H1415" t="s">
        <v>94</v>
      </c>
      <c r="I1415" t="s">
        <v>1967</v>
      </c>
      <c r="J1415" t="s">
        <v>1697</v>
      </c>
      <c r="K1415">
        <v>1990</v>
      </c>
      <c r="L1415">
        <v>1990</v>
      </c>
      <c r="M1415">
        <v>2.7</v>
      </c>
      <c r="N1415">
        <v>8.5660000000000007</v>
      </c>
      <c r="O1415">
        <v>71.400000000000006</v>
      </c>
      <c r="P1415">
        <v>4.5</v>
      </c>
      <c r="Q1415">
        <v>0.16600000000000001</v>
      </c>
      <c r="R1415" t="s">
        <v>97</v>
      </c>
      <c r="S1415" t="s">
        <v>7921</v>
      </c>
      <c r="T1415" t="b">
        <v>1</v>
      </c>
      <c r="U1415" t="s">
        <v>7922</v>
      </c>
      <c r="V1415" t="s">
        <v>1969</v>
      </c>
      <c r="W1415" t="s">
        <v>113</v>
      </c>
      <c r="X1415" t="s">
        <v>47</v>
      </c>
      <c r="AA1415" t="s">
        <v>340</v>
      </c>
      <c r="AB1415" t="s">
        <v>3364</v>
      </c>
      <c r="AC1415" t="s">
        <v>341</v>
      </c>
      <c r="AD1415" t="b">
        <v>0</v>
      </c>
      <c r="AF1415">
        <v>1</v>
      </c>
      <c r="AG1415" t="s">
        <v>104</v>
      </c>
    </row>
    <row r="1416" spans="1:33" x14ac:dyDescent="0.2">
      <c r="A1416">
        <v>1511</v>
      </c>
      <c r="B1416" t="s">
        <v>7923</v>
      </c>
      <c r="C1416" t="s">
        <v>34</v>
      </c>
      <c r="D1416" t="s">
        <v>35</v>
      </c>
      <c r="E1416" t="s">
        <v>1525</v>
      </c>
      <c r="F1416" t="s">
        <v>1526</v>
      </c>
      <c r="G1416" t="s">
        <v>213</v>
      </c>
      <c r="H1416" t="s">
        <v>83</v>
      </c>
      <c r="I1416" t="s">
        <v>1527</v>
      </c>
      <c r="J1416" t="s">
        <v>245</v>
      </c>
      <c r="K1416">
        <v>2009</v>
      </c>
      <c r="L1416">
        <v>2009</v>
      </c>
      <c r="M1416">
        <v>0.62</v>
      </c>
      <c r="N1416">
        <v>2.39</v>
      </c>
      <c r="O1416">
        <v>23</v>
      </c>
      <c r="P1416">
        <v>3</v>
      </c>
      <c r="Q1416">
        <v>5.7000000000000002E-2</v>
      </c>
      <c r="R1416" t="s">
        <v>84</v>
      </c>
      <c r="S1416" t="s">
        <v>7924</v>
      </c>
      <c r="T1416" t="b">
        <v>1</v>
      </c>
      <c r="U1416" t="s">
        <v>7846</v>
      </c>
      <c r="V1416" t="s">
        <v>4648</v>
      </c>
      <c r="W1416" t="s">
        <v>1531</v>
      </c>
      <c r="X1416" t="s">
        <v>47</v>
      </c>
      <c r="AA1416" t="s">
        <v>1532</v>
      </c>
      <c r="AC1416" t="s">
        <v>1533</v>
      </c>
      <c r="AD1416" t="b">
        <v>0</v>
      </c>
      <c r="AF1416">
        <v>5</v>
      </c>
      <c r="AG1416" t="s">
        <v>89</v>
      </c>
    </row>
    <row r="1417" spans="1:33" x14ac:dyDescent="0.2">
      <c r="A1417">
        <v>1869</v>
      </c>
      <c r="B1417" t="s">
        <v>7925</v>
      </c>
      <c r="C1417" t="s">
        <v>34</v>
      </c>
      <c r="D1417" t="s">
        <v>35</v>
      </c>
      <c r="E1417" t="s">
        <v>36</v>
      </c>
      <c r="F1417" t="s">
        <v>37</v>
      </c>
      <c r="G1417" t="s">
        <v>53</v>
      </c>
      <c r="H1417" t="s">
        <v>54</v>
      </c>
      <c r="I1417" t="s">
        <v>1663</v>
      </c>
      <c r="J1417" t="s">
        <v>973</v>
      </c>
      <c r="K1417">
        <v>2020</v>
      </c>
      <c r="L1417">
        <v>2020</v>
      </c>
      <c r="M1417">
        <v>8.5</v>
      </c>
      <c r="N1417">
        <v>36.573999999999998</v>
      </c>
      <c r="O1417">
        <v>84.5</v>
      </c>
      <c r="P1417">
        <v>10.31</v>
      </c>
      <c r="Q1417">
        <v>0.20499999999999999</v>
      </c>
      <c r="R1417" t="s">
        <v>57</v>
      </c>
      <c r="S1417" t="s">
        <v>7926</v>
      </c>
      <c r="T1417" t="b">
        <v>1</v>
      </c>
      <c r="U1417" t="s">
        <v>7927</v>
      </c>
      <c r="V1417" t="s">
        <v>2863</v>
      </c>
      <c r="W1417" t="s">
        <v>7928</v>
      </c>
      <c r="X1417" t="s">
        <v>47</v>
      </c>
      <c r="AA1417" t="s">
        <v>1667</v>
      </c>
      <c r="AB1417" t="s">
        <v>401</v>
      </c>
      <c r="AC1417" t="s">
        <v>1668</v>
      </c>
      <c r="AD1417" t="b">
        <v>0</v>
      </c>
      <c r="AF1417">
        <v>2</v>
      </c>
      <c r="AG1417" t="s">
        <v>287</v>
      </c>
    </row>
    <row r="1418" spans="1:33" x14ac:dyDescent="0.2">
      <c r="A1418">
        <v>361</v>
      </c>
      <c r="B1418" t="s">
        <v>7929</v>
      </c>
      <c r="C1418" t="s">
        <v>34</v>
      </c>
      <c r="D1418" t="s">
        <v>35</v>
      </c>
      <c r="E1418" t="s">
        <v>1525</v>
      </c>
      <c r="F1418" t="s">
        <v>1526</v>
      </c>
      <c r="G1418" t="s">
        <v>213</v>
      </c>
      <c r="H1418" t="s">
        <v>83</v>
      </c>
      <c r="I1418" t="s">
        <v>1527</v>
      </c>
      <c r="J1418" t="s">
        <v>245</v>
      </c>
      <c r="K1418">
        <v>1968</v>
      </c>
      <c r="L1418">
        <v>1968</v>
      </c>
      <c r="M1418">
        <v>56.8</v>
      </c>
      <c r="N1418">
        <v>256.11799999999999</v>
      </c>
      <c r="O1418">
        <v>215</v>
      </c>
      <c r="P1418">
        <v>29.5</v>
      </c>
      <c r="Q1418">
        <v>0.53500000000000003</v>
      </c>
      <c r="R1418" t="s">
        <v>84</v>
      </c>
      <c r="S1418" t="s">
        <v>7930</v>
      </c>
      <c r="T1418" t="b">
        <v>1</v>
      </c>
      <c r="U1418" t="s">
        <v>821</v>
      </c>
      <c r="V1418" t="s">
        <v>1530</v>
      </c>
      <c r="W1418" t="s">
        <v>7931</v>
      </c>
      <c r="X1418" t="s">
        <v>47</v>
      </c>
      <c r="AA1418" t="s">
        <v>1532</v>
      </c>
      <c r="AB1418" t="s">
        <v>83</v>
      </c>
      <c r="AC1418" t="s">
        <v>1533</v>
      </c>
      <c r="AD1418" t="b">
        <v>0</v>
      </c>
      <c r="AF1418">
        <v>5</v>
      </c>
      <c r="AG1418" t="s">
        <v>89</v>
      </c>
    </row>
    <row r="1419" spans="1:33" x14ac:dyDescent="0.2">
      <c r="A1419">
        <v>1104</v>
      </c>
      <c r="B1419" t="s">
        <v>7932</v>
      </c>
      <c r="C1419" t="s">
        <v>34</v>
      </c>
      <c r="D1419" t="s">
        <v>35</v>
      </c>
      <c r="E1419" t="s">
        <v>501</v>
      </c>
      <c r="F1419" t="s">
        <v>502</v>
      </c>
      <c r="G1419" t="s">
        <v>134</v>
      </c>
      <c r="H1419" t="s">
        <v>135</v>
      </c>
      <c r="I1419" t="s">
        <v>2074</v>
      </c>
      <c r="J1419" t="s">
        <v>225</v>
      </c>
      <c r="K1419">
        <v>2002</v>
      </c>
      <c r="L1419">
        <v>2002</v>
      </c>
      <c r="M1419">
        <v>0.64800000000000002</v>
      </c>
      <c r="N1419">
        <v>2.6890000000000001</v>
      </c>
      <c r="R1419" t="s">
        <v>42</v>
      </c>
      <c r="S1419" t="s">
        <v>7012</v>
      </c>
      <c r="T1419" t="b">
        <v>1</v>
      </c>
      <c r="U1419" t="s">
        <v>247</v>
      </c>
      <c r="V1419" t="s">
        <v>507</v>
      </c>
      <c r="W1419" t="s">
        <v>7933</v>
      </c>
      <c r="X1419" t="s">
        <v>47</v>
      </c>
      <c r="AA1419" t="s">
        <v>2652</v>
      </c>
      <c r="AC1419" t="s">
        <v>63</v>
      </c>
      <c r="AD1419" t="b">
        <v>0</v>
      </c>
      <c r="AF1419">
        <v>10</v>
      </c>
      <c r="AG1419" t="s">
        <v>143</v>
      </c>
    </row>
    <row r="1420" spans="1:33" x14ac:dyDescent="0.2">
      <c r="A1420">
        <v>1818</v>
      </c>
      <c r="B1420" t="s">
        <v>7934</v>
      </c>
      <c r="C1420" t="s">
        <v>34</v>
      </c>
      <c r="D1420" t="s">
        <v>35</v>
      </c>
      <c r="E1420" t="s">
        <v>7318</v>
      </c>
      <c r="F1420" t="s">
        <v>7319</v>
      </c>
      <c r="G1420" t="s">
        <v>134</v>
      </c>
      <c r="H1420" t="s">
        <v>135</v>
      </c>
      <c r="I1420" t="s">
        <v>6701</v>
      </c>
      <c r="J1420" t="s">
        <v>1062</v>
      </c>
      <c r="K1420">
        <v>2015</v>
      </c>
      <c r="L1420">
        <v>2015</v>
      </c>
      <c r="M1420">
        <v>2</v>
      </c>
      <c r="N1420">
        <v>5.3120000000000003</v>
      </c>
      <c r="O1420">
        <v>103</v>
      </c>
      <c r="P1420">
        <v>2.6</v>
      </c>
      <c r="Q1420">
        <v>0.214</v>
      </c>
      <c r="R1420" t="s">
        <v>42</v>
      </c>
      <c r="S1420" t="s">
        <v>7935</v>
      </c>
      <c r="T1420" t="b">
        <v>1</v>
      </c>
      <c r="U1420" t="s">
        <v>7936</v>
      </c>
      <c r="V1420" t="s">
        <v>7322</v>
      </c>
      <c r="W1420" t="s">
        <v>7937</v>
      </c>
      <c r="X1420" t="s">
        <v>47</v>
      </c>
      <c r="AA1420" t="s">
        <v>7938</v>
      </c>
      <c r="AB1420" t="s">
        <v>49</v>
      </c>
      <c r="AC1420" t="s">
        <v>7939</v>
      </c>
      <c r="AD1420" t="b">
        <v>0</v>
      </c>
      <c r="AF1420">
        <v>10</v>
      </c>
      <c r="AG1420" t="s">
        <v>143</v>
      </c>
    </row>
    <row r="1421" spans="1:33" x14ac:dyDescent="0.2">
      <c r="A1421">
        <v>1579</v>
      </c>
      <c r="B1421" t="s">
        <v>7940</v>
      </c>
      <c r="C1421" t="s">
        <v>34</v>
      </c>
      <c r="D1421" t="s">
        <v>35</v>
      </c>
      <c r="E1421" t="s">
        <v>523</v>
      </c>
      <c r="F1421" t="s">
        <v>524</v>
      </c>
      <c r="G1421" t="s">
        <v>134</v>
      </c>
      <c r="H1421" t="s">
        <v>135</v>
      </c>
      <c r="I1421" t="s">
        <v>191</v>
      </c>
      <c r="J1421" t="s">
        <v>192</v>
      </c>
      <c r="K1421">
        <v>2011</v>
      </c>
      <c r="L1421">
        <v>2011</v>
      </c>
      <c r="M1421">
        <v>1.9</v>
      </c>
      <c r="N1421">
        <v>2.8490000000000002</v>
      </c>
      <c r="O1421">
        <v>136</v>
      </c>
      <c r="P1421">
        <v>1.62</v>
      </c>
      <c r="Q1421">
        <v>0.32600000000000001</v>
      </c>
      <c r="R1421" t="s">
        <v>42</v>
      </c>
      <c r="S1421" t="s">
        <v>7941</v>
      </c>
      <c r="T1421" t="b">
        <v>1</v>
      </c>
      <c r="U1421" t="s">
        <v>7942</v>
      </c>
      <c r="V1421" t="s">
        <v>527</v>
      </c>
      <c r="W1421" t="s">
        <v>7943</v>
      </c>
      <c r="X1421" t="s">
        <v>47</v>
      </c>
      <c r="AA1421" t="s">
        <v>114</v>
      </c>
      <c r="AB1421" t="s">
        <v>49</v>
      </c>
      <c r="AC1421" t="s">
        <v>7944</v>
      </c>
      <c r="AD1421" t="b">
        <v>0</v>
      </c>
      <c r="AF1421">
        <v>11</v>
      </c>
      <c r="AG1421" t="s">
        <v>198</v>
      </c>
    </row>
    <row r="1422" spans="1:33" x14ac:dyDescent="0.2">
      <c r="A1422">
        <v>1934</v>
      </c>
      <c r="B1422" t="s">
        <v>7945</v>
      </c>
      <c r="C1422" t="s">
        <v>34</v>
      </c>
      <c r="D1422" t="s">
        <v>35</v>
      </c>
      <c r="E1422" t="s">
        <v>253</v>
      </c>
      <c r="F1422" t="s">
        <v>254</v>
      </c>
      <c r="G1422" t="s">
        <v>242</v>
      </c>
      <c r="H1422" t="s">
        <v>243</v>
      </c>
      <c r="I1422" t="s">
        <v>880</v>
      </c>
      <c r="J1422" t="s">
        <v>280</v>
      </c>
      <c r="K1422">
        <v>2018</v>
      </c>
      <c r="L1422">
        <v>2018</v>
      </c>
      <c r="M1422">
        <v>25.5</v>
      </c>
      <c r="N1422">
        <v>88.872</v>
      </c>
      <c r="O1422">
        <v>124</v>
      </c>
      <c r="P1422">
        <v>23.4</v>
      </c>
      <c r="Q1422">
        <v>0.30299999999999999</v>
      </c>
      <c r="R1422" t="s">
        <v>72</v>
      </c>
      <c r="S1422" t="s">
        <v>7946</v>
      </c>
      <c r="T1422" t="b">
        <v>1</v>
      </c>
      <c r="U1422" t="s">
        <v>3521</v>
      </c>
      <c r="V1422" t="s">
        <v>259</v>
      </c>
      <c r="W1422" t="s">
        <v>7947</v>
      </c>
      <c r="X1422" t="s">
        <v>47</v>
      </c>
      <c r="AA1422" t="s">
        <v>884</v>
      </c>
      <c r="AB1422" t="s">
        <v>612</v>
      </c>
      <c r="AC1422" t="s">
        <v>885</v>
      </c>
      <c r="AD1422" t="b">
        <v>0</v>
      </c>
      <c r="AF1422">
        <v>9</v>
      </c>
      <c r="AG1422" t="s">
        <v>251</v>
      </c>
    </row>
    <row r="1423" spans="1:33" x14ac:dyDescent="0.2">
      <c r="A1423">
        <v>1849</v>
      </c>
      <c r="B1423" t="s">
        <v>7948</v>
      </c>
      <c r="C1423" t="s">
        <v>34</v>
      </c>
      <c r="D1423" t="s">
        <v>35</v>
      </c>
      <c r="E1423" t="s">
        <v>7681</v>
      </c>
      <c r="F1423" t="s">
        <v>7682</v>
      </c>
      <c r="G1423" t="s">
        <v>134</v>
      </c>
      <c r="H1423" t="s">
        <v>135</v>
      </c>
      <c r="I1423" t="s">
        <v>4520</v>
      </c>
      <c r="J1423" t="s">
        <v>485</v>
      </c>
      <c r="K1423">
        <v>2020</v>
      </c>
      <c r="L1423">
        <v>2020</v>
      </c>
      <c r="M1423">
        <v>8</v>
      </c>
      <c r="N1423">
        <v>20.420000000000002</v>
      </c>
      <c r="O1423">
        <v>442.5</v>
      </c>
      <c r="P1423">
        <v>2</v>
      </c>
      <c r="Q1423">
        <v>1.111</v>
      </c>
      <c r="R1423" t="s">
        <v>42</v>
      </c>
      <c r="S1423" t="s">
        <v>7949</v>
      </c>
      <c r="T1423" t="b">
        <v>1</v>
      </c>
      <c r="U1423" t="s">
        <v>7927</v>
      </c>
      <c r="V1423" t="s">
        <v>7685</v>
      </c>
      <c r="W1423" t="s">
        <v>7686</v>
      </c>
      <c r="X1423" t="s">
        <v>47</v>
      </c>
      <c r="AA1423" t="s">
        <v>7950</v>
      </c>
      <c r="AB1423" t="s">
        <v>177</v>
      </c>
      <c r="AC1423" t="s">
        <v>7951</v>
      </c>
      <c r="AD1423" t="b">
        <v>0</v>
      </c>
      <c r="AF1423">
        <v>10</v>
      </c>
      <c r="AG1423" t="s">
        <v>143</v>
      </c>
    </row>
    <row r="1424" spans="1:33" x14ac:dyDescent="0.2">
      <c r="A1424">
        <v>1848</v>
      </c>
      <c r="B1424" t="s">
        <v>7952</v>
      </c>
      <c r="C1424" t="s">
        <v>34</v>
      </c>
      <c r="D1424" t="s">
        <v>35</v>
      </c>
      <c r="E1424" t="s">
        <v>7681</v>
      </c>
      <c r="F1424" t="s">
        <v>7682</v>
      </c>
      <c r="G1424" t="s">
        <v>134</v>
      </c>
      <c r="H1424" t="s">
        <v>135</v>
      </c>
      <c r="I1424" t="s">
        <v>4520</v>
      </c>
      <c r="J1424" t="s">
        <v>485</v>
      </c>
      <c r="K1424">
        <v>2023</v>
      </c>
      <c r="L1424">
        <v>2023</v>
      </c>
      <c r="M1424">
        <v>27.1</v>
      </c>
      <c r="N1424">
        <v>75</v>
      </c>
      <c r="O1424">
        <v>606.25</v>
      </c>
      <c r="P1424">
        <v>5</v>
      </c>
      <c r="Q1424">
        <v>1.506</v>
      </c>
      <c r="R1424" t="s">
        <v>42</v>
      </c>
      <c r="S1424" t="s">
        <v>7953</v>
      </c>
      <c r="T1424" t="b">
        <v>1</v>
      </c>
      <c r="U1424" t="s">
        <v>7954</v>
      </c>
      <c r="V1424" t="s">
        <v>7685</v>
      </c>
      <c r="W1424" t="s">
        <v>7955</v>
      </c>
      <c r="X1424" t="s">
        <v>47</v>
      </c>
      <c r="AA1424" t="s">
        <v>7956</v>
      </c>
      <c r="AB1424" t="s">
        <v>49</v>
      </c>
      <c r="AC1424" t="s">
        <v>7951</v>
      </c>
      <c r="AD1424" t="b">
        <v>0</v>
      </c>
      <c r="AF1424">
        <v>10</v>
      </c>
      <c r="AG1424" t="s">
        <v>143</v>
      </c>
    </row>
    <row r="1425" spans="1:33" x14ac:dyDescent="0.2">
      <c r="A1425">
        <v>1522</v>
      </c>
      <c r="B1425" t="s">
        <v>7957</v>
      </c>
      <c r="C1425" t="s">
        <v>34</v>
      </c>
      <c r="D1425" t="s">
        <v>35</v>
      </c>
      <c r="G1425" t="s">
        <v>503</v>
      </c>
      <c r="H1425" t="s">
        <v>462</v>
      </c>
      <c r="I1425" t="s">
        <v>659</v>
      </c>
      <c r="J1425" t="s">
        <v>41</v>
      </c>
      <c r="K1425">
        <v>2008</v>
      </c>
      <c r="L1425">
        <v>2008</v>
      </c>
      <c r="M1425">
        <v>4.0000000000000001E-3</v>
      </c>
      <c r="N1425">
        <v>1.4E-2</v>
      </c>
      <c r="R1425" t="s">
        <v>84</v>
      </c>
      <c r="S1425" t="s">
        <v>3707</v>
      </c>
      <c r="T1425" t="b">
        <v>1</v>
      </c>
      <c r="U1425" t="s">
        <v>74</v>
      </c>
      <c r="V1425" t="s">
        <v>274</v>
      </c>
      <c r="W1425" t="s">
        <v>7958</v>
      </c>
      <c r="X1425" t="s">
        <v>47</v>
      </c>
      <c r="AA1425" t="s">
        <v>583</v>
      </c>
      <c r="AC1425" t="s">
        <v>585</v>
      </c>
      <c r="AD1425" t="b">
        <v>0</v>
      </c>
      <c r="AF1425">
        <v>3</v>
      </c>
      <c r="AG1425" t="s">
        <v>332</v>
      </c>
    </row>
    <row r="1426" spans="1:33" x14ac:dyDescent="0.2">
      <c r="A1426">
        <v>901</v>
      </c>
      <c r="B1426" t="s">
        <v>7959</v>
      </c>
      <c r="C1426" t="s">
        <v>34</v>
      </c>
      <c r="D1426" t="s">
        <v>35</v>
      </c>
      <c r="E1426" t="s">
        <v>7960</v>
      </c>
      <c r="F1426" t="s">
        <v>7961</v>
      </c>
      <c r="G1426" t="s">
        <v>224</v>
      </c>
      <c r="H1426" t="s">
        <v>225</v>
      </c>
      <c r="I1426" t="s">
        <v>3088</v>
      </c>
      <c r="J1426" t="s">
        <v>109</v>
      </c>
      <c r="K1426">
        <v>2005</v>
      </c>
      <c r="L1426">
        <v>2005</v>
      </c>
      <c r="M1426">
        <v>0.37</v>
      </c>
      <c r="N1426">
        <v>1.286</v>
      </c>
      <c r="R1426" t="s">
        <v>97</v>
      </c>
      <c r="S1426" t="s">
        <v>3922</v>
      </c>
      <c r="T1426" t="b">
        <v>1</v>
      </c>
      <c r="U1426" t="s">
        <v>7962</v>
      </c>
      <c r="V1426" t="s">
        <v>7963</v>
      </c>
      <c r="W1426" t="s">
        <v>113</v>
      </c>
      <c r="X1426" t="s">
        <v>47</v>
      </c>
      <c r="AA1426" t="s">
        <v>102</v>
      </c>
      <c r="AC1426" t="s">
        <v>103</v>
      </c>
      <c r="AD1426" t="b">
        <v>0</v>
      </c>
      <c r="AF1426">
        <v>1</v>
      </c>
      <c r="AG1426" t="s">
        <v>104</v>
      </c>
    </row>
    <row r="1427" spans="1:33" x14ac:dyDescent="0.2">
      <c r="A1427">
        <v>403</v>
      </c>
      <c r="B1427" t="s">
        <v>7964</v>
      </c>
      <c r="C1427" t="s">
        <v>34</v>
      </c>
      <c r="D1427" t="s">
        <v>35</v>
      </c>
      <c r="E1427" t="s">
        <v>277</v>
      </c>
      <c r="F1427" t="s">
        <v>278</v>
      </c>
      <c r="G1427" t="s">
        <v>93</v>
      </c>
      <c r="H1427" t="s">
        <v>94</v>
      </c>
      <c r="I1427" t="s">
        <v>7444</v>
      </c>
      <c r="J1427" t="s">
        <v>71</v>
      </c>
      <c r="K1427">
        <v>1979</v>
      </c>
      <c r="L1427">
        <v>1979</v>
      </c>
      <c r="M1427">
        <v>25</v>
      </c>
      <c r="N1427">
        <v>144.5076</v>
      </c>
      <c r="O1427">
        <v>12.5</v>
      </c>
      <c r="P1427">
        <v>248.02</v>
      </c>
      <c r="Q1427">
        <v>2.8000000000000001E-2</v>
      </c>
      <c r="R1427" t="s">
        <v>97</v>
      </c>
      <c r="S1427" t="s">
        <v>7965</v>
      </c>
      <c r="T1427" t="b">
        <v>1</v>
      </c>
      <c r="U1427" t="s">
        <v>7966</v>
      </c>
      <c r="V1427" t="s">
        <v>389</v>
      </c>
      <c r="W1427" t="s">
        <v>7967</v>
      </c>
      <c r="X1427" t="s">
        <v>47</v>
      </c>
      <c r="AA1427" t="s">
        <v>340</v>
      </c>
      <c r="AB1427" t="s">
        <v>1072</v>
      </c>
      <c r="AC1427" t="s">
        <v>341</v>
      </c>
      <c r="AD1427" t="b">
        <v>0</v>
      </c>
      <c r="AF1427">
        <v>1</v>
      </c>
      <c r="AG1427" t="s">
        <v>104</v>
      </c>
    </row>
    <row r="1428" spans="1:33" x14ac:dyDescent="0.2">
      <c r="A1428">
        <v>1105</v>
      </c>
      <c r="B1428" t="s">
        <v>7968</v>
      </c>
      <c r="C1428" t="s">
        <v>34</v>
      </c>
      <c r="D1428" t="s">
        <v>35</v>
      </c>
      <c r="E1428" t="s">
        <v>5168</v>
      </c>
      <c r="F1428" t="s">
        <v>5169</v>
      </c>
      <c r="G1428" t="s">
        <v>134</v>
      </c>
      <c r="H1428" t="s">
        <v>135</v>
      </c>
      <c r="I1428" t="s">
        <v>2074</v>
      </c>
      <c r="J1428" t="s">
        <v>225</v>
      </c>
      <c r="K1428">
        <v>2005</v>
      </c>
      <c r="L1428">
        <v>2005</v>
      </c>
      <c r="M1428">
        <v>0.75</v>
      </c>
      <c r="N1428">
        <v>2.9449999999999998</v>
      </c>
      <c r="O1428">
        <v>211</v>
      </c>
      <c r="P1428">
        <v>0.45</v>
      </c>
      <c r="Q1428">
        <v>0.46300000000000002</v>
      </c>
      <c r="R1428" t="s">
        <v>42</v>
      </c>
      <c r="S1428" t="s">
        <v>7969</v>
      </c>
      <c r="T1428" t="b">
        <v>1</v>
      </c>
      <c r="U1428" t="s">
        <v>7970</v>
      </c>
      <c r="V1428" t="s">
        <v>7971</v>
      </c>
      <c r="W1428" t="s">
        <v>7972</v>
      </c>
      <c r="X1428" t="s">
        <v>47</v>
      </c>
      <c r="AA1428" t="s">
        <v>2652</v>
      </c>
      <c r="AB1428" t="s">
        <v>836</v>
      </c>
      <c r="AC1428" t="s">
        <v>2653</v>
      </c>
      <c r="AD1428" t="b">
        <v>0</v>
      </c>
      <c r="AF1428">
        <v>10</v>
      </c>
      <c r="AG1428" t="s">
        <v>143</v>
      </c>
    </row>
    <row r="1429" spans="1:33" x14ac:dyDescent="0.2">
      <c r="A1429">
        <v>1668</v>
      </c>
      <c r="B1429" t="s">
        <v>7973</v>
      </c>
      <c r="C1429" t="s">
        <v>34</v>
      </c>
      <c r="D1429" t="s">
        <v>35</v>
      </c>
      <c r="E1429" t="s">
        <v>7974</v>
      </c>
      <c r="F1429" t="s">
        <v>7975</v>
      </c>
      <c r="G1429" t="s">
        <v>53</v>
      </c>
      <c r="H1429" t="s">
        <v>54</v>
      </c>
      <c r="I1429" t="s">
        <v>604</v>
      </c>
      <c r="J1429" t="s">
        <v>426</v>
      </c>
      <c r="K1429">
        <v>2012</v>
      </c>
      <c r="L1429">
        <v>2012</v>
      </c>
      <c r="M1429">
        <v>1.93</v>
      </c>
      <c r="N1429">
        <v>5.6470000000000002</v>
      </c>
      <c r="O1429">
        <v>103</v>
      </c>
      <c r="P1429">
        <v>2.1</v>
      </c>
      <c r="Q1429">
        <v>0.255</v>
      </c>
      <c r="R1429" t="s">
        <v>72</v>
      </c>
      <c r="S1429" t="s">
        <v>7976</v>
      </c>
      <c r="T1429" t="b">
        <v>1</v>
      </c>
      <c r="U1429" t="s">
        <v>5197</v>
      </c>
      <c r="V1429" t="s">
        <v>7977</v>
      </c>
      <c r="W1429" t="s">
        <v>7978</v>
      </c>
      <c r="X1429" t="s">
        <v>47</v>
      </c>
      <c r="AA1429" t="s">
        <v>2038</v>
      </c>
      <c r="AB1429" t="s">
        <v>401</v>
      </c>
      <c r="AC1429" t="s">
        <v>2039</v>
      </c>
      <c r="AD1429" t="b">
        <v>0</v>
      </c>
      <c r="AF1429">
        <v>13</v>
      </c>
      <c r="AG1429" t="s">
        <v>155</v>
      </c>
    </row>
    <row r="1430" spans="1:33" x14ac:dyDescent="0.2">
      <c r="A1430">
        <v>838</v>
      </c>
      <c r="B1430" t="s">
        <v>7979</v>
      </c>
      <c r="C1430" t="s">
        <v>34</v>
      </c>
      <c r="D1430" t="s">
        <v>35</v>
      </c>
      <c r="E1430" t="s">
        <v>2406</v>
      </c>
      <c r="F1430" t="s">
        <v>2407</v>
      </c>
      <c r="G1430" t="s">
        <v>53</v>
      </c>
      <c r="H1430" t="s">
        <v>54</v>
      </c>
      <c r="I1430" t="s">
        <v>730</v>
      </c>
      <c r="J1430" t="s">
        <v>731</v>
      </c>
      <c r="K1430">
        <v>2005</v>
      </c>
      <c r="L1430">
        <v>2005</v>
      </c>
      <c r="M1430">
        <v>1.45</v>
      </c>
      <c r="N1430">
        <v>6.3220000000000001</v>
      </c>
      <c r="O1430">
        <v>38</v>
      </c>
      <c r="P1430">
        <v>4.8</v>
      </c>
      <c r="Q1430">
        <v>8.4000000000000005E-2</v>
      </c>
      <c r="R1430" t="s">
        <v>72</v>
      </c>
      <c r="S1430" t="s">
        <v>7980</v>
      </c>
      <c r="T1430" t="b">
        <v>1</v>
      </c>
      <c r="U1430" t="s">
        <v>7981</v>
      </c>
      <c r="V1430" t="s">
        <v>2410</v>
      </c>
      <c r="W1430" t="s">
        <v>7982</v>
      </c>
      <c r="X1430" t="s">
        <v>47</v>
      </c>
      <c r="AA1430" t="s">
        <v>2412</v>
      </c>
      <c r="AB1430" t="s">
        <v>227</v>
      </c>
      <c r="AC1430" t="s">
        <v>7983</v>
      </c>
      <c r="AD1430" t="b">
        <v>0</v>
      </c>
      <c r="AF1430">
        <v>13</v>
      </c>
      <c r="AG1430" t="s">
        <v>155</v>
      </c>
    </row>
    <row r="1431" spans="1:33" x14ac:dyDescent="0.2">
      <c r="A1431">
        <v>1900</v>
      </c>
      <c r="B1431" t="s">
        <v>7984</v>
      </c>
      <c r="C1431" t="s">
        <v>34</v>
      </c>
      <c r="D1431" t="s">
        <v>35</v>
      </c>
      <c r="E1431" t="s">
        <v>1320</v>
      </c>
      <c r="F1431" t="s">
        <v>1321</v>
      </c>
      <c r="G1431" t="s">
        <v>312</v>
      </c>
      <c r="H1431" t="s">
        <v>313</v>
      </c>
      <c r="I1431" t="s">
        <v>704</v>
      </c>
      <c r="J1431" t="s">
        <v>56</v>
      </c>
      <c r="K1431">
        <v>2017</v>
      </c>
      <c r="L1431">
        <v>2017</v>
      </c>
      <c r="M1431">
        <v>5</v>
      </c>
      <c r="N1431">
        <v>14.843</v>
      </c>
      <c r="O1431">
        <v>396.64</v>
      </c>
      <c r="P1431">
        <v>1.57</v>
      </c>
      <c r="Q1431">
        <v>0.88500000000000001</v>
      </c>
      <c r="R1431" t="s">
        <v>84</v>
      </c>
      <c r="S1431" t="s">
        <v>7985</v>
      </c>
      <c r="T1431" t="b">
        <v>1</v>
      </c>
      <c r="U1431" t="s">
        <v>7986</v>
      </c>
      <c r="V1431" t="s">
        <v>1324</v>
      </c>
      <c r="W1431" t="s">
        <v>7987</v>
      </c>
      <c r="X1431" t="s">
        <v>47</v>
      </c>
      <c r="AA1431" t="s">
        <v>319</v>
      </c>
      <c r="AC1431" t="s">
        <v>320</v>
      </c>
      <c r="AD1431" t="b">
        <v>0</v>
      </c>
      <c r="AF1431">
        <v>4</v>
      </c>
      <c r="AG1431" t="s">
        <v>321</v>
      </c>
    </row>
    <row r="1432" spans="1:33" x14ac:dyDescent="0.2">
      <c r="A1432">
        <v>404</v>
      </c>
      <c r="B1432" t="s">
        <v>7988</v>
      </c>
      <c r="C1432" t="s">
        <v>34</v>
      </c>
      <c r="D1432" t="s">
        <v>35</v>
      </c>
      <c r="E1432" t="s">
        <v>36</v>
      </c>
      <c r="F1432" t="s">
        <v>37</v>
      </c>
      <c r="G1432" t="s">
        <v>377</v>
      </c>
      <c r="H1432" t="s">
        <v>378</v>
      </c>
      <c r="I1432" t="s">
        <v>1559</v>
      </c>
      <c r="J1432" t="s">
        <v>71</v>
      </c>
      <c r="K1432">
        <v>1966</v>
      </c>
      <c r="L1432">
        <v>1966</v>
      </c>
      <c r="M1432">
        <v>130</v>
      </c>
      <c r="N1432">
        <v>680.39</v>
      </c>
      <c r="O1432">
        <v>229.45</v>
      </c>
      <c r="P1432">
        <v>70</v>
      </c>
      <c r="Q1432">
        <v>0.51600000000000001</v>
      </c>
      <c r="R1432" t="s">
        <v>42</v>
      </c>
      <c r="S1432" t="s">
        <v>7989</v>
      </c>
      <c r="T1432" t="b">
        <v>1</v>
      </c>
      <c r="U1432" t="s">
        <v>7990</v>
      </c>
      <c r="V1432" t="s">
        <v>45</v>
      </c>
      <c r="W1432" t="s">
        <v>7991</v>
      </c>
      <c r="X1432" t="s">
        <v>47</v>
      </c>
      <c r="AA1432" t="s">
        <v>383</v>
      </c>
      <c r="AB1432" t="s">
        <v>308</v>
      </c>
      <c r="AC1432" t="s">
        <v>384</v>
      </c>
      <c r="AD1432" t="b">
        <v>0</v>
      </c>
      <c r="AF1432">
        <v>11</v>
      </c>
      <c r="AG1432" t="s">
        <v>198</v>
      </c>
    </row>
    <row r="1433" spans="1:33" x14ac:dyDescent="0.2">
      <c r="A1433">
        <v>1330</v>
      </c>
      <c r="B1433" t="s">
        <v>7992</v>
      </c>
      <c r="C1433" t="s">
        <v>34</v>
      </c>
      <c r="D1433" t="s">
        <v>35</v>
      </c>
      <c r="E1433" t="s">
        <v>7993</v>
      </c>
      <c r="F1433" t="s">
        <v>7994</v>
      </c>
      <c r="G1433" t="s">
        <v>503</v>
      </c>
      <c r="H1433" t="s">
        <v>462</v>
      </c>
      <c r="I1433" t="s">
        <v>3390</v>
      </c>
      <c r="J1433" t="s">
        <v>485</v>
      </c>
      <c r="K1433">
        <v>2006</v>
      </c>
      <c r="L1433">
        <v>2006</v>
      </c>
      <c r="M1433">
        <v>0.4</v>
      </c>
      <c r="N1433">
        <v>0.78800000000000003</v>
      </c>
      <c r="R1433" t="s">
        <v>84</v>
      </c>
      <c r="S1433" t="s">
        <v>7995</v>
      </c>
      <c r="T1433" t="b">
        <v>1</v>
      </c>
      <c r="U1433" t="s">
        <v>7996</v>
      </c>
      <c r="V1433" t="s">
        <v>7997</v>
      </c>
      <c r="W1433" t="s">
        <v>7998</v>
      </c>
      <c r="X1433" t="s">
        <v>47</v>
      </c>
      <c r="AA1433" t="s">
        <v>583</v>
      </c>
      <c r="AC1433" t="s">
        <v>585</v>
      </c>
      <c r="AD1433" t="b">
        <v>0</v>
      </c>
      <c r="AF1433">
        <v>3</v>
      </c>
      <c r="AG1433" t="s">
        <v>332</v>
      </c>
    </row>
    <row r="1434" spans="1:33" x14ac:dyDescent="0.2">
      <c r="A1434">
        <v>405</v>
      </c>
      <c r="B1434" t="s">
        <v>7999</v>
      </c>
      <c r="C1434" t="s">
        <v>34</v>
      </c>
      <c r="D1434" t="s">
        <v>35</v>
      </c>
      <c r="E1434" t="s">
        <v>1574</v>
      </c>
      <c r="F1434" t="s">
        <v>1575</v>
      </c>
      <c r="G1434" t="s">
        <v>134</v>
      </c>
      <c r="H1434" t="s">
        <v>135</v>
      </c>
      <c r="I1434" t="s">
        <v>804</v>
      </c>
      <c r="J1434" t="s">
        <v>805</v>
      </c>
      <c r="K1434">
        <v>1984</v>
      </c>
      <c r="L1434">
        <v>1984</v>
      </c>
      <c r="M1434">
        <v>1.7</v>
      </c>
      <c r="N1434">
        <v>4.649</v>
      </c>
      <c r="O1434">
        <v>320.5</v>
      </c>
      <c r="P1434">
        <v>0.6</v>
      </c>
      <c r="Q1434">
        <v>0.78700000000000003</v>
      </c>
      <c r="R1434" t="s">
        <v>42</v>
      </c>
      <c r="S1434" t="s">
        <v>8000</v>
      </c>
      <c r="T1434" t="b">
        <v>1</v>
      </c>
      <c r="U1434" t="s">
        <v>2163</v>
      </c>
      <c r="V1434" t="s">
        <v>1577</v>
      </c>
      <c r="W1434" t="s">
        <v>8001</v>
      </c>
      <c r="X1434" t="s">
        <v>47</v>
      </c>
      <c r="AA1434" t="s">
        <v>8002</v>
      </c>
      <c r="AB1434" t="s">
        <v>83</v>
      </c>
      <c r="AC1434" t="s">
        <v>1580</v>
      </c>
      <c r="AD1434" t="b">
        <v>0</v>
      </c>
      <c r="AF1434">
        <v>11</v>
      </c>
      <c r="AG1434" t="s">
        <v>198</v>
      </c>
    </row>
    <row r="1435" spans="1:33" x14ac:dyDescent="0.2">
      <c r="A1435">
        <v>1204</v>
      </c>
      <c r="B1435" t="s">
        <v>8003</v>
      </c>
      <c r="C1435" t="s">
        <v>34</v>
      </c>
      <c r="D1435" t="s">
        <v>35</v>
      </c>
      <c r="G1435" t="s">
        <v>242</v>
      </c>
      <c r="H1435" t="s">
        <v>243</v>
      </c>
      <c r="I1435" t="s">
        <v>880</v>
      </c>
      <c r="J1435" t="s">
        <v>280</v>
      </c>
      <c r="K1435">
        <v>1997</v>
      </c>
      <c r="L1435">
        <v>1997</v>
      </c>
      <c r="M1435">
        <v>1.7999999999999999E-2</v>
      </c>
      <c r="N1435">
        <v>5.2999999999999999E-2</v>
      </c>
      <c r="O1435">
        <v>15</v>
      </c>
      <c r="R1435" t="s">
        <v>72</v>
      </c>
      <c r="S1435" t="s">
        <v>8004</v>
      </c>
      <c r="T1435" t="b">
        <v>1</v>
      </c>
      <c r="U1435" t="s">
        <v>111</v>
      </c>
      <c r="V1435" t="s">
        <v>274</v>
      </c>
      <c r="W1435" t="s">
        <v>8005</v>
      </c>
      <c r="X1435" t="s">
        <v>47</v>
      </c>
      <c r="AA1435" t="s">
        <v>884</v>
      </c>
      <c r="AC1435" t="s">
        <v>885</v>
      </c>
      <c r="AD1435" t="b">
        <v>0</v>
      </c>
      <c r="AF1435">
        <v>9</v>
      </c>
      <c r="AG1435" t="s">
        <v>251</v>
      </c>
    </row>
    <row r="1436" spans="1:33" x14ac:dyDescent="0.2">
      <c r="A1436">
        <v>902</v>
      </c>
      <c r="B1436" t="s">
        <v>8006</v>
      </c>
      <c r="C1436" t="s">
        <v>34</v>
      </c>
      <c r="D1436" t="s">
        <v>35</v>
      </c>
      <c r="E1436" t="s">
        <v>8007</v>
      </c>
      <c r="F1436" t="s">
        <v>8008</v>
      </c>
      <c r="G1436" t="s">
        <v>53</v>
      </c>
      <c r="H1436" t="s">
        <v>54</v>
      </c>
      <c r="I1436" t="s">
        <v>1251</v>
      </c>
      <c r="J1436" t="s">
        <v>177</v>
      </c>
      <c r="K1436">
        <v>1999</v>
      </c>
      <c r="L1436">
        <v>1999</v>
      </c>
      <c r="M1436">
        <v>0.48</v>
      </c>
      <c r="N1436">
        <v>3.9820000000000002</v>
      </c>
      <c r="R1436" t="s">
        <v>72</v>
      </c>
      <c r="S1436" t="s">
        <v>4848</v>
      </c>
      <c r="T1436" t="b">
        <v>1</v>
      </c>
      <c r="U1436" t="s">
        <v>8009</v>
      </c>
      <c r="V1436" t="s">
        <v>8010</v>
      </c>
      <c r="W1436" t="s">
        <v>8011</v>
      </c>
      <c r="X1436" t="s">
        <v>47</v>
      </c>
      <c r="AA1436" t="s">
        <v>1256</v>
      </c>
      <c r="AC1436" t="s">
        <v>1257</v>
      </c>
      <c r="AD1436" t="b">
        <v>0</v>
      </c>
      <c r="AF1436">
        <v>13</v>
      </c>
      <c r="AG1436" t="s">
        <v>155</v>
      </c>
    </row>
    <row r="1437" spans="1:33" x14ac:dyDescent="0.2">
      <c r="A1437">
        <v>1895</v>
      </c>
      <c r="B1437" t="s">
        <v>8006</v>
      </c>
      <c r="C1437" t="s">
        <v>34</v>
      </c>
      <c r="D1437" t="s">
        <v>35</v>
      </c>
      <c r="E1437" t="s">
        <v>8012</v>
      </c>
      <c r="F1437" t="s">
        <v>8013</v>
      </c>
      <c r="G1437" t="s">
        <v>53</v>
      </c>
      <c r="H1437" t="s">
        <v>54</v>
      </c>
      <c r="I1437" t="s">
        <v>1039</v>
      </c>
      <c r="J1437" t="s">
        <v>243</v>
      </c>
      <c r="K1437">
        <v>2017</v>
      </c>
      <c r="L1437">
        <v>2017</v>
      </c>
      <c r="M1437">
        <v>1.92</v>
      </c>
      <c r="N1437">
        <v>4.7270000000000003</v>
      </c>
      <c r="O1437">
        <v>78.95</v>
      </c>
      <c r="P1437">
        <v>2.76</v>
      </c>
      <c r="Q1437">
        <v>0.193</v>
      </c>
      <c r="R1437" t="s">
        <v>72</v>
      </c>
      <c r="S1437" t="s">
        <v>8014</v>
      </c>
      <c r="T1437" t="b">
        <v>1</v>
      </c>
      <c r="U1437" t="s">
        <v>8015</v>
      </c>
      <c r="V1437" t="s">
        <v>8016</v>
      </c>
      <c r="W1437" t="s">
        <v>8017</v>
      </c>
      <c r="X1437" t="s">
        <v>47</v>
      </c>
      <c r="AA1437" t="s">
        <v>400</v>
      </c>
      <c r="AB1437" t="s">
        <v>41</v>
      </c>
      <c r="AC1437" t="s">
        <v>402</v>
      </c>
      <c r="AD1437" t="b">
        <v>0</v>
      </c>
      <c r="AF1437">
        <v>13</v>
      </c>
      <c r="AG1437" t="s">
        <v>155</v>
      </c>
    </row>
    <row r="1438" spans="1:33" x14ac:dyDescent="0.2">
      <c r="A1438">
        <v>1172</v>
      </c>
      <c r="B1438" t="s">
        <v>8018</v>
      </c>
      <c r="C1438" t="s">
        <v>34</v>
      </c>
      <c r="D1438" t="s">
        <v>35</v>
      </c>
      <c r="E1438" t="s">
        <v>3378</v>
      </c>
      <c r="F1438" t="s">
        <v>3379</v>
      </c>
      <c r="G1438" t="s">
        <v>916</v>
      </c>
      <c r="H1438" t="s">
        <v>567</v>
      </c>
      <c r="I1438" t="s">
        <v>8019</v>
      </c>
      <c r="J1438" t="s">
        <v>41</v>
      </c>
      <c r="K1438">
        <v>1920</v>
      </c>
      <c r="L1438">
        <v>1994</v>
      </c>
      <c r="M1438">
        <v>0.5</v>
      </c>
      <c r="N1438">
        <v>1.5569999999999999</v>
      </c>
      <c r="R1438" t="s">
        <v>97</v>
      </c>
      <c r="S1438" t="s">
        <v>8020</v>
      </c>
      <c r="T1438" t="b">
        <v>1</v>
      </c>
      <c r="U1438" t="s">
        <v>8021</v>
      </c>
      <c r="V1438" t="s">
        <v>3381</v>
      </c>
      <c r="W1438" t="s">
        <v>113</v>
      </c>
      <c r="X1438" t="s">
        <v>47</v>
      </c>
      <c r="AA1438" t="s">
        <v>1116</v>
      </c>
      <c r="AC1438" t="s">
        <v>1117</v>
      </c>
      <c r="AD1438" t="b">
        <v>0</v>
      </c>
      <c r="AF1438">
        <v>1</v>
      </c>
      <c r="AG1438" t="s">
        <v>104</v>
      </c>
    </row>
    <row r="1439" spans="1:33" x14ac:dyDescent="0.2">
      <c r="A1439">
        <v>1325</v>
      </c>
      <c r="B1439" t="s">
        <v>8022</v>
      </c>
      <c r="C1439" t="s">
        <v>34</v>
      </c>
      <c r="D1439" t="s">
        <v>35</v>
      </c>
      <c r="E1439" t="s">
        <v>8023</v>
      </c>
      <c r="F1439" t="s">
        <v>8024</v>
      </c>
      <c r="G1439" t="s">
        <v>213</v>
      </c>
      <c r="H1439" t="s">
        <v>83</v>
      </c>
      <c r="I1439" t="s">
        <v>635</v>
      </c>
      <c r="J1439" t="s">
        <v>94</v>
      </c>
      <c r="K1439">
        <v>2007</v>
      </c>
      <c r="L1439">
        <v>2007</v>
      </c>
      <c r="M1439">
        <v>4.4000000000000004</v>
      </c>
      <c r="N1439">
        <v>9.5830000000000002</v>
      </c>
      <c r="O1439">
        <v>457</v>
      </c>
      <c r="P1439">
        <v>1</v>
      </c>
      <c r="Q1439">
        <v>1.22</v>
      </c>
      <c r="R1439" t="s">
        <v>84</v>
      </c>
      <c r="S1439" t="s">
        <v>8025</v>
      </c>
      <c r="T1439" t="b">
        <v>1</v>
      </c>
      <c r="U1439" t="s">
        <v>8026</v>
      </c>
      <c r="V1439" t="s">
        <v>8027</v>
      </c>
      <c r="W1439" t="s">
        <v>8028</v>
      </c>
      <c r="X1439" t="s">
        <v>47</v>
      </c>
      <c r="AA1439" t="s">
        <v>958</v>
      </c>
      <c r="AB1439" t="s">
        <v>308</v>
      </c>
      <c r="AC1439" t="s">
        <v>959</v>
      </c>
      <c r="AD1439" t="b">
        <v>0</v>
      </c>
      <c r="AF1439">
        <v>3</v>
      </c>
      <c r="AG1439" t="s">
        <v>332</v>
      </c>
    </row>
    <row r="1440" spans="1:33" x14ac:dyDescent="0.2">
      <c r="A1440">
        <v>1768</v>
      </c>
      <c r="B1440" t="s">
        <v>8029</v>
      </c>
      <c r="C1440" t="s">
        <v>34</v>
      </c>
      <c r="D1440" t="s">
        <v>35</v>
      </c>
      <c r="E1440" t="s">
        <v>168</v>
      </c>
      <c r="F1440" t="s">
        <v>169</v>
      </c>
      <c r="G1440" t="s">
        <v>134</v>
      </c>
      <c r="H1440" t="s">
        <v>135</v>
      </c>
      <c r="I1440" t="s">
        <v>191</v>
      </c>
      <c r="J1440" t="s">
        <v>192</v>
      </c>
      <c r="K1440">
        <v>2014</v>
      </c>
      <c r="L1440">
        <v>2014</v>
      </c>
      <c r="M1440">
        <v>3</v>
      </c>
      <c r="N1440">
        <v>6.7779999999999996</v>
      </c>
      <c r="O1440">
        <v>230</v>
      </c>
      <c r="P1440">
        <v>1.6</v>
      </c>
      <c r="Q1440">
        <v>0.52100000000000002</v>
      </c>
      <c r="R1440" t="s">
        <v>42</v>
      </c>
      <c r="S1440" t="s">
        <v>8030</v>
      </c>
      <c r="T1440" t="b">
        <v>1</v>
      </c>
      <c r="U1440" t="s">
        <v>8031</v>
      </c>
      <c r="V1440" t="s">
        <v>174</v>
      </c>
      <c r="W1440" t="s">
        <v>8032</v>
      </c>
      <c r="X1440" t="s">
        <v>47</v>
      </c>
      <c r="AA1440" t="s">
        <v>8033</v>
      </c>
      <c r="AB1440" t="s">
        <v>401</v>
      </c>
      <c r="AC1440" t="s">
        <v>8034</v>
      </c>
      <c r="AD1440" t="b">
        <v>0</v>
      </c>
      <c r="AF1440">
        <v>11</v>
      </c>
      <c r="AG1440" t="s">
        <v>198</v>
      </c>
    </row>
    <row r="1441" spans="1:33" x14ac:dyDescent="0.2">
      <c r="A1441">
        <v>1344</v>
      </c>
      <c r="B1441" t="s">
        <v>8035</v>
      </c>
      <c r="C1441" t="s">
        <v>34</v>
      </c>
      <c r="D1441" t="s">
        <v>35</v>
      </c>
      <c r="E1441" t="s">
        <v>8036</v>
      </c>
      <c r="F1441" t="s">
        <v>8037</v>
      </c>
      <c r="G1441" t="s">
        <v>93</v>
      </c>
      <c r="H1441" t="s">
        <v>94</v>
      </c>
      <c r="I1441" t="s">
        <v>569</v>
      </c>
      <c r="J1441" t="s">
        <v>245</v>
      </c>
      <c r="K1441">
        <v>2007</v>
      </c>
      <c r="L1441">
        <v>2007</v>
      </c>
      <c r="M1441">
        <v>1.2</v>
      </c>
      <c r="N1441">
        <v>6.5629999999999997</v>
      </c>
      <c r="O1441">
        <v>24</v>
      </c>
      <c r="P1441">
        <v>6.4</v>
      </c>
      <c r="Q1441">
        <v>5.1999999999999998E-2</v>
      </c>
      <c r="R1441" t="s">
        <v>72</v>
      </c>
      <c r="S1441" t="s">
        <v>8038</v>
      </c>
      <c r="T1441" t="b">
        <v>1</v>
      </c>
      <c r="U1441" t="s">
        <v>8039</v>
      </c>
      <c r="V1441" t="s">
        <v>8040</v>
      </c>
      <c r="W1441" t="s">
        <v>8041</v>
      </c>
      <c r="X1441" t="s">
        <v>47</v>
      </c>
      <c r="AA1441" t="s">
        <v>340</v>
      </c>
      <c r="AC1441" t="s">
        <v>341</v>
      </c>
      <c r="AD1441" t="b">
        <v>0</v>
      </c>
      <c r="AF1441">
        <v>8</v>
      </c>
      <c r="AG1441" t="s">
        <v>78</v>
      </c>
    </row>
    <row r="1442" spans="1:33" x14ac:dyDescent="0.2">
      <c r="A1442">
        <v>557</v>
      </c>
      <c r="B1442" t="s">
        <v>8042</v>
      </c>
      <c r="C1442" t="s">
        <v>34</v>
      </c>
      <c r="D1442" t="s">
        <v>35</v>
      </c>
      <c r="E1442" t="s">
        <v>8043</v>
      </c>
      <c r="F1442" t="s">
        <v>8044</v>
      </c>
      <c r="G1442" t="s">
        <v>53</v>
      </c>
      <c r="H1442" t="s">
        <v>54</v>
      </c>
      <c r="I1442" t="s">
        <v>901</v>
      </c>
      <c r="J1442" t="s">
        <v>313</v>
      </c>
      <c r="K1442">
        <v>1988</v>
      </c>
      <c r="L1442">
        <v>1988</v>
      </c>
      <c r="M1442">
        <v>38</v>
      </c>
      <c r="N1442">
        <v>172.35</v>
      </c>
      <c r="O1442">
        <v>156.19</v>
      </c>
      <c r="P1442">
        <v>28</v>
      </c>
      <c r="Q1442">
        <v>0.377</v>
      </c>
      <c r="R1442" t="s">
        <v>57</v>
      </c>
      <c r="S1442" t="s">
        <v>8045</v>
      </c>
      <c r="T1442" t="b">
        <v>1</v>
      </c>
      <c r="U1442" t="s">
        <v>8046</v>
      </c>
      <c r="V1442" t="s">
        <v>8047</v>
      </c>
      <c r="W1442" t="s">
        <v>8048</v>
      </c>
      <c r="X1442" t="s">
        <v>47</v>
      </c>
      <c r="AA1442" t="s">
        <v>906</v>
      </c>
      <c r="AB1442" t="s">
        <v>49</v>
      </c>
      <c r="AC1442" t="s">
        <v>907</v>
      </c>
      <c r="AD1442" t="b">
        <v>0</v>
      </c>
      <c r="AF1442">
        <v>2</v>
      </c>
      <c r="AG1442" t="s">
        <v>287</v>
      </c>
    </row>
    <row r="1443" spans="1:33" x14ac:dyDescent="0.2">
      <c r="A1443">
        <v>2149</v>
      </c>
      <c r="B1443" t="s">
        <v>8049</v>
      </c>
      <c r="C1443" t="s">
        <v>34</v>
      </c>
      <c r="D1443" t="s">
        <v>35</v>
      </c>
      <c r="E1443" t="s">
        <v>8050</v>
      </c>
      <c r="F1443" t="s">
        <v>8051</v>
      </c>
      <c r="G1443" t="s">
        <v>134</v>
      </c>
      <c r="H1443" t="s">
        <v>135</v>
      </c>
      <c r="I1443" t="s">
        <v>345</v>
      </c>
      <c r="J1443" t="s">
        <v>256</v>
      </c>
      <c r="K1443">
        <v>2024</v>
      </c>
      <c r="L1443">
        <v>2024</v>
      </c>
      <c r="M1443">
        <v>1.29</v>
      </c>
      <c r="N1443">
        <v>5.3</v>
      </c>
      <c r="O1443">
        <v>68</v>
      </c>
      <c r="P1443">
        <v>2.36</v>
      </c>
      <c r="Q1443">
        <v>0.152</v>
      </c>
      <c r="R1443" t="s">
        <v>42</v>
      </c>
      <c r="S1443" t="s">
        <v>8052</v>
      </c>
      <c r="T1443" t="b">
        <v>1</v>
      </c>
      <c r="U1443" t="s">
        <v>8053</v>
      </c>
      <c r="V1443" t="s">
        <v>8054</v>
      </c>
      <c r="W1443" t="s">
        <v>8055</v>
      </c>
      <c r="X1443" t="s">
        <v>47</v>
      </c>
      <c r="AA1443" t="s">
        <v>8049</v>
      </c>
      <c r="AC1443" t="s">
        <v>63</v>
      </c>
      <c r="AD1443" t="b">
        <v>0</v>
      </c>
      <c r="AF1443">
        <v>10</v>
      </c>
      <c r="AG1443" t="s">
        <v>143</v>
      </c>
    </row>
    <row r="1444" spans="1:33" x14ac:dyDescent="0.2">
      <c r="A1444">
        <v>2057</v>
      </c>
      <c r="B1444" t="s">
        <v>8056</v>
      </c>
      <c r="C1444" t="s">
        <v>34</v>
      </c>
      <c r="D1444" t="s">
        <v>35</v>
      </c>
      <c r="E1444" t="s">
        <v>180</v>
      </c>
      <c r="F1444" t="s">
        <v>181</v>
      </c>
      <c r="G1444" t="s">
        <v>312</v>
      </c>
      <c r="H1444" t="s">
        <v>313</v>
      </c>
      <c r="I1444" t="s">
        <v>493</v>
      </c>
      <c r="J1444" t="s">
        <v>409</v>
      </c>
      <c r="K1444">
        <v>2023</v>
      </c>
      <c r="L1444">
        <v>2023</v>
      </c>
      <c r="M1444">
        <v>2.6</v>
      </c>
      <c r="N1444">
        <v>7.75</v>
      </c>
      <c r="O1444">
        <v>120</v>
      </c>
      <c r="P1444">
        <v>2.6</v>
      </c>
      <c r="Q1444">
        <v>0.27800000000000002</v>
      </c>
      <c r="R1444" t="s">
        <v>84</v>
      </c>
      <c r="S1444" t="s">
        <v>8057</v>
      </c>
      <c r="T1444" t="b">
        <v>1</v>
      </c>
      <c r="U1444" t="s">
        <v>8058</v>
      </c>
      <c r="V1444" t="s">
        <v>185</v>
      </c>
      <c r="W1444" t="s">
        <v>8059</v>
      </c>
      <c r="X1444" t="s">
        <v>47</v>
      </c>
      <c r="AA1444" t="s">
        <v>498</v>
      </c>
      <c r="AC1444" t="s">
        <v>499</v>
      </c>
      <c r="AD1444" t="b">
        <v>0</v>
      </c>
      <c r="AF1444">
        <v>4</v>
      </c>
      <c r="AG1444" t="s">
        <v>321</v>
      </c>
    </row>
    <row r="1445" spans="1:33" x14ac:dyDescent="0.2">
      <c r="A1445">
        <v>406</v>
      </c>
      <c r="B1445" t="s">
        <v>8060</v>
      </c>
      <c r="C1445" t="s">
        <v>34</v>
      </c>
      <c r="D1445" t="s">
        <v>35</v>
      </c>
      <c r="E1445" t="s">
        <v>36</v>
      </c>
      <c r="F1445" t="s">
        <v>37</v>
      </c>
      <c r="G1445" t="s">
        <v>213</v>
      </c>
      <c r="H1445" t="s">
        <v>83</v>
      </c>
      <c r="I1445" t="s">
        <v>1029</v>
      </c>
      <c r="J1445" t="s">
        <v>225</v>
      </c>
      <c r="K1445">
        <v>1986</v>
      </c>
      <c r="L1445">
        <v>1986</v>
      </c>
      <c r="M1445">
        <v>17</v>
      </c>
      <c r="N1445">
        <v>52.612000000000002</v>
      </c>
      <c r="O1445">
        <v>95</v>
      </c>
      <c r="P1445">
        <v>21.45</v>
      </c>
      <c r="Q1445">
        <v>0.219</v>
      </c>
      <c r="R1445" t="s">
        <v>84</v>
      </c>
      <c r="S1445" t="s">
        <v>8061</v>
      </c>
      <c r="T1445" t="b">
        <v>1</v>
      </c>
      <c r="U1445" t="s">
        <v>8062</v>
      </c>
      <c r="V1445" t="s">
        <v>3731</v>
      </c>
      <c r="W1445" t="s">
        <v>3732</v>
      </c>
      <c r="X1445" t="s">
        <v>47</v>
      </c>
      <c r="AA1445" t="s">
        <v>8063</v>
      </c>
      <c r="AB1445" t="s">
        <v>69</v>
      </c>
      <c r="AC1445" t="s">
        <v>959</v>
      </c>
      <c r="AD1445" t="b">
        <v>0</v>
      </c>
      <c r="AF1445">
        <v>3</v>
      </c>
      <c r="AG1445" t="s">
        <v>332</v>
      </c>
    </row>
    <row r="1446" spans="1:33" x14ac:dyDescent="0.2">
      <c r="A1446">
        <v>407</v>
      </c>
      <c r="B1446" t="s">
        <v>8060</v>
      </c>
      <c r="C1446" t="s">
        <v>574</v>
      </c>
      <c r="D1446" t="s">
        <v>575</v>
      </c>
      <c r="E1446" t="s">
        <v>36</v>
      </c>
      <c r="F1446" t="s">
        <v>37</v>
      </c>
      <c r="G1446" t="s">
        <v>213</v>
      </c>
      <c r="H1446" t="s">
        <v>83</v>
      </c>
      <c r="I1446" t="s">
        <v>1029</v>
      </c>
      <c r="J1446" t="s">
        <v>225</v>
      </c>
      <c r="K1446">
        <v>1985</v>
      </c>
      <c r="L1446">
        <v>1985</v>
      </c>
      <c r="M1446">
        <v>-6</v>
      </c>
      <c r="N1446">
        <v>-14.242000000000001</v>
      </c>
      <c r="O1446">
        <v>0</v>
      </c>
      <c r="P1446">
        <v>3.5</v>
      </c>
      <c r="Q1446">
        <v>-0.47599999999999998</v>
      </c>
      <c r="R1446" t="s">
        <v>84</v>
      </c>
      <c r="S1446" t="s">
        <v>8061</v>
      </c>
      <c r="T1446" t="b">
        <v>1</v>
      </c>
      <c r="U1446" t="s">
        <v>517</v>
      </c>
      <c r="V1446" t="s">
        <v>3731</v>
      </c>
      <c r="W1446" t="s">
        <v>3732</v>
      </c>
      <c r="X1446" t="s">
        <v>47</v>
      </c>
      <c r="AA1446" t="s">
        <v>8063</v>
      </c>
      <c r="AB1446" t="s">
        <v>1077</v>
      </c>
      <c r="AC1446" t="s">
        <v>959</v>
      </c>
      <c r="AD1446" t="b">
        <v>0</v>
      </c>
      <c r="AF1446">
        <v>3</v>
      </c>
      <c r="AG1446" t="s">
        <v>332</v>
      </c>
    </row>
    <row r="1447" spans="1:33" x14ac:dyDescent="0.2">
      <c r="A1447">
        <v>1457</v>
      </c>
      <c r="B1447" t="s">
        <v>8064</v>
      </c>
      <c r="C1447" t="s">
        <v>34</v>
      </c>
      <c r="D1447" t="s">
        <v>35</v>
      </c>
      <c r="E1447" t="s">
        <v>1320</v>
      </c>
      <c r="F1447" t="s">
        <v>1321</v>
      </c>
      <c r="G1447" t="s">
        <v>53</v>
      </c>
      <c r="H1447" t="s">
        <v>54</v>
      </c>
      <c r="I1447" t="s">
        <v>325</v>
      </c>
      <c r="J1447" t="s">
        <v>135</v>
      </c>
      <c r="K1447">
        <v>2009</v>
      </c>
      <c r="L1447">
        <v>2009</v>
      </c>
      <c r="M1447">
        <v>7.5</v>
      </c>
      <c r="N1447">
        <v>19.754000000000001</v>
      </c>
      <c r="O1447">
        <v>192</v>
      </c>
      <c r="P1447">
        <v>4.7</v>
      </c>
      <c r="Q1447">
        <v>0.443</v>
      </c>
      <c r="R1447" t="s">
        <v>57</v>
      </c>
      <c r="S1447" t="s">
        <v>8065</v>
      </c>
      <c r="T1447" t="b">
        <v>1</v>
      </c>
      <c r="U1447" t="s">
        <v>8066</v>
      </c>
      <c r="V1447" t="s">
        <v>1324</v>
      </c>
      <c r="W1447" t="s">
        <v>8067</v>
      </c>
      <c r="X1447" t="s">
        <v>47</v>
      </c>
      <c r="AA1447" t="s">
        <v>991</v>
      </c>
      <c r="AB1447" t="s">
        <v>308</v>
      </c>
      <c r="AC1447" t="s">
        <v>992</v>
      </c>
      <c r="AD1447" t="b">
        <v>0</v>
      </c>
      <c r="AF1447">
        <v>6</v>
      </c>
      <c r="AG1447" t="s">
        <v>64</v>
      </c>
    </row>
    <row r="1448" spans="1:33" x14ac:dyDescent="0.2">
      <c r="A1448">
        <v>2015</v>
      </c>
      <c r="B1448" t="s">
        <v>3084</v>
      </c>
      <c r="C1448" t="s">
        <v>34</v>
      </c>
      <c r="D1448" t="s">
        <v>35</v>
      </c>
      <c r="E1448" t="s">
        <v>892</v>
      </c>
      <c r="F1448" t="s">
        <v>893</v>
      </c>
      <c r="G1448" t="s">
        <v>53</v>
      </c>
      <c r="H1448" t="s">
        <v>54</v>
      </c>
      <c r="I1448" t="s">
        <v>147</v>
      </c>
      <c r="J1448" t="s">
        <v>148</v>
      </c>
      <c r="K1448">
        <v>2020</v>
      </c>
      <c r="L1448">
        <v>2020</v>
      </c>
      <c r="M1448">
        <v>2.2000000000000002</v>
      </c>
      <c r="N1448">
        <v>6.4</v>
      </c>
      <c r="O1448">
        <v>302.68</v>
      </c>
      <c r="P1448">
        <v>0.85</v>
      </c>
      <c r="Q1448">
        <v>0.71899999999999997</v>
      </c>
      <c r="R1448" t="s">
        <v>72</v>
      </c>
      <c r="S1448" t="s">
        <v>8068</v>
      </c>
      <c r="T1448" t="b">
        <v>1</v>
      </c>
      <c r="U1448" t="s">
        <v>8069</v>
      </c>
      <c r="V1448" t="s">
        <v>896</v>
      </c>
      <c r="W1448" t="s">
        <v>8070</v>
      </c>
      <c r="X1448" t="s">
        <v>47</v>
      </c>
      <c r="AA1448" t="s">
        <v>153</v>
      </c>
      <c r="AC1448" t="s">
        <v>154</v>
      </c>
      <c r="AD1448" t="b">
        <v>0</v>
      </c>
      <c r="AF1448">
        <v>13</v>
      </c>
      <c r="AG1448" t="s">
        <v>155</v>
      </c>
    </row>
    <row r="1449" spans="1:33" x14ac:dyDescent="0.2">
      <c r="A1449">
        <v>797</v>
      </c>
      <c r="B1449" t="s">
        <v>8071</v>
      </c>
      <c r="C1449" t="s">
        <v>34</v>
      </c>
      <c r="D1449" t="s">
        <v>35</v>
      </c>
      <c r="E1449" t="s">
        <v>8072</v>
      </c>
      <c r="F1449" t="s">
        <v>8073</v>
      </c>
      <c r="G1449" t="s">
        <v>213</v>
      </c>
      <c r="H1449" t="s">
        <v>83</v>
      </c>
      <c r="I1449" t="s">
        <v>2487</v>
      </c>
      <c r="J1449" t="s">
        <v>337</v>
      </c>
      <c r="K1449">
        <v>2003</v>
      </c>
      <c r="L1449">
        <v>2003</v>
      </c>
      <c r="M1449">
        <v>1.34</v>
      </c>
      <c r="N1449">
        <v>4.71</v>
      </c>
      <c r="O1449">
        <v>106</v>
      </c>
      <c r="P1449">
        <v>1.21</v>
      </c>
      <c r="Q1449">
        <v>0.27500000000000002</v>
      </c>
      <c r="R1449" t="s">
        <v>84</v>
      </c>
      <c r="S1449" t="s">
        <v>8074</v>
      </c>
      <c r="T1449" t="b">
        <v>1</v>
      </c>
      <c r="U1449" t="s">
        <v>8075</v>
      </c>
      <c r="V1449" t="s">
        <v>8076</v>
      </c>
      <c r="W1449" t="s">
        <v>8077</v>
      </c>
      <c r="X1449" t="s">
        <v>47</v>
      </c>
      <c r="AA1449" t="s">
        <v>2492</v>
      </c>
      <c r="AB1449" t="s">
        <v>49</v>
      </c>
      <c r="AC1449" t="s">
        <v>8078</v>
      </c>
      <c r="AD1449" t="b">
        <v>0</v>
      </c>
      <c r="AF1449">
        <v>4</v>
      </c>
      <c r="AG1449" t="s">
        <v>321</v>
      </c>
    </row>
    <row r="1450" spans="1:33" x14ac:dyDescent="0.2">
      <c r="A1450">
        <v>1370</v>
      </c>
      <c r="B1450" t="s">
        <v>8079</v>
      </c>
      <c r="C1450" t="s">
        <v>34</v>
      </c>
      <c r="D1450" t="s">
        <v>35</v>
      </c>
      <c r="E1450" t="s">
        <v>8080</v>
      </c>
      <c r="F1450" t="s">
        <v>8081</v>
      </c>
      <c r="G1450" t="s">
        <v>53</v>
      </c>
      <c r="H1450" t="s">
        <v>54</v>
      </c>
      <c r="I1450" t="s">
        <v>147</v>
      </c>
      <c r="J1450" t="s">
        <v>148</v>
      </c>
      <c r="K1450">
        <v>2007</v>
      </c>
      <c r="L1450">
        <v>2007</v>
      </c>
      <c r="M1450">
        <v>1.5</v>
      </c>
      <c r="N1450">
        <v>4.3159999999999998</v>
      </c>
      <c r="O1450">
        <v>140</v>
      </c>
      <c r="P1450">
        <v>1.39</v>
      </c>
      <c r="Q1450">
        <v>0.3</v>
      </c>
      <c r="R1450" t="s">
        <v>72</v>
      </c>
      <c r="S1450" t="s">
        <v>5742</v>
      </c>
      <c r="T1450" t="b">
        <v>1</v>
      </c>
      <c r="U1450" t="s">
        <v>8082</v>
      </c>
      <c r="V1450" t="s">
        <v>8083</v>
      </c>
      <c r="W1450" t="s">
        <v>8084</v>
      </c>
      <c r="X1450" t="s">
        <v>47</v>
      </c>
      <c r="AA1450" t="s">
        <v>153</v>
      </c>
      <c r="AB1450" t="s">
        <v>135</v>
      </c>
      <c r="AC1450" t="s">
        <v>154</v>
      </c>
      <c r="AD1450" t="b">
        <v>0</v>
      </c>
      <c r="AF1450">
        <v>13</v>
      </c>
      <c r="AG1450" t="s">
        <v>155</v>
      </c>
    </row>
    <row r="1451" spans="1:33" x14ac:dyDescent="0.2">
      <c r="A1451">
        <v>408</v>
      </c>
      <c r="B1451" t="s">
        <v>8085</v>
      </c>
      <c r="C1451" t="s">
        <v>34</v>
      </c>
      <c r="D1451" t="s">
        <v>35</v>
      </c>
      <c r="E1451" t="s">
        <v>1027</v>
      </c>
      <c r="F1451" t="s">
        <v>1028</v>
      </c>
      <c r="G1451" t="s">
        <v>213</v>
      </c>
      <c r="H1451" t="s">
        <v>83</v>
      </c>
      <c r="I1451" t="s">
        <v>635</v>
      </c>
      <c r="J1451" t="s">
        <v>94</v>
      </c>
      <c r="K1451">
        <v>1965</v>
      </c>
      <c r="L1451">
        <v>1965</v>
      </c>
      <c r="M1451">
        <v>180</v>
      </c>
      <c r="N1451">
        <v>1086.3530000000001</v>
      </c>
      <c r="O1451">
        <v>306</v>
      </c>
      <c r="P1451">
        <v>70</v>
      </c>
      <c r="Q1451">
        <v>0.71399999999999997</v>
      </c>
      <c r="R1451" t="s">
        <v>84</v>
      </c>
      <c r="S1451" t="s">
        <v>8086</v>
      </c>
      <c r="T1451" t="b">
        <v>1</v>
      </c>
      <c r="U1451" t="s">
        <v>8087</v>
      </c>
      <c r="V1451" t="s">
        <v>4854</v>
      </c>
      <c r="W1451" t="s">
        <v>8088</v>
      </c>
      <c r="X1451" t="s">
        <v>47</v>
      </c>
      <c r="AA1451" t="s">
        <v>958</v>
      </c>
      <c r="AB1451" t="s">
        <v>567</v>
      </c>
      <c r="AC1451" t="s">
        <v>959</v>
      </c>
      <c r="AD1451" t="b">
        <v>0</v>
      </c>
      <c r="AF1451">
        <v>3</v>
      </c>
      <c r="AG1451" t="s">
        <v>332</v>
      </c>
    </row>
    <row r="1452" spans="1:33" x14ac:dyDescent="0.2">
      <c r="A1452">
        <v>409</v>
      </c>
      <c r="B1452" t="s">
        <v>8089</v>
      </c>
      <c r="C1452" t="s">
        <v>34</v>
      </c>
      <c r="D1452" t="s">
        <v>35</v>
      </c>
      <c r="E1452" t="s">
        <v>1027</v>
      </c>
      <c r="F1452" t="s">
        <v>1028</v>
      </c>
      <c r="G1452" t="s">
        <v>213</v>
      </c>
      <c r="H1452" t="s">
        <v>83</v>
      </c>
      <c r="I1452" t="s">
        <v>635</v>
      </c>
      <c r="J1452" t="s">
        <v>94</v>
      </c>
      <c r="K1452">
        <v>1967</v>
      </c>
      <c r="L1452">
        <v>1967</v>
      </c>
      <c r="M1452">
        <v>150</v>
      </c>
      <c r="N1452">
        <v>738.577</v>
      </c>
      <c r="O1452">
        <v>559</v>
      </c>
      <c r="P1452">
        <v>31.48</v>
      </c>
      <c r="Q1452">
        <v>1.3220000000000001</v>
      </c>
      <c r="R1452" t="s">
        <v>84</v>
      </c>
      <c r="S1452" t="s">
        <v>8090</v>
      </c>
      <c r="T1452" t="b">
        <v>1</v>
      </c>
      <c r="U1452" t="s">
        <v>4853</v>
      </c>
      <c r="V1452" t="s">
        <v>4854</v>
      </c>
      <c r="W1452" t="s">
        <v>8091</v>
      </c>
      <c r="X1452" t="s">
        <v>47</v>
      </c>
      <c r="AA1452" t="s">
        <v>958</v>
      </c>
      <c r="AB1452" t="s">
        <v>56</v>
      </c>
      <c r="AC1452" t="s">
        <v>959</v>
      </c>
      <c r="AD1452" t="b">
        <v>0</v>
      </c>
      <c r="AF1452">
        <v>3</v>
      </c>
      <c r="AG1452" t="s">
        <v>332</v>
      </c>
    </row>
    <row r="1453" spans="1:33" x14ac:dyDescent="0.2">
      <c r="A1453">
        <v>1230</v>
      </c>
      <c r="B1453" t="s">
        <v>8092</v>
      </c>
      <c r="C1453" t="s">
        <v>34</v>
      </c>
      <c r="D1453" t="s">
        <v>35</v>
      </c>
      <c r="E1453" t="s">
        <v>8093</v>
      </c>
      <c r="F1453" t="s">
        <v>8094</v>
      </c>
      <c r="G1453" t="s">
        <v>68</v>
      </c>
      <c r="H1453" t="s">
        <v>69</v>
      </c>
      <c r="I1453" t="s">
        <v>1458</v>
      </c>
      <c r="J1453" t="s">
        <v>1459</v>
      </c>
      <c r="K1453">
        <v>2006</v>
      </c>
      <c r="L1453">
        <v>2006</v>
      </c>
      <c r="M1453">
        <v>4.2</v>
      </c>
      <c r="N1453">
        <v>14.58</v>
      </c>
      <c r="O1453">
        <v>270</v>
      </c>
      <c r="P1453">
        <v>1.88</v>
      </c>
      <c r="Q1453">
        <v>0.61699999999999999</v>
      </c>
      <c r="R1453" t="s">
        <v>72</v>
      </c>
      <c r="S1453" t="s">
        <v>8095</v>
      </c>
      <c r="T1453" t="b">
        <v>1</v>
      </c>
      <c r="U1453" t="s">
        <v>2465</v>
      </c>
      <c r="V1453" t="s">
        <v>8096</v>
      </c>
      <c r="W1453" t="s">
        <v>8097</v>
      </c>
      <c r="X1453" t="s">
        <v>47</v>
      </c>
      <c r="AA1453" t="s">
        <v>8098</v>
      </c>
      <c r="AB1453" t="s">
        <v>401</v>
      </c>
      <c r="AC1453" t="s">
        <v>4724</v>
      </c>
      <c r="AD1453" t="b">
        <v>0</v>
      </c>
      <c r="AF1453">
        <v>8</v>
      </c>
      <c r="AG1453" t="s">
        <v>78</v>
      </c>
    </row>
    <row r="1454" spans="1:33" x14ac:dyDescent="0.2">
      <c r="A1454">
        <v>763</v>
      </c>
      <c r="B1454" t="s">
        <v>8099</v>
      </c>
      <c r="C1454" t="s">
        <v>34</v>
      </c>
      <c r="D1454" t="s">
        <v>35</v>
      </c>
      <c r="E1454" t="s">
        <v>253</v>
      </c>
      <c r="F1454" t="s">
        <v>254</v>
      </c>
      <c r="G1454" t="s">
        <v>242</v>
      </c>
      <c r="H1454" t="s">
        <v>243</v>
      </c>
      <c r="I1454" t="s">
        <v>1003</v>
      </c>
      <c r="J1454" t="s">
        <v>192</v>
      </c>
      <c r="K1454">
        <v>1998</v>
      </c>
      <c r="L1454">
        <v>1998</v>
      </c>
      <c r="M1454">
        <v>2.2000000000000002</v>
      </c>
      <c r="N1454">
        <v>6.6120000000000001</v>
      </c>
      <c r="O1454">
        <v>4.4000000000000004</v>
      </c>
      <c r="P1454">
        <v>60</v>
      </c>
      <c r="Q1454">
        <v>0.01</v>
      </c>
      <c r="R1454" t="s">
        <v>72</v>
      </c>
      <c r="S1454" t="s">
        <v>8100</v>
      </c>
      <c r="T1454" t="b">
        <v>1</v>
      </c>
      <c r="U1454" t="s">
        <v>8101</v>
      </c>
      <c r="V1454" t="s">
        <v>259</v>
      </c>
      <c r="W1454" t="s">
        <v>113</v>
      </c>
      <c r="X1454" t="s">
        <v>47</v>
      </c>
      <c r="AA1454" t="s">
        <v>884</v>
      </c>
      <c r="AB1454" t="s">
        <v>177</v>
      </c>
      <c r="AC1454" t="s">
        <v>885</v>
      </c>
      <c r="AD1454" t="b">
        <v>0</v>
      </c>
      <c r="AF1454">
        <v>9</v>
      </c>
      <c r="AG1454" t="s">
        <v>251</v>
      </c>
    </row>
    <row r="1455" spans="1:33" x14ac:dyDescent="0.2">
      <c r="A1455">
        <v>1814</v>
      </c>
      <c r="B1455" t="s">
        <v>8102</v>
      </c>
      <c r="C1455" t="s">
        <v>34</v>
      </c>
      <c r="D1455" t="s">
        <v>35</v>
      </c>
      <c r="E1455" t="s">
        <v>8103</v>
      </c>
      <c r="F1455" t="s">
        <v>8104</v>
      </c>
      <c r="G1455" t="s">
        <v>242</v>
      </c>
      <c r="H1455" t="s">
        <v>243</v>
      </c>
      <c r="I1455" t="s">
        <v>2625</v>
      </c>
      <c r="J1455" t="s">
        <v>2626</v>
      </c>
      <c r="K1455">
        <v>2015</v>
      </c>
      <c r="L1455">
        <v>2015</v>
      </c>
      <c r="M1455">
        <v>1.35</v>
      </c>
      <c r="N1455">
        <v>5.2539999999999996</v>
      </c>
      <c r="O1455">
        <v>207.5</v>
      </c>
      <c r="P1455">
        <v>0.84599999999999997</v>
      </c>
      <c r="Q1455">
        <v>0.443</v>
      </c>
      <c r="R1455" t="s">
        <v>72</v>
      </c>
      <c r="S1455" t="s">
        <v>8105</v>
      </c>
      <c r="T1455" t="b">
        <v>1</v>
      </c>
      <c r="U1455" t="s">
        <v>8106</v>
      </c>
      <c r="V1455" t="s">
        <v>8107</v>
      </c>
      <c r="W1455" t="s">
        <v>8108</v>
      </c>
      <c r="X1455" t="s">
        <v>47</v>
      </c>
      <c r="AA1455" t="s">
        <v>1017</v>
      </c>
      <c r="AB1455" t="s">
        <v>539</v>
      </c>
      <c r="AC1455" t="s">
        <v>1018</v>
      </c>
      <c r="AD1455" t="b">
        <v>0</v>
      </c>
      <c r="AF1455">
        <v>8</v>
      </c>
      <c r="AG1455" t="s">
        <v>78</v>
      </c>
    </row>
    <row r="1456" spans="1:33" x14ac:dyDescent="0.2">
      <c r="A1456">
        <v>410</v>
      </c>
      <c r="B1456" t="s">
        <v>8109</v>
      </c>
      <c r="C1456" t="s">
        <v>34</v>
      </c>
      <c r="D1456" t="s">
        <v>35</v>
      </c>
      <c r="E1456" t="s">
        <v>91</v>
      </c>
      <c r="F1456" t="s">
        <v>92</v>
      </c>
      <c r="G1456" t="s">
        <v>503</v>
      </c>
      <c r="H1456" t="s">
        <v>462</v>
      </c>
      <c r="I1456" t="s">
        <v>2930</v>
      </c>
      <c r="J1456" t="s">
        <v>676</v>
      </c>
      <c r="K1456">
        <v>1970</v>
      </c>
      <c r="L1456">
        <v>1970</v>
      </c>
      <c r="M1456">
        <v>103</v>
      </c>
      <c r="N1456">
        <v>396.43700000000001</v>
      </c>
      <c r="O1456">
        <v>486.5</v>
      </c>
      <c r="P1456">
        <v>24.2</v>
      </c>
      <c r="Q1456">
        <v>1.1819999999999999</v>
      </c>
      <c r="R1456" t="s">
        <v>84</v>
      </c>
      <c r="S1456" t="s">
        <v>8110</v>
      </c>
      <c r="T1456" t="b">
        <v>1</v>
      </c>
      <c r="U1456" t="s">
        <v>8111</v>
      </c>
      <c r="V1456" t="s">
        <v>8112</v>
      </c>
      <c r="W1456" t="s">
        <v>8113</v>
      </c>
      <c r="X1456" t="s">
        <v>47</v>
      </c>
      <c r="AA1456" t="s">
        <v>583</v>
      </c>
      <c r="AB1456" t="s">
        <v>964</v>
      </c>
      <c r="AC1456" t="s">
        <v>585</v>
      </c>
      <c r="AD1456" t="b">
        <v>0</v>
      </c>
      <c r="AF1456">
        <v>3</v>
      </c>
      <c r="AG1456" t="s">
        <v>332</v>
      </c>
    </row>
    <row r="1457" spans="1:33" x14ac:dyDescent="0.2">
      <c r="A1457">
        <v>411</v>
      </c>
      <c r="B1457" t="s">
        <v>8114</v>
      </c>
      <c r="C1457" t="s">
        <v>34</v>
      </c>
      <c r="D1457" t="s">
        <v>35</v>
      </c>
      <c r="E1457" t="s">
        <v>1085</v>
      </c>
      <c r="F1457" t="s">
        <v>1086</v>
      </c>
      <c r="G1457" t="s">
        <v>134</v>
      </c>
      <c r="H1457" t="s">
        <v>135</v>
      </c>
      <c r="I1457" t="s">
        <v>1094</v>
      </c>
      <c r="J1457" t="s">
        <v>426</v>
      </c>
      <c r="K1457">
        <v>1961</v>
      </c>
      <c r="L1457">
        <v>1961</v>
      </c>
      <c r="M1457">
        <v>96</v>
      </c>
      <c r="N1457">
        <v>542.654</v>
      </c>
      <c r="O1457">
        <v>328.39</v>
      </c>
      <c r="P1457">
        <v>34.590000000000003</v>
      </c>
      <c r="Q1457">
        <v>0.77100000000000002</v>
      </c>
      <c r="R1457" t="s">
        <v>42</v>
      </c>
      <c r="S1457" t="s">
        <v>8115</v>
      </c>
      <c r="T1457" t="b">
        <v>1</v>
      </c>
      <c r="U1457" t="s">
        <v>8116</v>
      </c>
      <c r="V1457" t="s">
        <v>1089</v>
      </c>
      <c r="W1457" t="s">
        <v>8117</v>
      </c>
      <c r="X1457" t="s">
        <v>47</v>
      </c>
      <c r="AA1457" t="s">
        <v>2331</v>
      </c>
      <c r="AB1457" t="s">
        <v>49</v>
      </c>
      <c r="AC1457" t="s">
        <v>2332</v>
      </c>
      <c r="AD1457" t="b">
        <v>0</v>
      </c>
      <c r="AF1457">
        <v>10</v>
      </c>
      <c r="AG1457" t="s">
        <v>143</v>
      </c>
    </row>
    <row r="1458" spans="1:33" x14ac:dyDescent="0.2">
      <c r="A1458">
        <v>1257</v>
      </c>
      <c r="B1458" t="s">
        <v>8118</v>
      </c>
      <c r="C1458" t="s">
        <v>34</v>
      </c>
      <c r="D1458" t="s">
        <v>35</v>
      </c>
      <c r="E1458" t="s">
        <v>1290</v>
      </c>
      <c r="F1458" t="s">
        <v>1291</v>
      </c>
      <c r="G1458" t="s">
        <v>503</v>
      </c>
      <c r="H1458" t="s">
        <v>462</v>
      </c>
      <c r="I1458" t="s">
        <v>1292</v>
      </c>
      <c r="J1458" t="s">
        <v>1077</v>
      </c>
      <c r="K1458">
        <v>2004</v>
      </c>
      <c r="L1458">
        <v>2004</v>
      </c>
      <c r="M1458">
        <v>1.35</v>
      </c>
      <c r="N1458">
        <v>4.7050000000000001</v>
      </c>
      <c r="O1458">
        <v>97.2</v>
      </c>
      <c r="P1458">
        <v>1.7</v>
      </c>
      <c r="Q1458">
        <v>0.221</v>
      </c>
      <c r="R1458" t="s">
        <v>84</v>
      </c>
      <c r="S1458" t="s">
        <v>1540</v>
      </c>
      <c r="T1458" t="b">
        <v>1</v>
      </c>
      <c r="U1458" t="s">
        <v>637</v>
      </c>
      <c r="V1458" t="s">
        <v>1295</v>
      </c>
      <c r="W1458" t="s">
        <v>8119</v>
      </c>
      <c r="X1458" t="s">
        <v>47</v>
      </c>
      <c r="AA1458" t="s">
        <v>1297</v>
      </c>
      <c r="AB1458" t="s">
        <v>1975</v>
      </c>
      <c r="AC1458" t="s">
        <v>1298</v>
      </c>
      <c r="AD1458" t="b">
        <v>0</v>
      </c>
      <c r="AF1458">
        <v>3</v>
      </c>
      <c r="AG1458" t="s">
        <v>332</v>
      </c>
    </row>
    <row r="1459" spans="1:33" x14ac:dyDescent="0.2">
      <c r="A1459">
        <v>1256</v>
      </c>
      <c r="B1459" t="s">
        <v>8120</v>
      </c>
      <c r="C1459" t="s">
        <v>34</v>
      </c>
      <c r="D1459" t="s">
        <v>35</v>
      </c>
      <c r="E1459" t="s">
        <v>1290</v>
      </c>
      <c r="F1459" t="s">
        <v>1291</v>
      </c>
      <c r="G1459" t="s">
        <v>503</v>
      </c>
      <c r="H1459" t="s">
        <v>462</v>
      </c>
      <c r="I1459" t="s">
        <v>1292</v>
      </c>
      <c r="J1459" t="s">
        <v>1077</v>
      </c>
      <c r="K1459">
        <v>2004</v>
      </c>
      <c r="L1459">
        <v>2004</v>
      </c>
      <c r="M1459">
        <v>1.5</v>
      </c>
      <c r="N1459">
        <v>5.1989999999999998</v>
      </c>
      <c r="O1459">
        <v>101.8</v>
      </c>
      <c r="P1459">
        <v>1.7</v>
      </c>
      <c r="Q1459">
        <v>0.22900000000000001</v>
      </c>
      <c r="R1459" t="s">
        <v>84</v>
      </c>
      <c r="S1459" t="s">
        <v>1540</v>
      </c>
      <c r="T1459" t="b">
        <v>1</v>
      </c>
      <c r="U1459" t="s">
        <v>637</v>
      </c>
      <c r="V1459" t="s">
        <v>1295</v>
      </c>
      <c r="W1459" t="s">
        <v>8119</v>
      </c>
      <c r="X1459" t="s">
        <v>47</v>
      </c>
      <c r="AA1459" t="s">
        <v>1297</v>
      </c>
      <c r="AB1459" t="s">
        <v>41</v>
      </c>
      <c r="AC1459" t="s">
        <v>1298</v>
      </c>
      <c r="AD1459" t="b">
        <v>0</v>
      </c>
      <c r="AF1459">
        <v>3</v>
      </c>
      <c r="AG1459" t="s">
        <v>332</v>
      </c>
    </row>
    <row r="1460" spans="1:33" x14ac:dyDescent="0.2">
      <c r="A1460">
        <v>759</v>
      </c>
      <c r="B1460" t="s">
        <v>8121</v>
      </c>
      <c r="C1460" t="s">
        <v>34</v>
      </c>
      <c r="D1460" t="s">
        <v>35</v>
      </c>
      <c r="E1460" t="s">
        <v>8122</v>
      </c>
      <c r="F1460" t="s">
        <v>8123</v>
      </c>
      <c r="G1460" t="s">
        <v>134</v>
      </c>
      <c r="H1460" t="s">
        <v>135</v>
      </c>
      <c r="I1460" t="s">
        <v>2074</v>
      </c>
      <c r="J1460" t="s">
        <v>225</v>
      </c>
      <c r="K1460">
        <v>1996</v>
      </c>
      <c r="L1460">
        <v>1996</v>
      </c>
      <c r="M1460">
        <v>3.2</v>
      </c>
      <c r="N1460">
        <v>20.335000000000001</v>
      </c>
      <c r="O1460">
        <v>105</v>
      </c>
      <c r="P1460">
        <v>3.5</v>
      </c>
      <c r="Q1460">
        <v>0.254</v>
      </c>
      <c r="R1460" t="s">
        <v>42</v>
      </c>
      <c r="S1460" t="s">
        <v>8124</v>
      </c>
      <c r="T1460" t="b">
        <v>1</v>
      </c>
      <c r="U1460" t="s">
        <v>8125</v>
      </c>
      <c r="V1460" t="s">
        <v>8126</v>
      </c>
      <c r="W1460" t="s">
        <v>8127</v>
      </c>
      <c r="X1460" t="s">
        <v>47</v>
      </c>
      <c r="AA1460" t="s">
        <v>8128</v>
      </c>
      <c r="AB1460" t="s">
        <v>49</v>
      </c>
      <c r="AC1460" t="s">
        <v>8129</v>
      </c>
      <c r="AD1460" t="b">
        <v>0</v>
      </c>
      <c r="AF1460">
        <v>10</v>
      </c>
      <c r="AG1460" t="s">
        <v>143</v>
      </c>
    </row>
    <row r="1461" spans="1:33" x14ac:dyDescent="0.2">
      <c r="A1461">
        <v>2032</v>
      </c>
      <c r="B1461" t="s">
        <v>8130</v>
      </c>
      <c r="C1461" t="s">
        <v>34</v>
      </c>
      <c r="D1461" t="s">
        <v>35</v>
      </c>
      <c r="E1461" t="s">
        <v>8131</v>
      </c>
      <c r="F1461" t="s">
        <v>8132</v>
      </c>
      <c r="G1461" t="s">
        <v>213</v>
      </c>
      <c r="H1461" t="s">
        <v>83</v>
      </c>
      <c r="I1461" t="s">
        <v>1527</v>
      </c>
      <c r="J1461" t="s">
        <v>245</v>
      </c>
      <c r="K1461">
        <v>2020</v>
      </c>
      <c r="L1461">
        <v>2020</v>
      </c>
      <c r="M1461">
        <v>3.09</v>
      </c>
      <c r="N1461">
        <v>9.14</v>
      </c>
      <c r="O1461">
        <v>204.2</v>
      </c>
      <c r="P1461">
        <v>1.77</v>
      </c>
      <c r="Q1461">
        <v>0.48499999999999999</v>
      </c>
      <c r="R1461" t="s">
        <v>84</v>
      </c>
      <c r="S1461" t="s">
        <v>1596</v>
      </c>
      <c r="T1461" t="b">
        <v>1</v>
      </c>
      <c r="U1461" t="s">
        <v>8133</v>
      </c>
      <c r="V1461" t="s">
        <v>8134</v>
      </c>
      <c r="W1461" t="s">
        <v>8135</v>
      </c>
      <c r="X1461" t="s">
        <v>47</v>
      </c>
      <c r="AA1461" t="s">
        <v>114</v>
      </c>
      <c r="AB1461" t="s">
        <v>177</v>
      </c>
      <c r="AC1461" t="s">
        <v>8136</v>
      </c>
      <c r="AD1461" t="b">
        <v>0</v>
      </c>
      <c r="AF1461">
        <v>5</v>
      </c>
      <c r="AG1461" t="s">
        <v>89</v>
      </c>
    </row>
    <row r="1462" spans="1:33" x14ac:dyDescent="0.2">
      <c r="A1462">
        <v>413</v>
      </c>
      <c r="B1462" t="s">
        <v>8137</v>
      </c>
      <c r="C1462" t="s">
        <v>34</v>
      </c>
      <c r="D1462" t="s">
        <v>35</v>
      </c>
      <c r="E1462" t="s">
        <v>1027</v>
      </c>
      <c r="F1462" t="s">
        <v>1028</v>
      </c>
      <c r="G1462" t="s">
        <v>53</v>
      </c>
      <c r="H1462" t="s">
        <v>54</v>
      </c>
      <c r="I1462" t="s">
        <v>325</v>
      </c>
      <c r="J1462" t="s">
        <v>135</v>
      </c>
      <c r="K1462">
        <v>1977</v>
      </c>
      <c r="L1462">
        <v>1977</v>
      </c>
      <c r="M1462">
        <v>20</v>
      </c>
      <c r="N1462">
        <v>37.895000000000003</v>
      </c>
      <c r="O1462">
        <v>200</v>
      </c>
      <c r="P1462">
        <v>11</v>
      </c>
      <c r="Q1462">
        <v>0.504</v>
      </c>
      <c r="R1462" t="s">
        <v>84</v>
      </c>
      <c r="S1462" t="s">
        <v>5688</v>
      </c>
      <c r="T1462" t="b">
        <v>1</v>
      </c>
      <c r="U1462" t="s">
        <v>5945</v>
      </c>
      <c r="V1462" t="s">
        <v>4854</v>
      </c>
      <c r="W1462" t="s">
        <v>8138</v>
      </c>
      <c r="X1462" t="s">
        <v>47</v>
      </c>
      <c r="AA1462" t="s">
        <v>958</v>
      </c>
      <c r="AB1462" t="s">
        <v>96</v>
      </c>
      <c r="AC1462" t="s">
        <v>959</v>
      </c>
      <c r="AD1462" t="b">
        <v>0</v>
      </c>
      <c r="AF1462">
        <v>3</v>
      </c>
      <c r="AG1462" t="s">
        <v>332</v>
      </c>
    </row>
    <row r="1463" spans="1:33" x14ac:dyDescent="0.2">
      <c r="A1463">
        <v>996</v>
      </c>
      <c r="B1463" t="s">
        <v>8139</v>
      </c>
      <c r="C1463" t="s">
        <v>34</v>
      </c>
      <c r="D1463" t="s">
        <v>35</v>
      </c>
      <c r="E1463" t="s">
        <v>8140</v>
      </c>
      <c r="F1463" t="s">
        <v>8141</v>
      </c>
      <c r="G1463" t="s">
        <v>213</v>
      </c>
      <c r="H1463" t="s">
        <v>83</v>
      </c>
      <c r="I1463" t="s">
        <v>1786</v>
      </c>
      <c r="J1463" t="s">
        <v>49</v>
      </c>
      <c r="K1463">
        <v>2003</v>
      </c>
      <c r="L1463">
        <v>2003</v>
      </c>
      <c r="M1463">
        <v>0.4</v>
      </c>
      <c r="N1463">
        <v>1.696</v>
      </c>
      <c r="O1463">
        <v>9</v>
      </c>
      <c r="P1463">
        <v>5</v>
      </c>
      <c r="Q1463">
        <v>2.1999999999999999E-2</v>
      </c>
      <c r="R1463" t="s">
        <v>84</v>
      </c>
      <c r="S1463" t="s">
        <v>8142</v>
      </c>
      <c r="T1463" t="b">
        <v>1</v>
      </c>
      <c r="U1463" t="s">
        <v>2246</v>
      </c>
      <c r="V1463" t="s">
        <v>8143</v>
      </c>
      <c r="W1463" t="s">
        <v>113</v>
      </c>
      <c r="X1463" t="s">
        <v>47</v>
      </c>
      <c r="AA1463" t="s">
        <v>114</v>
      </c>
      <c r="AC1463" t="s">
        <v>63</v>
      </c>
      <c r="AD1463" t="b">
        <v>0</v>
      </c>
      <c r="AF1463">
        <v>4</v>
      </c>
      <c r="AG1463" t="s">
        <v>321</v>
      </c>
    </row>
    <row r="1464" spans="1:33" x14ac:dyDescent="0.2">
      <c r="A1464">
        <v>1291</v>
      </c>
      <c r="B1464" t="s">
        <v>8139</v>
      </c>
      <c r="C1464" t="s">
        <v>34</v>
      </c>
      <c r="D1464" t="s">
        <v>35</v>
      </c>
      <c r="G1464" t="s">
        <v>213</v>
      </c>
      <c r="H1464" t="s">
        <v>83</v>
      </c>
      <c r="I1464" t="s">
        <v>1152</v>
      </c>
      <c r="J1464" t="s">
        <v>676</v>
      </c>
      <c r="K1464">
        <v>1996</v>
      </c>
      <c r="L1464">
        <v>1996</v>
      </c>
      <c r="M1464">
        <v>0.45</v>
      </c>
      <c r="N1464">
        <v>1.8320000000000001</v>
      </c>
      <c r="R1464" t="s">
        <v>84</v>
      </c>
      <c r="S1464" t="s">
        <v>6464</v>
      </c>
      <c r="T1464" t="b">
        <v>1</v>
      </c>
      <c r="U1464" t="s">
        <v>439</v>
      </c>
      <c r="V1464" t="s">
        <v>274</v>
      </c>
      <c r="W1464" t="s">
        <v>8144</v>
      </c>
      <c r="X1464" t="s">
        <v>47</v>
      </c>
      <c r="AA1464" t="s">
        <v>5530</v>
      </c>
      <c r="AC1464" t="s">
        <v>63</v>
      </c>
      <c r="AD1464" t="b">
        <v>0</v>
      </c>
      <c r="AF1464">
        <v>4</v>
      </c>
      <c r="AG1464" t="s">
        <v>321</v>
      </c>
    </row>
    <row r="1465" spans="1:33" x14ac:dyDescent="0.2">
      <c r="A1465">
        <v>1908</v>
      </c>
      <c r="B1465" t="s">
        <v>8145</v>
      </c>
      <c r="C1465" t="s">
        <v>34</v>
      </c>
      <c r="D1465" t="s">
        <v>35</v>
      </c>
      <c r="E1465" t="s">
        <v>8146</v>
      </c>
      <c r="F1465" t="s">
        <v>8147</v>
      </c>
      <c r="G1465" t="s">
        <v>53</v>
      </c>
      <c r="H1465" t="s">
        <v>54</v>
      </c>
      <c r="I1465" t="s">
        <v>532</v>
      </c>
      <c r="J1465" t="s">
        <v>533</v>
      </c>
      <c r="K1465">
        <v>2018</v>
      </c>
      <c r="L1465">
        <v>2018</v>
      </c>
      <c r="M1465">
        <v>9.1999999999999993</v>
      </c>
      <c r="N1465">
        <v>31.126000000000001</v>
      </c>
      <c r="O1465">
        <v>397</v>
      </c>
      <c r="P1465">
        <v>2.84</v>
      </c>
      <c r="Q1465">
        <v>0.9</v>
      </c>
      <c r="R1465" t="s">
        <v>57</v>
      </c>
      <c r="S1465" t="s">
        <v>8148</v>
      </c>
      <c r="T1465" t="b">
        <v>1</v>
      </c>
      <c r="U1465" t="s">
        <v>8149</v>
      </c>
      <c r="V1465" t="s">
        <v>8150</v>
      </c>
      <c r="W1465" t="s">
        <v>8151</v>
      </c>
      <c r="X1465" t="s">
        <v>47</v>
      </c>
      <c r="AA1465" t="s">
        <v>1943</v>
      </c>
      <c r="AB1465" t="s">
        <v>192</v>
      </c>
      <c r="AC1465" t="s">
        <v>1944</v>
      </c>
      <c r="AD1465" t="b">
        <v>0</v>
      </c>
      <c r="AF1465">
        <v>7</v>
      </c>
      <c r="AG1465" t="s">
        <v>469</v>
      </c>
    </row>
    <row r="1466" spans="1:33" x14ac:dyDescent="0.2">
      <c r="A1466">
        <v>1223</v>
      </c>
      <c r="B1466" t="s">
        <v>8152</v>
      </c>
      <c r="C1466" t="s">
        <v>34</v>
      </c>
      <c r="D1466" t="s">
        <v>35</v>
      </c>
      <c r="E1466" t="s">
        <v>892</v>
      </c>
      <c r="F1466" t="s">
        <v>893</v>
      </c>
      <c r="G1466" t="s">
        <v>53</v>
      </c>
      <c r="H1466" t="s">
        <v>54</v>
      </c>
      <c r="I1466" t="s">
        <v>811</v>
      </c>
      <c r="J1466" t="s">
        <v>94</v>
      </c>
      <c r="K1466">
        <v>2006</v>
      </c>
      <c r="L1466">
        <v>2006</v>
      </c>
      <c r="M1466">
        <v>7.1</v>
      </c>
      <c r="N1466">
        <v>22.163</v>
      </c>
      <c r="O1466">
        <v>373.5</v>
      </c>
      <c r="P1466">
        <v>2.1</v>
      </c>
      <c r="Q1466">
        <v>0.93899999999999995</v>
      </c>
      <c r="R1466" t="s">
        <v>57</v>
      </c>
      <c r="S1466" t="s">
        <v>8153</v>
      </c>
      <c r="T1466" t="b">
        <v>1</v>
      </c>
      <c r="U1466" t="s">
        <v>8154</v>
      </c>
      <c r="V1466" t="s">
        <v>896</v>
      </c>
      <c r="W1466" t="s">
        <v>8155</v>
      </c>
      <c r="X1466" t="s">
        <v>47</v>
      </c>
      <c r="AA1466" t="s">
        <v>8156</v>
      </c>
      <c r="AB1466" t="s">
        <v>49</v>
      </c>
      <c r="AC1466" t="s">
        <v>8157</v>
      </c>
      <c r="AD1466" t="b">
        <v>0</v>
      </c>
      <c r="AF1466">
        <v>6</v>
      </c>
      <c r="AG1466" t="s">
        <v>64</v>
      </c>
    </row>
    <row r="1467" spans="1:33" x14ac:dyDescent="0.2">
      <c r="A1467">
        <v>2035</v>
      </c>
      <c r="B1467" t="s">
        <v>8158</v>
      </c>
      <c r="C1467" t="s">
        <v>34</v>
      </c>
      <c r="D1467" t="s">
        <v>35</v>
      </c>
      <c r="E1467" t="s">
        <v>501</v>
      </c>
      <c r="F1467" t="s">
        <v>502</v>
      </c>
      <c r="G1467" t="s">
        <v>53</v>
      </c>
      <c r="H1467" t="s">
        <v>54</v>
      </c>
      <c r="I1467" t="s">
        <v>1143</v>
      </c>
      <c r="J1467" t="s">
        <v>54</v>
      </c>
      <c r="K1467">
        <v>2020</v>
      </c>
      <c r="L1467">
        <v>2020</v>
      </c>
      <c r="M1467">
        <v>0.66</v>
      </c>
      <c r="N1467">
        <v>3.923</v>
      </c>
      <c r="O1467">
        <v>76.5</v>
      </c>
      <c r="P1467">
        <v>1.1299999999999999</v>
      </c>
      <c r="Q1467">
        <v>0.16200000000000001</v>
      </c>
      <c r="R1467" t="s">
        <v>72</v>
      </c>
      <c r="S1467" t="s">
        <v>8159</v>
      </c>
      <c r="T1467" t="b">
        <v>1</v>
      </c>
      <c r="U1467" t="s">
        <v>8160</v>
      </c>
      <c r="V1467" t="s">
        <v>507</v>
      </c>
      <c r="W1467" t="s">
        <v>8161</v>
      </c>
      <c r="X1467" t="s">
        <v>47</v>
      </c>
      <c r="AA1467" t="s">
        <v>8162</v>
      </c>
      <c r="AC1467" t="s">
        <v>8163</v>
      </c>
      <c r="AD1467" t="b">
        <v>0</v>
      </c>
      <c r="AF1467">
        <v>13</v>
      </c>
      <c r="AG1467" t="s">
        <v>155</v>
      </c>
    </row>
    <row r="1468" spans="1:33" x14ac:dyDescent="0.2">
      <c r="A1468">
        <v>414</v>
      </c>
      <c r="B1468" t="s">
        <v>8164</v>
      </c>
      <c r="C1468" t="s">
        <v>34</v>
      </c>
      <c r="D1468" t="s">
        <v>35</v>
      </c>
      <c r="E1468" t="s">
        <v>4112</v>
      </c>
      <c r="F1468" t="s">
        <v>4113</v>
      </c>
      <c r="G1468" t="s">
        <v>242</v>
      </c>
      <c r="H1468" t="s">
        <v>243</v>
      </c>
      <c r="I1468" t="s">
        <v>799</v>
      </c>
      <c r="J1468" t="s">
        <v>96</v>
      </c>
      <c r="K1468">
        <v>1959</v>
      </c>
      <c r="L1468">
        <v>1959</v>
      </c>
      <c r="M1468">
        <v>15.5</v>
      </c>
      <c r="N1468">
        <v>52.786000000000001</v>
      </c>
      <c r="O1468">
        <v>107.9</v>
      </c>
      <c r="P1468">
        <v>16.600000000000001</v>
      </c>
      <c r="Q1468">
        <v>0.26</v>
      </c>
      <c r="R1468" t="s">
        <v>72</v>
      </c>
      <c r="S1468" t="s">
        <v>8165</v>
      </c>
      <c r="T1468" t="b">
        <v>1</v>
      </c>
      <c r="U1468" t="s">
        <v>8166</v>
      </c>
      <c r="V1468" t="s">
        <v>4116</v>
      </c>
      <c r="W1468" t="s">
        <v>8167</v>
      </c>
      <c r="X1468" t="s">
        <v>47</v>
      </c>
      <c r="AA1468" t="s">
        <v>1180</v>
      </c>
      <c r="AB1468" t="s">
        <v>49</v>
      </c>
      <c r="AC1468" t="s">
        <v>8168</v>
      </c>
      <c r="AD1468" t="b">
        <v>0</v>
      </c>
      <c r="AF1468">
        <v>9</v>
      </c>
      <c r="AG1468" t="s">
        <v>251</v>
      </c>
    </row>
    <row r="1469" spans="1:33" x14ac:dyDescent="0.2">
      <c r="A1469">
        <v>1356</v>
      </c>
      <c r="B1469" t="s">
        <v>8169</v>
      </c>
      <c r="C1469" t="s">
        <v>34</v>
      </c>
      <c r="D1469" t="s">
        <v>35</v>
      </c>
      <c r="E1469" t="s">
        <v>1085</v>
      </c>
      <c r="F1469" t="s">
        <v>1086</v>
      </c>
      <c r="G1469" t="s">
        <v>134</v>
      </c>
      <c r="H1469" t="s">
        <v>135</v>
      </c>
      <c r="I1469" t="s">
        <v>3432</v>
      </c>
      <c r="J1469" t="s">
        <v>401</v>
      </c>
      <c r="K1469">
        <v>2008</v>
      </c>
      <c r="L1469">
        <v>2008</v>
      </c>
      <c r="M1469">
        <v>0.75900000000000001</v>
      </c>
      <c r="N1469">
        <v>3.2890000000000001</v>
      </c>
      <c r="O1469">
        <v>46.73</v>
      </c>
      <c r="P1469">
        <v>1.9</v>
      </c>
      <c r="Q1469">
        <v>0.11700000000000001</v>
      </c>
      <c r="R1469" t="s">
        <v>42</v>
      </c>
      <c r="S1469" t="s">
        <v>8170</v>
      </c>
      <c r="T1469" t="b">
        <v>1</v>
      </c>
      <c r="U1469" t="s">
        <v>8171</v>
      </c>
      <c r="V1469" t="s">
        <v>1089</v>
      </c>
      <c r="W1469" t="s">
        <v>8172</v>
      </c>
      <c r="X1469" t="s">
        <v>47</v>
      </c>
      <c r="AA1469" t="s">
        <v>8173</v>
      </c>
      <c r="AB1469" t="s">
        <v>308</v>
      </c>
      <c r="AC1469" t="s">
        <v>6456</v>
      </c>
      <c r="AD1469" t="b">
        <v>0</v>
      </c>
      <c r="AF1469">
        <v>10</v>
      </c>
      <c r="AG1469" t="s">
        <v>143</v>
      </c>
    </row>
    <row r="1470" spans="1:33" x14ac:dyDescent="0.2">
      <c r="A1470">
        <v>542</v>
      </c>
      <c r="B1470" t="s">
        <v>8174</v>
      </c>
      <c r="C1470" t="s">
        <v>34</v>
      </c>
      <c r="D1470" t="s">
        <v>35</v>
      </c>
      <c r="E1470" t="s">
        <v>36</v>
      </c>
      <c r="F1470" t="s">
        <v>37</v>
      </c>
      <c r="G1470" t="s">
        <v>134</v>
      </c>
      <c r="H1470" t="s">
        <v>135</v>
      </c>
      <c r="I1470" t="s">
        <v>2605</v>
      </c>
      <c r="J1470" t="s">
        <v>1303</v>
      </c>
      <c r="K1470">
        <v>1993</v>
      </c>
      <c r="L1470">
        <v>1993</v>
      </c>
      <c r="M1470">
        <v>600</v>
      </c>
      <c r="N1470">
        <v>2424.145</v>
      </c>
      <c r="O1470">
        <v>543</v>
      </c>
      <c r="P1470">
        <v>120</v>
      </c>
      <c r="Q1470">
        <v>1.389</v>
      </c>
      <c r="R1470" t="s">
        <v>42</v>
      </c>
      <c r="S1470" t="s">
        <v>8175</v>
      </c>
      <c r="T1470" t="b">
        <v>1</v>
      </c>
      <c r="U1470" t="s">
        <v>8176</v>
      </c>
      <c r="V1470" t="s">
        <v>8177</v>
      </c>
      <c r="W1470" t="s">
        <v>8178</v>
      </c>
      <c r="X1470" t="s">
        <v>47</v>
      </c>
      <c r="AA1470" t="s">
        <v>8179</v>
      </c>
      <c r="AB1470" t="s">
        <v>177</v>
      </c>
      <c r="AC1470" t="s">
        <v>2610</v>
      </c>
      <c r="AD1470" t="b">
        <v>0</v>
      </c>
      <c r="AF1470">
        <v>10</v>
      </c>
      <c r="AG1470" t="s">
        <v>143</v>
      </c>
    </row>
    <row r="1471" spans="1:33" x14ac:dyDescent="0.2">
      <c r="A1471">
        <v>785</v>
      </c>
      <c r="B1471" t="s">
        <v>8180</v>
      </c>
      <c r="C1471" t="s">
        <v>34</v>
      </c>
      <c r="D1471" t="s">
        <v>35</v>
      </c>
      <c r="E1471" t="s">
        <v>1525</v>
      </c>
      <c r="F1471" t="s">
        <v>1526</v>
      </c>
      <c r="G1471" t="s">
        <v>213</v>
      </c>
      <c r="H1471" t="s">
        <v>83</v>
      </c>
      <c r="I1471" t="s">
        <v>1527</v>
      </c>
      <c r="J1471" t="s">
        <v>245</v>
      </c>
      <c r="K1471">
        <v>2001</v>
      </c>
      <c r="L1471">
        <v>2001</v>
      </c>
      <c r="M1471">
        <v>3.9</v>
      </c>
      <c r="N1471">
        <v>22.86</v>
      </c>
      <c r="P1471">
        <v>10.5</v>
      </c>
      <c r="Q1471">
        <v>0.10299999999999999</v>
      </c>
      <c r="R1471" t="s">
        <v>84</v>
      </c>
      <c r="S1471" t="s">
        <v>8181</v>
      </c>
      <c r="T1471" t="b">
        <v>1</v>
      </c>
      <c r="U1471" t="s">
        <v>8182</v>
      </c>
      <c r="V1471" t="s">
        <v>4648</v>
      </c>
      <c r="W1471" t="s">
        <v>8183</v>
      </c>
      <c r="X1471" t="s">
        <v>47</v>
      </c>
      <c r="AA1471" t="s">
        <v>1532</v>
      </c>
      <c r="AB1471" t="s">
        <v>401</v>
      </c>
      <c r="AC1471" t="s">
        <v>1533</v>
      </c>
      <c r="AD1471" t="b">
        <v>0</v>
      </c>
      <c r="AF1471">
        <v>5</v>
      </c>
      <c r="AG1471" t="s">
        <v>89</v>
      </c>
    </row>
    <row r="1472" spans="1:33" x14ac:dyDescent="0.2">
      <c r="A1472">
        <v>1663</v>
      </c>
      <c r="B1472" t="s">
        <v>8184</v>
      </c>
      <c r="C1472" t="s">
        <v>34</v>
      </c>
      <c r="D1472" t="s">
        <v>35</v>
      </c>
      <c r="E1472" t="s">
        <v>404</v>
      </c>
      <c r="F1472" t="s">
        <v>405</v>
      </c>
      <c r="G1472" t="s">
        <v>224</v>
      </c>
      <c r="H1472" t="s">
        <v>225</v>
      </c>
      <c r="I1472" t="s">
        <v>2960</v>
      </c>
      <c r="J1472" t="s">
        <v>612</v>
      </c>
      <c r="K1472">
        <v>2008</v>
      </c>
      <c r="L1472">
        <v>2008</v>
      </c>
      <c r="M1472">
        <v>0.13500000000000001</v>
      </c>
      <c r="N1472">
        <v>1.0409999999999999</v>
      </c>
      <c r="O1472">
        <v>100</v>
      </c>
      <c r="P1472">
        <v>0.2</v>
      </c>
      <c r="Q1472">
        <v>0.188</v>
      </c>
      <c r="R1472" t="s">
        <v>97</v>
      </c>
      <c r="S1472" t="s">
        <v>3129</v>
      </c>
      <c r="T1472" t="b">
        <v>1</v>
      </c>
      <c r="U1472" t="s">
        <v>8185</v>
      </c>
      <c r="V1472" t="s">
        <v>408</v>
      </c>
      <c r="W1472" t="s">
        <v>113</v>
      </c>
      <c r="X1472" t="s">
        <v>47</v>
      </c>
      <c r="AA1472" t="s">
        <v>2964</v>
      </c>
      <c r="AC1472" t="s">
        <v>63</v>
      </c>
      <c r="AD1472" t="b">
        <v>0</v>
      </c>
      <c r="AF1472">
        <v>1</v>
      </c>
      <c r="AG1472" t="s">
        <v>104</v>
      </c>
    </row>
    <row r="1473" spans="1:33" x14ac:dyDescent="0.2">
      <c r="A1473">
        <v>1267</v>
      </c>
      <c r="B1473" t="s">
        <v>8186</v>
      </c>
      <c r="C1473" t="s">
        <v>34</v>
      </c>
      <c r="D1473" t="s">
        <v>35</v>
      </c>
      <c r="E1473" t="s">
        <v>8187</v>
      </c>
      <c r="F1473" t="s">
        <v>8188</v>
      </c>
      <c r="G1473" t="s">
        <v>134</v>
      </c>
      <c r="H1473" t="s">
        <v>135</v>
      </c>
      <c r="I1473" t="s">
        <v>5976</v>
      </c>
      <c r="J1473" t="s">
        <v>1975</v>
      </c>
      <c r="K1473">
        <v>2006</v>
      </c>
      <c r="L1473">
        <v>2006</v>
      </c>
      <c r="M1473">
        <v>0.89800000000000002</v>
      </c>
      <c r="N1473">
        <v>6.0119999999999996</v>
      </c>
      <c r="R1473" t="s">
        <v>42</v>
      </c>
      <c r="S1473" t="s">
        <v>8189</v>
      </c>
      <c r="T1473" t="b">
        <v>1</v>
      </c>
      <c r="U1473" t="s">
        <v>8190</v>
      </c>
      <c r="V1473" t="s">
        <v>8191</v>
      </c>
      <c r="W1473" t="s">
        <v>8192</v>
      </c>
      <c r="X1473" t="s">
        <v>47</v>
      </c>
      <c r="AA1473" t="s">
        <v>141</v>
      </c>
      <c r="AC1473" t="s">
        <v>63</v>
      </c>
      <c r="AD1473" t="b">
        <v>0</v>
      </c>
      <c r="AF1473">
        <v>10</v>
      </c>
      <c r="AG1473" t="s">
        <v>143</v>
      </c>
    </row>
    <row r="1474" spans="1:33" x14ac:dyDescent="0.2">
      <c r="A1474">
        <v>1609</v>
      </c>
      <c r="B1474" t="s">
        <v>8193</v>
      </c>
      <c r="C1474" t="s">
        <v>34</v>
      </c>
      <c r="D1474" t="s">
        <v>35</v>
      </c>
      <c r="E1474" t="s">
        <v>132</v>
      </c>
      <c r="F1474" t="s">
        <v>133</v>
      </c>
      <c r="G1474" t="s">
        <v>134</v>
      </c>
      <c r="H1474" t="s">
        <v>135</v>
      </c>
      <c r="I1474" t="s">
        <v>764</v>
      </c>
      <c r="J1474" t="s">
        <v>765</v>
      </c>
      <c r="K1474">
        <v>2012</v>
      </c>
      <c r="L1474">
        <v>2012</v>
      </c>
      <c r="M1474">
        <v>1.79</v>
      </c>
      <c r="N1474">
        <v>5.2590000000000003</v>
      </c>
      <c r="O1474">
        <v>53</v>
      </c>
      <c r="P1474">
        <v>4</v>
      </c>
      <c r="Q1474">
        <v>0.124</v>
      </c>
      <c r="R1474" t="s">
        <v>42</v>
      </c>
      <c r="S1474" t="s">
        <v>8194</v>
      </c>
      <c r="T1474" t="b">
        <v>1</v>
      </c>
      <c r="U1474" t="s">
        <v>8195</v>
      </c>
      <c r="V1474" t="s">
        <v>139</v>
      </c>
      <c r="W1474" t="s">
        <v>8196</v>
      </c>
      <c r="X1474" t="s">
        <v>47</v>
      </c>
      <c r="AA1474" t="s">
        <v>4097</v>
      </c>
      <c r="AB1474" t="s">
        <v>177</v>
      </c>
      <c r="AC1474" t="s">
        <v>5138</v>
      </c>
      <c r="AD1474" t="b">
        <v>0</v>
      </c>
      <c r="AF1474">
        <v>10</v>
      </c>
      <c r="AG1474" t="s">
        <v>143</v>
      </c>
    </row>
    <row r="1475" spans="1:33" x14ac:dyDescent="0.2">
      <c r="A1475">
        <v>1176</v>
      </c>
      <c r="B1475" t="s">
        <v>8197</v>
      </c>
      <c r="C1475" t="s">
        <v>34</v>
      </c>
      <c r="D1475" t="s">
        <v>35</v>
      </c>
      <c r="E1475" t="s">
        <v>8198</v>
      </c>
      <c r="F1475" t="s">
        <v>8199</v>
      </c>
      <c r="G1475" t="s">
        <v>93</v>
      </c>
      <c r="H1475" t="s">
        <v>94</v>
      </c>
      <c r="I1475" t="s">
        <v>2295</v>
      </c>
      <c r="J1475" t="s">
        <v>280</v>
      </c>
      <c r="K1475">
        <v>1915</v>
      </c>
      <c r="L1475">
        <v>1915</v>
      </c>
      <c r="M1475">
        <v>0.9</v>
      </c>
      <c r="N1475">
        <v>3.67</v>
      </c>
      <c r="R1475" t="s">
        <v>97</v>
      </c>
      <c r="S1475" t="s">
        <v>8200</v>
      </c>
      <c r="T1475" t="b">
        <v>1</v>
      </c>
      <c r="U1475" t="s">
        <v>5412</v>
      </c>
      <c r="V1475" t="s">
        <v>8201</v>
      </c>
      <c r="W1475" t="s">
        <v>8202</v>
      </c>
      <c r="X1475" t="s">
        <v>47</v>
      </c>
      <c r="AA1475" t="s">
        <v>340</v>
      </c>
      <c r="AC1475" t="s">
        <v>1063</v>
      </c>
      <c r="AD1475" t="b">
        <v>0</v>
      </c>
      <c r="AF1475">
        <v>1</v>
      </c>
      <c r="AG1475" t="s">
        <v>104</v>
      </c>
    </row>
    <row r="1476" spans="1:33" x14ac:dyDescent="0.2">
      <c r="A1476">
        <v>1468</v>
      </c>
      <c r="B1476" t="s">
        <v>8203</v>
      </c>
      <c r="C1476" t="s">
        <v>34</v>
      </c>
      <c r="D1476" t="s">
        <v>35</v>
      </c>
      <c r="E1476" t="s">
        <v>8198</v>
      </c>
      <c r="F1476" t="s">
        <v>8199</v>
      </c>
      <c r="G1476" t="s">
        <v>93</v>
      </c>
      <c r="H1476" t="s">
        <v>94</v>
      </c>
      <c r="I1476" t="s">
        <v>2295</v>
      </c>
      <c r="J1476" t="s">
        <v>280</v>
      </c>
      <c r="K1476">
        <v>2009</v>
      </c>
      <c r="L1476">
        <v>2009</v>
      </c>
      <c r="M1476">
        <v>1.7</v>
      </c>
      <c r="N1476">
        <v>6.3259999999999996</v>
      </c>
      <c r="O1476">
        <v>288</v>
      </c>
      <c r="P1476">
        <v>0.77800000000000002</v>
      </c>
      <c r="Q1476">
        <v>0.66100000000000003</v>
      </c>
      <c r="R1476" t="s">
        <v>97</v>
      </c>
      <c r="S1476" t="s">
        <v>8200</v>
      </c>
      <c r="T1476" t="b">
        <v>1</v>
      </c>
      <c r="U1476" t="s">
        <v>8204</v>
      </c>
      <c r="V1476" t="s">
        <v>8201</v>
      </c>
      <c r="W1476" t="s">
        <v>8205</v>
      </c>
      <c r="X1476" t="s">
        <v>47</v>
      </c>
      <c r="AA1476" t="s">
        <v>340</v>
      </c>
      <c r="AC1476" t="s">
        <v>1063</v>
      </c>
      <c r="AD1476" t="b">
        <v>0</v>
      </c>
      <c r="AF1476">
        <v>1</v>
      </c>
      <c r="AG1476" t="s">
        <v>104</v>
      </c>
    </row>
    <row r="1477" spans="1:33" x14ac:dyDescent="0.2">
      <c r="A1477">
        <v>415</v>
      </c>
      <c r="B1477" t="s">
        <v>8206</v>
      </c>
      <c r="C1477" t="s">
        <v>34</v>
      </c>
      <c r="D1477" t="s">
        <v>35</v>
      </c>
      <c r="E1477" t="s">
        <v>36</v>
      </c>
      <c r="F1477" t="s">
        <v>37</v>
      </c>
      <c r="G1477" t="s">
        <v>242</v>
      </c>
      <c r="H1477" t="s">
        <v>243</v>
      </c>
      <c r="I1477" t="s">
        <v>978</v>
      </c>
      <c r="J1477" t="s">
        <v>49</v>
      </c>
      <c r="K1477">
        <v>1940</v>
      </c>
      <c r="L1477">
        <v>1940</v>
      </c>
      <c r="M1477">
        <v>27</v>
      </c>
      <c r="N1477">
        <v>125.092</v>
      </c>
      <c r="O1477">
        <v>56</v>
      </c>
      <c r="P1477">
        <v>75</v>
      </c>
      <c r="Q1477">
        <v>0.1</v>
      </c>
      <c r="R1477" t="s">
        <v>72</v>
      </c>
      <c r="S1477" t="s">
        <v>8207</v>
      </c>
      <c r="T1477" t="b">
        <v>1</v>
      </c>
      <c r="U1477" t="s">
        <v>6886</v>
      </c>
      <c r="V1477" t="s">
        <v>45</v>
      </c>
      <c r="W1477" t="s">
        <v>113</v>
      </c>
      <c r="X1477" t="s">
        <v>47</v>
      </c>
      <c r="AA1477" t="s">
        <v>982</v>
      </c>
      <c r="AB1477" t="s">
        <v>227</v>
      </c>
      <c r="AC1477" t="s">
        <v>983</v>
      </c>
      <c r="AD1477" t="b">
        <v>0</v>
      </c>
      <c r="AF1477">
        <v>9</v>
      </c>
      <c r="AG1477" t="s">
        <v>251</v>
      </c>
    </row>
    <row r="1478" spans="1:33" x14ac:dyDescent="0.2">
      <c r="A1478">
        <v>2001</v>
      </c>
      <c r="B1478" t="s">
        <v>8208</v>
      </c>
      <c r="C1478" t="s">
        <v>34</v>
      </c>
      <c r="D1478" t="s">
        <v>35</v>
      </c>
      <c r="E1478" t="s">
        <v>1320</v>
      </c>
      <c r="F1478" t="s">
        <v>1321</v>
      </c>
      <c r="G1478" t="s">
        <v>377</v>
      </c>
      <c r="H1478" t="s">
        <v>378</v>
      </c>
      <c r="I1478" t="s">
        <v>1958</v>
      </c>
      <c r="J1478" t="s">
        <v>49</v>
      </c>
      <c r="K1478">
        <v>2021</v>
      </c>
      <c r="L1478">
        <v>2021</v>
      </c>
      <c r="M1478">
        <v>8.76</v>
      </c>
      <c r="N1478">
        <v>24.916</v>
      </c>
      <c r="O1478">
        <v>253</v>
      </c>
      <c r="P1478">
        <v>4.3</v>
      </c>
      <c r="Q1478">
        <v>0.56599999999999995</v>
      </c>
      <c r="R1478" t="s">
        <v>42</v>
      </c>
      <c r="S1478" t="s">
        <v>8209</v>
      </c>
      <c r="T1478" t="b">
        <v>1</v>
      </c>
      <c r="U1478" t="s">
        <v>8210</v>
      </c>
      <c r="V1478" t="s">
        <v>1324</v>
      </c>
      <c r="W1478" t="s">
        <v>8211</v>
      </c>
      <c r="X1478" t="s">
        <v>47</v>
      </c>
      <c r="AA1478" t="s">
        <v>8212</v>
      </c>
      <c r="AC1478" t="s">
        <v>63</v>
      </c>
      <c r="AD1478" t="b">
        <v>0</v>
      </c>
      <c r="AF1478">
        <v>11</v>
      </c>
      <c r="AG1478" t="s">
        <v>198</v>
      </c>
    </row>
    <row r="1479" spans="1:33" x14ac:dyDescent="0.2">
      <c r="A1479">
        <v>416</v>
      </c>
      <c r="B1479" t="s">
        <v>8213</v>
      </c>
      <c r="C1479" t="s">
        <v>34</v>
      </c>
      <c r="D1479" t="s">
        <v>35</v>
      </c>
      <c r="E1479" t="s">
        <v>2406</v>
      </c>
      <c r="F1479" t="s">
        <v>2407</v>
      </c>
      <c r="G1479" t="s">
        <v>53</v>
      </c>
      <c r="H1479" t="s">
        <v>54</v>
      </c>
      <c r="I1479" t="s">
        <v>730</v>
      </c>
      <c r="J1479" t="s">
        <v>731</v>
      </c>
      <c r="K1479">
        <v>1921</v>
      </c>
      <c r="L1479">
        <v>2018</v>
      </c>
      <c r="M1479">
        <v>9.1</v>
      </c>
      <c r="N1479">
        <v>48.756999999999998</v>
      </c>
      <c r="O1479">
        <v>223</v>
      </c>
      <c r="P1479">
        <v>5</v>
      </c>
      <c r="Q1479">
        <v>0.50600000000000001</v>
      </c>
      <c r="R1479" t="s">
        <v>72</v>
      </c>
      <c r="S1479" t="s">
        <v>7980</v>
      </c>
      <c r="T1479" t="b">
        <v>1</v>
      </c>
      <c r="U1479" t="s">
        <v>1145</v>
      </c>
      <c r="V1479" t="s">
        <v>8214</v>
      </c>
      <c r="W1479" t="s">
        <v>8215</v>
      </c>
      <c r="X1479" t="s">
        <v>47</v>
      </c>
      <c r="AA1479" t="s">
        <v>2412</v>
      </c>
      <c r="AB1479" t="s">
        <v>49</v>
      </c>
      <c r="AC1479" t="s">
        <v>7983</v>
      </c>
      <c r="AD1479" t="b">
        <v>0</v>
      </c>
      <c r="AF1479">
        <v>13</v>
      </c>
      <c r="AG1479" t="s">
        <v>155</v>
      </c>
    </row>
    <row r="1480" spans="1:33" x14ac:dyDescent="0.2">
      <c r="A1480">
        <v>417</v>
      </c>
      <c r="B1480" t="s">
        <v>8216</v>
      </c>
      <c r="C1480" t="s">
        <v>34</v>
      </c>
      <c r="D1480" t="s">
        <v>35</v>
      </c>
      <c r="E1480" t="s">
        <v>2406</v>
      </c>
      <c r="F1480" t="s">
        <v>2407</v>
      </c>
      <c r="G1480" t="s">
        <v>53</v>
      </c>
      <c r="H1480" t="s">
        <v>54</v>
      </c>
      <c r="I1480" t="s">
        <v>730</v>
      </c>
      <c r="J1480" t="s">
        <v>731</v>
      </c>
      <c r="K1480">
        <v>1958</v>
      </c>
      <c r="L1480">
        <v>1958</v>
      </c>
      <c r="M1480">
        <v>29</v>
      </c>
      <c r="N1480">
        <v>222.69800000000001</v>
      </c>
      <c r="O1480">
        <v>480</v>
      </c>
      <c r="P1480">
        <v>7.5</v>
      </c>
      <c r="Q1480">
        <v>1.0740000000000001</v>
      </c>
      <c r="R1480" t="s">
        <v>72</v>
      </c>
      <c r="S1480" t="s">
        <v>8217</v>
      </c>
      <c r="T1480" t="b">
        <v>1</v>
      </c>
      <c r="U1480" t="s">
        <v>566</v>
      </c>
      <c r="V1480" t="s">
        <v>8214</v>
      </c>
      <c r="W1480" t="s">
        <v>8215</v>
      </c>
      <c r="X1480" t="s">
        <v>47</v>
      </c>
      <c r="AA1480" t="s">
        <v>8218</v>
      </c>
      <c r="AB1480" t="s">
        <v>83</v>
      </c>
      <c r="AC1480" t="s">
        <v>7983</v>
      </c>
      <c r="AD1480" t="b">
        <v>0</v>
      </c>
      <c r="AF1480">
        <v>13</v>
      </c>
      <c r="AG1480" t="s">
        <v>155</v>
      </c>
    </row>
    <row r="1481" spans="1:33" x14ac:dyDescent="0.2">
      <c r="A1481">
        <v>183</v>
      </c>
      <c r="B1481" t="s">
        <v>8219</v>
      </c>
      <c r="C1481" t="s">
        <v>34</v>
      </c>
      <c r="D1481" t="s">
        <v>35</v>
      </c>
      <c r="E1481" t="s">
        <v>2406</v>
      </c>
      <c r="F1481" t="s">
        <v>2407</v>
      </c>
      <c r="G1481" t="s">
        <v>53</v>
      </c>
      <c r="H1481" t="s">
        <v>54</v>
      </c>
      <c r="I1481" t="s">
        <v>730</v>
      </c>
      <c r="J1481" t="s">
        <v>731</v>
      </c>
      <c r="K1481">
        <v>1963</v>
      </c>
      <c r="L1481">
        <v>1963</v>
      </c>
      <c r="M1481">
        <v>22</v>
      </c>
      <c r="N1481">
        <v>149.58500000000001</v>
      </c>
      <c r="O1481">
        <v>480</v>
      </c>
      <c r="P1481">
        <v>6.4</v>
      </c>
      <c r="Q1481">
        <v>1.1719999999999999</v>
      </c>
      <c r="R1481" t="s">
        <v>72</v>
      </c>
      <c r="S1481" t="s">
        <v>8220</v>
      </c>
      <c r="T1481" t="b">
        <v>1</v>
      </c>
      <c r="U1481" t="s">
        <v>2114</v>
      </c>
      <c r="V1481" t="s">
        <v>2410</v>
      </c>
      <c r="W1481" t="s">
        <v>8221</v>
      </c>
      <c r="X1481" t="s">
        <v>47</v>
      </c>
      <c r="AA1481" t="s">
        <v>8222</v>
      </c>
      <c r="AB1481" t="s">
        <v>49</v>
      </c>
      <c r="AC1481" t="s">
        <v>8223</v>
      </c>
      <c r="AD1481" t="b">
        <v>0</v>
      </c>
      <c r="AF1481">
        <v>13</v>
      </c>
      <c r="AG1481" t="s">
        <v>155</v>
      </c>
    </row>
    <row r="1482" spans="1:33" x14ac:dyDescent="0.2">
      <c r="A1482">
        <v>418</v>
      </c>
      <c r="B1482" t="s">
        <v>8224</v>
      </c>
      <c r="C1482" t="s">
        <v>34</v>
      </c>
      <c r="D1482" t="s">
        <v>35</v>
      </c>
      <c r="E1482" t="s">
        <v>2406</v>
      </c>
      <c r="F1482" t="s">
        <v>2407</v>
      </c>
      <c r="G1482" t="s">
        <v>53</v>
      </c>
      <c r="H1482" t="s">
        <v>54</v>
      </c>
      <c r="I1482" t="s">
        <v>730</v>
      </c>
      <c r="J1482" t="s">
        <v>731</v>
      </c>
      <c r="K1482">
        <v>1973</v>
      </c>
      <c r="L1482">
        <v>1973</v>
      </c>
      <c r="M1482">
        <v>50</v>
      </c>
      <c r="N1482">
        <v>290.93400000000003</v>
      </c>
      <c r="O1482">
        <v>360</v>
      </c>
      <c r="P1482">
        <v>16</v>
      </c>
      <c r="Q1482">
        <v>0.86699999999999999</v>
      </c>
      <c r="R1482" t="s">
        <v>72</v>
      </c>
      <c r="S1482" t="s">
        <v>8217</v>
      </c>
      <c r="T1482" t="b">
        <v>1</v>
      </c>
      <c r="U1482" t="s">
        <v>44</v>
      </c>
      <c r="V1482" t="s">
        <v>2410</v>
      </c>
      <c r="W1482" t="s">
        <v>8225</v>
      </c>
      <c r="X1482" t="s">
        <v>47</v>
      </c>
      <c r="AA1482" t="s">
        <v>8218</v>
      </c>
      <c r="AB1482" t="s">
        <v>49</v>
      </c>
      <c r="AC1482" t="s">
        <v>8226</v>
      </c>
      <c r="AD1482" t="b">
        <v>0</v>
      </c>
      <c r="AF1482">
        <v>13</v>
      </c>
      <c r="AG1482" t="s">
        <v>155</v>
      </c>
    </row>
    <row r="1483" spans="1:33" x14ac:dyDescent="0.2">
      <c r="A1483">
        <v>419</v>
      </c>
      <c r="B1483" t="s">
        <v>8227</v>
      </c>
      <c r="C1483" t="s">
        <v>34</v>
      </c>
      <c r="D1483" t="s">
        <v>35</v>
      </c>
      <c r="E1483" t="s">
        <v>2170</v>
      </c>
      <c r="F1483" t="s">
        <v>2171</v>
      </c>
      <c r="G1483" t="s">
        <v>503</v>
      </c>
      <c r="H1483" t="s">
        <v>462</v>
      </c>
      <c r="I1483" t="s">
        <v>2302</v>
      </c>
      <c r="J1483" t="s">
        <v>227</v>
      </c>
      <c r="K1483">
        <v>1958</v>
      </c>
      <c r="L1483">
        <v>1958</v>
      </c>
      <c r="M1483">
        <v>92</v>
      </c>
      <c r="N1483">
        <v>563.69100000000003</v>
      </c>
      <c r="O1483">
        <v>69</v>
      </c>
      <c r="P1483">
        <v>170</v>
      </c>
      <c r="Q1483">
        <v>0.151</v>
      </c>
      <c r="R1483" t="s">
        <v>84</v>
      </c>
      <c r="S1483" t="s">
        <v>8228</v>
      </c>
      <c r="T1483" t="b">
        <v>1</v>
      </c>
      <c r="U1483" t="s">
        <v>566</v>
      </c>
      <c r="V1483" t="s">
        <v>8229</v>
      </c>
      <c r="W1483" t="s">
        <v>8230</v>
      </c>
      <c r="X1483" t="s">
        <v>47</v>
      </c>
      <c r="AA1483" t="s">
        <v>583</v>
      </c>
      <c r="AB1483" t="s">
        <v>612</v>
      </c>
      <c r="AC1483" t="s">
        <v>585</v>
      </c>
      <c r="AD1483" t="b">
        <v>0</v>
      </c>
      <c r="AF1483">
        <v>3</v>
      </c>
      <c r="AG1483" t="s">
        <v>332</v>
      </c>
    </row>
    <row r="1484" spans="1:33" x14ac:dyDescent="0.2">
      <c r="A1484">
        <v>420</v>
      </c>
      <c r="B1484" t="s">
        <v>8231</v>
      </c>
      <c r="C1484" t="s">
        <v>34</v>
      </c>
      <c r="D1484" t="s">
        <v>35</v>
      </c>
      <c r="E1484" t="s">
        <v>1027</v>
      </c>
      <c r="F1484" t="s">
        <v>1028</v>
      </c>
      <c r="G1484" t="s">
        <v>213</v>
      </c>
      <c r="H1484" t="s">
        <v>83</v>
      </c>
      <c r="I1484" t="s">
        <v>1672</v>
      </c>
      <c r="J1484" t="s">
        <v>231</v>
      </c>
      <c r="K1484">
        <v>1908</v>
      </c>
      <c r="L1484">
        <v>1998</v>
      </c>
      <c r="M1484">
        <v>2</v>
      </c>
      <c r="N1484">
        <v>8.6620000000000008</v>
      </c>
      <c r="O1484">
        <v>76</v>
      </c>
      <c r="P1484">
        <v>4</v>
      </c>
      <c r="Q1484">
        <v>0.153</v>
      </c>
      <c r="R1484" t="s">
        <v>84</v>
      </c>
      <c r="S1484" t="s">
        <v>8232</v>
      </c>
      <c r="T1484" t="b">
        <v>1</v>
      </c>
      <c r="U1484" t="s">
        <v>8233</v>
      </c>
      <c r="V1484" t="s">
        <v>1032</v>
      </c>
      <c r="W1484" t="s">
        <v>113</v>
      </c>
      <c r="X1484" t="s">
        <v>47</v>
      </c>
      <c r="AA1484" t="s">
        <v>8234</v>
      </c>
      <c r="AB1484" t="s">
        <v>49</v>
      </c>
      <c r="AC1484" t="s">
        <v>8235</v>
      </c>
      <c r="AD1484" t="b">
        <v>0</v>
      </c>
      <c r="AF1484">
        <v>4</v>
      </c>
      <c r="AG1484" t="s">
        <v>321</v>
      </c>
    </row>
    <row r="1485" spans="1:33" x14ac:dyDescent="0.2">
      <c r="A1485">
        <v>2193</v>
      </c>
      <c r="B1485" t="s">
        <v>8236</v>
      </c>
      <c r="C1485" t="s">
        <v>34</v>
      </c>
      <c r="D1485" t="s">
        <v>35</v>
      </c>
      <c r="E1485" t="s">
        <v>8237</v>
      </c>
      <c r="F1485" t="s">
        <v>8238</v>
      </c>
      <c r="G1485" t="s">
        <v>53</v>
      </c>
      <c r="H1485" t="s">
        <v>54</v>
      </c>
      <c r="I1485" t="s">
        <v>118</v>
      </c>
      <c r="J1485" t="s">
        <v>119</v>
      </c>
      <c r="K1485">
        <v>2025</v>
      </c>
      <c r="L1485">
        <v>2025</v>
      </c>
      <c r="M1485">
        <v>2.0499999999999998</v>
      </c>
      <c r="N1485">
        <v>5.6</v>
      </c>
      <c r="O1485">
        <v>445</v>
      </c>
      <c r="P1485">
        <v>0.55000000000000004</v>
      </c>
      <c r="Q1485">
        <v>1.0349999999999999</v>
      </c>
      <c r="R1485" t="s">
        <v>84</v>
      </c>
      <c r="S1485" t="s">
        <v>8239</v>
      </c>
      <c r="T1485" t="b">
        <v>1</v>
      </c>
      <c r="U1485" t="s">
        <v>8240</v>
      </c>
      <c r="V1485" t="s">
        <v>8241</v>
      </c>
      <c r="W1485" t="s">
        <v>8242</v>
      </c>
      <c r="X1485" t="s">
        <v>47</v>
      </c>
      <c r="AA1485" t="s">
        <v>114</v>
      </c>
      <c r="AB1485" t="s">
        <v>836</v>
      </c>
      <c r="AC1485" t="s">
        <v>63</v>
      </c>
      <c r="AD1485" t="b">
        <v>0</v>
      </c>
      <c r="AF1485">
        <v>5</v>
      </c>
      <c r="AG1485" t="s">
        <v>89</v>
      </c>
    </row>
    <row r="1486" spans="1:33" x14ac:dyDescent="0.2">
      <c r="A1486">
        <v>421</v>
      </c>
      <c r="B1486" t="s">
        <v>8243</v>
      </c>
      <c r="C1486" t="s">
        <v>34</v>
      </c>
      <c r="D1486" t="s">
        <v>35</v>
      </c>
      <c r="E1486" t="s">
        <v>36</v>
      </c>
      <c r="F1486" t="s">
        <v>37</v>
      </c>
      <c r="G1486" t="s">
        <v>68</v>
      </c>
      <c r="H1486" t="s">
        <v>69</v>
      </c>
      <c r="I1486" t="s">
        <v>413</v>
      </c>
      <c r="J1486" t="s">
        <v>414</v>
      </c>
      <c r="K1486">
        <v>1963</v>
      </c>
      <c r="L1486">
        <v>1963</v>
      </c>
      <c r="M1486">
        <v>22</v>
      </c>
      <c r="N1486">
        <v>102.61799999999999</v>
      </c>
      <c r="O1486">
        <v>259</v>
      </c>
      <c r="P1486">
        <v>10.5</v>
      </c>
      <c r="Q1486">
        <v>0.58199999999999996</v>
      </c>
      <c r="R1486" t="s">
        <v>72</v>
      </c>
      <c r="S1486" t="s">
        <v>8244</v>
      </c>
      <c r="T1486" t="b">
        <v>1</v>
      </c>
      <c r="U1486" t="s">
        <v>8245</v>
      </c>
      <c r="V1486" t="s">
        <v>6278</v>
      </c>
      <c r="W1486" t="s">
        <v>8246</v>
      </c>
      <c r="X1486" t="s">
        <v>47</v>
      </c>
      <c r="AA1486" t="s">
        <v>787</v>
      </c>
      <c r="AB1486" t="s">
        <v>49</v>
      </c>
      <c r="AC1486" t="s">
        <v>5919</v>
      </c>
      <c r="AD1486" t="b">
        <v>0</v>
      </c>
      <c r="AF1486">
        <v>8</v>
      </c>
      <c r="AG1486" t="s">
        <v>78</v>
      </c>
    </row>
    <row r="1487" spans="1:33" x14ac:dyDescent="0.2">
      <c r="A1487">
        <v>422</v>
      </c>
      <c r="B1487" t="s">
        <v>8247</v>
      </c>
      <c r="C1487" t="s">
        <v>34</v>
      </c>
      <c r="D1487" t="s">
        <v>35</v>
      </c>
      <c r="E1487" t="s">
        <v>1010</v>
      </c>
      <c r="F1487" t="s">
        <v>1011</v>
      </c>
      <c r="G1487" t="s">
        <v>242</v>
      </c>
      <c r="H1487" t="s">
        <v>243</v>
      </c>
      <c r="I1487" t="s">
        <v>2625</v>
      </c>
      <c r="J1487" t="s">
        <v>2626</v>
      </c>
      <c r="K1487">
        <v>1983</v>
      </c>
      <c r="L1487">
        <v>1983</v>
      </c>
      <c r="M1487">
        <v>55</v>
      </c>
      <c r="N1487">
        <v>245.65899999999999</v>
      </c>
      <c r="O1487">
        <v>96</v>
      </c>
      <c r="P1487">
        <v>69.12</v>
      </c>
      <c r="Q1487">
        <v>0.221</v>
      </c>
      <c r="R1487" t="s">
        <v>72</v>
      </c>
      <c r="S1487" t="s">
        <v>8248</v>
      </c>
      <c r="T1487" t="b">
        <v>1</v>
      </c>
      <c r="U1487" t="s">
        <v>8249</v>
      </c>
      <c r="V1487" t="s">
        <v>1015</v>
      </c>
      <c r="W1487" t="s">
        <v>8250</v>
      </c>
      <c r="X1487" t="s">
        <v>47</v>
      </c>
      <c r="AA1487" t="s">
        <v>1017</v>
      </c>
      <c r="AB1487" t="s">
        <v>49</v>
      </c>
      <c r="AC1487" t="s">
        <v>1018</v>
      </c>
      <c r="AD1487" t="b">
        <v>0</v>
      </c>
      <c r="AF1487">
        <v>8</v>
      </c>
      <c r="AG1487" t="s">
        <v>78</v>
      </c>
    </row>
    <row r="1488" spans="1:33" x14ac:dyDescent="0.2">
      <c r="A1488">
        <v>871</v>
      </c>
      <c r="B1488" t="s">
        <v>8251</v>
      </c>
      <c r="C1488" t="s">
        <v>34</v>
      </c>
      <c r="D1488" t="s">
        <v>35</v>
      </c>
      <c r="G1488" t="s">
        <v>53</v>
      </c>
      <c r="H1488" t="s">
        <v>54</v>
      </c>
      <c r="I1488" t="s">
        <v>532</v>
      </c>
      <c r="J1488" t="s">
        <v>533</v>
      </c>
      <c r="K1488">
        <v>2003</v>
      </c>
      <c r="L1488">
        <v>2003</v>
      </c>
      <c r="M1488">
        <v>1.9E-2</v>
      </c>
      <c r="N1488">
        <v>0.14099999999999999</v>
      </c>
      <c r="R1488" t="s">
        <v>57</v>
      </c>
      <c r="S1488" t="s">
        <v>8252</v>
      </c>
      <c r="T1488" t="b">
        <v>1</v>
      </c>
      <c r="U1488" t="s">
        <v>2246</v>
      </c>
      <c r="V1488" t="s">
        <v>274</v>
      </c>
      <c r="W1488" t="s">
        <v>113</v>
      </c>
      <c r="X1488" t="s">
        <v>47</v>
      </c>
      <c r="AA1488" t="s">
        <v>8253</v>
      </c>
      <c r="AC1488" t="s">
        <v>8254</v>
      </c>
      <c r="AD1488" t="b">
        <v>0</v>
      </c>
      <c r="AF1488">
        <v>7</v>
      </c>
      <c r="AG1488" t="s">
        <v>469</v>
      </c>
    </row>
    <row r="1489" spans="1:33" x14ac:dyDescent="0.2">
      <c r="A1489">
        <v>1568</v>
      </c>
      <c r="B1489" t="s">
        <v>8255</v>
      </c>
      <c r="C1489" t="s">
        <v>34</v>
      </c>
      <c r="D1489" t="s">
        <v>35</v>
      </c>
      <c r="E1489" t="s">
        <v>728</v>
      </c>
      <c r="F1489" t="s">
        <v>729</v>
      </c>
      <c r="G1489" t="s">
        <v>53</v>
      </c>
      <c r="H1489" t="s">
        <v>54</v>
      </c>
      <c r="I1489" t="s">
        <v>461</v>
      </c>
      <c r="J1489" t="s">
        <v>462</v>
      </c>
      <c r="K1489">
        <v>2010</v>
      </c>
      <c r="L1489">
        <v>2010</v>
      </c>
      <c r="M1489">
        <v>3.2</v>
      </c>
      <c r="N1489">
        <v>8.7870000000000008</v>
      </c>
      <c r="O1489">
        <v>242</v>
      </c>
      <c r="P1489">
        <v>1.5</v>
      </c>
      <c r="Q1489">
        <v>0.59299999999999997</v>
      </c>
      <c r="R1489" t="s">
        <v>57</v>
      </c>
      <c r="S1489" t="s">
        <v>8256</v>
      </c>
      <c r="T1489" t="b">
        <v>1</v>
      </c>
      <c r="U1489" t="s">
        <v>8257</v>
      </c>
      <c r="V1489" t="s">
        <v>2923</v>
      </c>
      <c r="W1489" t="s">
        <v>8258</v>
      </c>
      <c r="X1489" t="s">
        <v>47</v>
      </c>
      <c r="AA1489" t="s">
        <v>8259</v>
      </c>
      <c r="AB1489" t="s">
        <v>49</v>
      </c>
      <c r="AC1489" t="s">
        <v>8260</v>
      </c>
      <c r="AD1489" t="b">
        <v>0</v>
      </c>
      <c r="AF1489">
        <v>7</v>
      </c>
      <c r="AG1489" t="s">
        <v>469</v>
      </c>
    </row>
    <row r="1490" spans="1:33" x14ac:dyDescent="0.2">
      <c r="A1490">
        <v>1578</v>
      </c>
      <c r="B1490" t="s">
        <v>8261</v>
      </c>
      <c r="C1490" t="s">
        <v>34</v>
      </c>
      <c r="D1490" t="s">
        <v>35</v>
      </c>
      <c r="E1490" t="s">
        <v>8262</v>
      </c>
      <c r="F1490" t="s">
        <v>8263</v>
      </c>
      <c r="G1490" t="s">
        <v>242</v>
      </c>
      <c r="H1490" t="s">
        <v>243</v>
      </c>
      <c r="I1490" t="s">
        <v>2625</v>
      </c>
      <c r="J1490" t="s">
        <v>2626</v>
      </c>
      <c r="K1490">
        <v>2009</v>
      </c>
      <c r="L1490">
        <v>2009</v>
      </c>
      <c r="M1490">
        <v>1.2</v>
      </c>
      <c r="N1490">
        <v>4.04</v>
      </c>
      <c r="O1490">
        <v>193.4</v>
      </c>
      <c r="P1490">
        <v>0.78</v>
      </c>
      <c r="Q1490">
        <v>0.42699999999999999</v>
      </c>
      <c r="R1490" t="s">
        <v>72</v>
      </c>
      <c r="S1490" t="s">
        <v>8264</v>
      </c>
      <c r="T1490" t="b">
        <v>1</v>
      </c>
      <c r="U1490" t="s">
        <v>8265</v>
      </c>
      <c r="V1490" t="s">
        <v>8266</v>
      </c>
      <c r="W1490" t="s">
        <v>8267</v>
      </c>
      <c r="X1490" t="s">
        <v>47</v>
      </c>
      <c r="AA1490" t="s">
        <v>1017</v>
      </c>
      <c r="AB1490" t="s">
        <v>231</v>
      </c>
      <c r="AC1490" t="s">
        <v>1018</v>
      </c>
      <c r="AD1490" t="b">
        <v>0</v>
      </c>
      <c r="AF1490">
        <v>8</v>
      </c>
      <c r="AG1490" t="s">
        <v>78</v>
      </c>
    </row>
    <row r="1491" spans="1:33" x14ac:dyDescent="0.2">
      <c r="A1491">
        <v>1436</v>
      </c>
      <c r="B1491" t="s">
        <v>8268</v>
      </c>
      <c r="C1491" t="s">
        <v>34</v>
      </c>
      <c r="D1491" t="s">
        <v>35</v>
      </c>
      <c r="E1491" t="s">
        <v>36</v>
      </c>
      <c r="F1491" t="s">
        <v>37</v>
      </c>
      <c r="G1491" t="s">
        <v>242</v>
      </c>
      <c r="H1491" t="s">
        <v>243</v>
      </c>
      <c r="I1491" t="s">
        <v>2348</v>
      </c>
      <c r="J1491" t="s">
        <v>225</v>
      </c>
      <c r="K1491">
        <v>2008</v>
      </c>
      <c r="L1491">
        <v>2008</v>
      </c>
      <c r="M1491">
        <v>3.3</v>
      </c>
      <c r="N1491">
        <v>7.218</v>
      </c>
      <c r="P1491">
        <v>20</v>
      </c>
      <c r="Q1491">
        <v>4.5999999999999999E-2</v>
      </c>
      <c r="R1491" t="s">
        <v>72</v>
      </c>
      <c r="S1491" t="s">
        <v>8269</v>
      </c>
      <c r="T1491" t="b">
        <v>1</v>
      </c>
      <c r="U1491" t="s">
        <v>74</v>
      </c>
      <c r="V1491" t="s">
        <v>8270</v>
      </c>
      <c r="W1491" t="s">
        <v>8271</v>
      </c>
      <c r="X1491" t="s">
        <v>47</v>
      </c>
      <c r="AA1491" t="s">
        <v>982</v>
      </c>
      <c r="AB1491" t="s">
        <v>515</v>
      </c>
      <c r="AC1491" t="s">
        <v>983</v>
      </c>
      <c r="AD1491" t="b">
        <v>0</v>
      </c>
      <c r="AF1491">
        <v>9</v>
      </c>
      <c r="AG1491" t="s">
        <v>251</v>
      </c>
    </row>
    <row r="1492" spans="1:33" x14ac:dyDescent="0.2">
      <c r="A1492">
        <v>1494</v>
      </c>
      <c r="B1492" t="s">
        <v>8272</v>
      </c>
      <c r="C1492" t="s">
        <v>34</v>
      </c>
      <c r="D1492" t="s">
        <v>35</v>
      </c>
      <c r="E1492" t="s">
        <v>8273</v>
      </c>
      <c r="F1492" t="s">
        <v>8274</v>
      </c>
      <c r="G1492" t="s">
        <v>53</v>
      </c>
      <c r="H1492" t="s">
        <v>54</v>
      </c>
      <c r="I1492" t="s">
        <v>55</v>
      </c>
      <c r="J1492" t="s">
        <v>56</v>
      </c>
      <c r="K1492">
        <v>2010</v>
      </c>
      <c r="L1492">
        <v>2010</v>
      </c>
      <c r="M1492">
        <v>2.84</v>
      </c>
      <c r="N1492">
        <v>8.2680000000000007</v>
      </c>
      <c r="O1492">
        <v>113.3</v>
      </c>
      <c r="P1492">
        <v>3</v>
      </c>
      <c r="Q1492">
        <v>0.26300000000000001</v>
      </c>
      <c r="R1492" t="s">
        <v>57</v>
      </c>
      <c r="S1492" t="s">
        <v>8275</v>
      </c>
      <c r="T1492" t="b">
        <v>1</v>
      </c>
      <c r="U1492" t="s">
        <v>8276</v>
      </c>
      <c r="V1492" t="s">
        <v>8277</v>
      </c>
      <c r="W1492" t="s">
        <v>8278</v>
      </c>
      <c r="X1492" t="s">
        <v>47</v>
      </c>
      <c r="AA1492" t="s">
        <v>741</v>
      </c>
      <c r="AB1492" t="s">
        <v>71</v>
      </c>
      <c r="AC1492" t="s">
        <v>742</v>
      </c>
      <c r="AD1492" t="b">
        <v>0</v>
      </c>
      <c r="AF1492">
        <v>6</v>
      </c>
      <c r="AG1492" t="s">
        <v>64</v>
      </c>
    </row>
    <row r="1493" spans="1:33" x14ac:dyDescent="0.2">
      <c r="A1493">
        <v>423</v>
      </c>
      <c r="B1493" t="s">
        <v>8279</v>
      </c>
      <c r="C1493" t="s">
        <v>34</v>
      </c>
      <c r="D1493" t="s">
        <v>35</v>
      </c>
      <c r="E1493" t="s">
        <v>36</v>
      </c>
      <c r="F1493" t="s">
        <v>37</v>
      </c>
      <c r="G1493" t="s">
        <v>53</v>
      </c>
      <c r="H1493" t="s">
        <v>54</v>
      </c>
      <c r="I1493" t="s">
        <v>1663</v>
      </c>
      <c r="J1493" t="s">
        <v>973</v>
      </c>
      <c r="K1493">
        <v>1981</v>
      </c>
      <c r="L1493">
        <v>1981</v>
      </c>
      <c r="M1493">
        <v>620</v>
      </c>
      <c r="N1493">
        <v>1637.126</v>
      </c>
      <c r="O1493">
        <v>905</v>
      </c>
      <c r="P1493">
        <v>80</v>
      </c>
      <c r="Q1493">
        <v>2.153</v>
      </c>
      <c r="R1493" t="s">
        <v>57</v>
      </c>
      <c r="S1493" t="s">
        <v>8280</v>
      </c>
      <c r="T1493" t="b">
        <v>1</v>
      </c>
      <c r="U1493" t="s">
        <v>8281</v>
      </c>
      <c r="V1493" t="s">
        <v>2863</v>
      </c>
      <c r="W1493" t="s">
        <v>8282</v>
      </c>
      <c r="X1493" t="s">
        <v>47</v>
      </c>
      <c r="AA1493" t="s">
        <v>8283</v>
      </c>
      <c r="AB1493" t="s">
        <v>49</v>
      </c>
      <c r="AC1493" t="s">
        <v>8284</v>
      </c>
      <c r="AD1493" t="b">
        <v>0</v>
      </c>
      <c r="AF1493">
        <v>2</v>
      </c>
      <c r="AG1493" t="s">
        <v>287</v>
      </c>
    </row>
    <row r="1494" spans="1:33" x14ac:dyDescent="0.2">
      <c r="A1494">
        <v>1693</v>
      </c>
      <c r="B1494" t="s">
        <v>8285</v>
      </c>
      <c r="C1494" t="s">
        <v>34</v>
      </c>
      <c r="D1494" t="s">
        <v>35</v>
      </c>
      <c r="E1494" t="s">
        <v>8286</v>
      </c>
      <c r="F1494" t="s">
        <v>8287</v>
      </c>
      <c r="G1494" t="s">
        <v>93</v>
      </c>
      <c r="H1494" t="s">
        <v>94</v>
      </c>
      <c r="I1494" t="s">
        <v>752</v>
      </c>
      <c r="J1494" t="s">
        <v>135</v>
      </c>
      <c r="K1494">
        <v>2012</v>
      </c>
      <c r="L1494">
        <v>2012</v>
      </c>
      <c r="M1494">
        <v>2.5</v>
      </c>
      <c r="N1494">
        <v>7.3654999999999999</v>
      </c>
      <c r="O1494">
        <v>7</v>
      </c>
      <c r="P1494">
        <v>46</v>
      </c>
      <c r="Q1494">
        <v>1.4999999999999999E-2</v>
      </c>
      <c r="R1494" t="s">
        <v>97</v>
      </c>
      <c r="S1494" t="s">
        <v>8288</v>
      </c>
      <c r="T1494" t="b">
        <v>1</v>
      </c>
      <c r="U1494" t="s">
        <v>8289</v>
      </c>
      <c r="V1494" t="s">
        <v>8290</v>
      </c>
      <c r="W1494" t="s">
        <v>8291</v>
      </c>
      <c r="X1494" t="s">
        <v>47</v>
      </c>
      <c r="AA1494" t="s">
        <v>340</v>
      </c>
      <c r="AB1494" t="s">
        <v>1975</v>
      </c>
      <c r="AC1494" t="s">
        <v>341</v>
      </c>
      <c r="AD1494" t="b">
        <v>0</v>
      </c>
      <c r="AF1494">
        <v>1</v>
      </c>
      <c r="AG1494" t="s">
        <v>104</v>
      </c>
    </row>
    <row r="1495" spans="1:33" x14ac:dyDescent="0.2">
      <c r="A1495">
        <v>1973</v>
      </c>
      <c r="B1495" t="s">
        <v>8292</v>
      </c>
      <c r="C1495" t="s">
        <v>34</v>
      </c>
      <c r="D1495" t="s">
        <v>35</v>
      </c>
      <c r="E1495" t="s">
        <v>8293</v>
      </c>
      <c r="F1495" t="s">
        <v>8294</v>
      </c>
      <c r="G1495" t="s">
        <v>53</v>
      </c>
      <c r="H1495" t="s">
        <v>54</v>
      </c>
      <c r="I1495" t="s">
        <v>170</v>
      </c>
      <c r="J1495" t="s">
        <v>171</v>
      </c>
      <c r="K1495">
        <v>2020</v>
      </c>
      <c r="L1495">
        <v>2020</v>
      </c>
      <c r="M1495">
        <v>4.4000000000000004</v>
      </c>
      <c r="N1495">
        <v>10.157999999999999</v>
      </c>
      <c r="O1495">
        <v>160</v>
      </c>
      <c r="P1495">
        <v>3.25</v>
      </c>
      <c r="Q1495">
        <v>0.376</v>
      </c>
      <c r="R1495" t="s">
        <v>57</v>
      </c>
      <c r="S1495" t="s">
        <v>8295</v>
      </c>
      <c r="T1495" t="b">
        <v>1</v>
      </c>
      <c r="U1495" t="s">
        <v>8296</v>
      </c>
      <c r="V1495" t="s">
        <v>8297</v>
      </c>
      <c r="W1495" t="s">
        <v>8298</v>
      </c>
      <c r="X1495" t="s">
        <v>47</v>
      </c>
      <c r="AA1495" t="s">
        <v>176</v>
      </c>
      <c r="AB1495" t="s">
        <v>308</v>
      </c>
      <c r="AC1495" t="s">
        <v>178</v>
      </c>
      <c r="AD1495" t="b">
        <v>0</v>
      </c>
      <c r="AF1495">
        <v>6</v>
      </c>
      <c r="AG1495" t="s">
        <v>64</v>
      </c>
    </row>
    <row r="1496" spans="1:33" x14ac:dyDescent="0.2">
      <c r="A1496">
        <v>1109</v>
      </c>
      <c r="B1496" t="s">
        <v>8299</v>
      </c>
      <c r="C1496" t="s">
        <v>34</v>
      </c>
      <c r="D1496" t="s">
        <v>35</v>
      </c>
      <c r="E1496" t="s">
        <v>8300</v>
      </c>
      <c r="F1496" t="s">
        <v>8301</v>
      </c>
      <c r="G1496" t="s">
        <v>134</v>
      </c>
      <c r="H1496" t="s">
        <v>135</v>
      </c>
      <c r="I1496" t="s">
        <v>4790</v>
      </c>
      <c r="J1496" t="s">
        <v>262</v>
      </c>
      <c r="K1496">
        <v>2004</v>
      </c>
      <c r="L1496">
        <v>2004</v>
      </c>
      <c r="M1496">
        <v>3.5000000000000003E-2</v>
      </c>
      <c r="N1496">
        <v>0.188</v>
      </c>
      <c r="R1496" t="s">
        <v>42</v>
      </c>
      <c r="S1496" t="s">
        <v>8302</v>
      </c>
      <c r="T1496" t="b">
        <v>1</v>
      </c>
      <c r="U1496" t="s">
        <v>637</v>
      </c>
      <c r="V1496" t="s">
        <v>8303</v>
      </c>
      <c r="W1496" t="s">
        <v>8304</v>
      </c>
      <c r="X1496" t="s">
        <v>47</v>
      </c>
      <c r="AA1496" t="s">
        <v>645</v>
      </c>
      <c r="AC1496" t="s">
        <v>3212</v>
      </c>
      <c r="AD1496" t="b">
        <v>0</v>
      </c>
      <c r="AF1496">
        <v>10</v>
      </c>
      <c r="AG1496" t="s">
        <v>143</v>
      </c>
    </row>
    <row r="1497" spans="1:33" x14ac:dyDescent="0.2">
      <c r="A1497">
        <v>1173</v>
      </c>
      <c r="B1497" t="s">
        <v>8305</v>
      </c>
      <c r="C1497" t="s">
        <v>34</v>
      </c>
      <c r="D1497" t="s">
        <v>35</v>
      </c>
      <c r="G1497" t="s">
        <v>93</v>
      </c>
      <c r="H1497" t="s">
        <v>94</v>
      </c>
      <c r="I1497" t="s">
        <v>752</v>
      </c>
      <c r="J1497" t="s">
        <v>135</v>
      </c>
      <c r="K1497">
        <v>1998</v>
      </c>
      <c r="L1497">
        <v>1998</v>
      </c>
      <c r="M1497">
        <v>3.2000000000000001E-2</v>
      </c>
      <c r="N1497">
        <v>1.0999999999999999E-2</v>
      </c>
      <c r="R1497" t="s">
        <v>97</v>
      </c>
      <c r="S1497" t="s">
        <v>8306</v>
      </c>
      <c r="T1497" t="b">
        <v>1</v>
      </c>
      <c r="U1497" t="s">
        <v>455</v>
      </c>
      <c r="V1497" t="s">
        <v>274</v>
      </c>
      <c r="W1497" t="s">
        <v>8307</v>
      </c>
      <c r="X1497" t="s">
        <v>47</v>
      </c>
      <c r="AA1497" t="s">
        <v>340</v>
      </c>
      <c r="AC1497" t="s">
        <v>341</v>
      </c>
      <c r="AD1497" t="b">
        <v>0</v>
      </c>
      <c r="AF1497">
        <v>1</v>
      </c>
      <c r="AG1497" t="s">
        <v>104</v>
      </c>
    </row>
    <row r="1498" spans="1:33" x14ac:dyDescent="0.2">
      <c r="A1498">
        <v>1091</v>
      </c>
      <c r="B1498" t="s">
        <v>8308</v>
      </c>
      <c r="C1498" t="s">
        <v>34</v>
      </c>
      <c r="D1498" t="s">
        <v>35</v>
      </c>
      <c r="E1498" t="s">
        <v>3469</v>
      </c>
      <c r="F1498" t="s">
        <v>3470</v>
      </c>
      <c r="G1498" t="s">
        <v>134</v>
      </c>
      <c r="H1498" t="s">
        <v>135</v>
      </c>
      <c r="I1498" t="s">
        <v>4740</v>
      </c>
      <c r="J1498" t="s">
        <v>4741</v>
      </c>
      <c r="K1498">
        <v>1948</v>
      </c>
      <c r="L1498">
        <v>1948</v>
      </c>
      <c r="M1498">
        <v>0.7</v>
      </c>
      <c r="N1498">
        <v>2.6589999999999998</v>
      </c>
      <c r="R1498" t="s">
        <v>42</v>
      </c>
      <c r="S1498" t="s">
        <v>8309</v>
      </c>
      <c r="T1498" t="b">
        <v>1</v>
      </c>
      <c r="U1498" t="s">
        <v>4109</v>
      </c>
      <c r="V1498" t="s">
        <v>3473</v>
      </c>
      <c r="W1498" t="s">
        <v>113</v>
      </c>
      <c r="X1498" t="s">
        <v>47</v>
      </c>
      <c r="AA1498" t="s">
        <v>8310</v>
      </c>
      <c r="AB1498" t="s">
        <v>313</v>
      </c>
      <c r="AC1498" t="s">
        <v>4745</v>
      </c>
      <c r="AD1498" t="b">
        <v>0</v>
      </c>
      <c r="AF1498">
        <v>11</v>
      </c>
      <c r="AG1498" t="s">
        <v>198</v>
      </c>
    </row>
    <row r="1499" spans="1:33" x14ac:dyDescent="0.2">
      <c r="A1499">
        <v>1217</v>
      </c>
      <c r="B1499" t="s">
        <v>8311</v>
      </c>
      <c r="C1499" t="s">
        <v>34</v>
      </c>
      <c r="D1499" t="s">
        <v>35</v>
      </c>
      <c r="E1499" t="s">
        <v>8312</v>
      </c>
      <c r="F1499" t="s">
        <v>8313</v>
      </c>
      <c r="G1499" t="s">
        <v>53</v>
      </c>
      <c r="H1499" t="s">
        <v>54</v>
      </c>
      <c r="I1499" t="s">
        <v>235</v>
      </c>
      <c r="J1499" t="s">
        <v>41</v>
      </c>
      <c r="K1499">
        <v>2006</v>
      </c>
      <c r="L1499">
        <v>2006</v>
      </c>
      <c r="M1499">
        <v>0.8</v>
      </c>
      <c r="N1499">
        <v>1.415</v>
      </c>
      <c r="O1499">
        <v>11.5</v>
      </c>
      <c r="P1499">
        <v>8</v>
      </c>
      <c r="Q1499">
        <v>2.8000000000000001E-2</v>
      </c>
      <c r="R1499" t="s">
        <v>84</v>
      </c>
      <c r="S1499" t="s">
        <v>8314</v>
      </c>
      <c r="T1499" t="b">
        <v>1</v>
      </c>
      <c r="U1499" t="s">
        <v>8315</v>
      </c>
      <c r="V1499" t="s">
        <v>8316</v>
      </c>
      <c r="W1499" t="s">
        <v>8317</v>
      </c>
      <c r="X1499" t="s">
        <v>47</v>
      </c>
      <c r="AA1499" t="s">
        <v>1000</v>
      </c>
      <c r="AC1499" t="s">
        <v>1001</v>
      </c>
      <c r="AD1499" t="b">
        <v>0</v>
      </c>
      <c r="AF1499">
        <v>5</v>
      </c>
      <c r="AG1499" t="s">
        <v>89</v>
      </c>
    </row>
    <row r="1500" spans="1:33" x14ac:dyDescent="0.2">
      <c r="A1500">
        <v>424</v>
      </c>
      <c r="B1500" t="s">
        <v>8318</v>
      </c>
      <c r="C1500" t="s">
        <v>34</v>
      </c>
      <c r="D1500" t="s">
        <v>35</v>
      </c>
      <c r="E1500" t="s">
        <v>4112</v>
      </c>
      <c r="F1500" t="s">
        <v>4113</v>
      </c>
      <c r="G1500" t="s">
        <v>242</v>
      </c>
      <c r="H1500" t="s">
        <v>243</v>
      </c>
      <c r="I1500" t="s">
        <v>2193</v>
      </c>
      <c r="J1500" t="s">
        <v>378</v>
      </c>
      <c r="K1500">
        <v>1967</v>
      </c>
      <c r="L1500">
        <v>1967</v>
      </c>
      <c r="M1500">
        <v>37</v>
      </c>
      <c r="N1500">
        <v>180.892</v>
      </c>
      <c r="O1500">
        <v>273.2</v>
      </c>
      <c r="P1500">
        <v>16</v>
      </c>
      <c r="Q1500">
        <v>0.625</v>
      </c>
      <c r="R1500" t="s">
        <v>72</v>
      </c>
      <c r="S1500" t="s">
        <v>8319</v>
      </c>
      <c r="T1500" t="b">
        <v>1</v>
      </c>
      <c r="U1500" t="s">
        <v>8320</v>
      </c>
      <c r="V1500" t="s">
        <v>4116</v>
      </c>
      <c r="W1500" t="s">
        <v>8321</v>
      </c>
      <c r="X1500" t="s">
        <v>47</v>
      </c>
      <c r="AA1500" t="s">
        <v>8318</v>
      </c>
      <c r="AB1500" t="s">
        <v>49</v>
      </c>
      <c r="AC1500" t="s">
        <v>8322</v>
      </c>
      <c r="AD1500" t="b">
        <v>0</v>
      </c>
      <c r="AF1500">
        <v>8</v>
      </c>
      <c r="AG1500" t="s">
        <v>78</v>
      </c>
    </row>
    <row r="1501" spans="1:33" x14ac:dyDescent="0.2">
      <c r="A1501">
        <v>1477</v>
      </c>
      <c r="B1501" t="s">
        <v>8323</v>
      </c>
      <c r="C1501" t="s">
        <v>34</v>
      </c>
      <c r="D1501" t="s">
        <v>35</v>
      </c>
      <c r="E1501" t="s">
        <v>168</v>
      </c>
      <c r="F1501" t="s">
        <v>169</v>
      </c>
      <c r="G1501" t="s">
        <v>134</v>
      </c>
      <c r="H1501" t="s">
        <v>135</v>
      </c>
      <c r="I1501" t="s">
        <v>2967</v>
      </c>
      <c r="J1501" t="s">
        <v>83</v>
      </c>
      <c r="K1501">
        <v>2011</v>
      </c>
      <c r="L1501">
        <v>2011</v>
      </c>
      <c r="M1501">
        <v>5.2</v>
      </c>
      <c r="N1501">
        <v>17.899999999999999</v>
      </c>
      <c r="O1501">
        <v>183.5</v>
      </c>
      <c r="P1501">
        <v>3.4</v>
      </c>
      <c r="Q1501">
        <v>0.442</v>
      </c>
      <c r="R1501" t="s">
        <v>42</v>
      </c>
      <c r="S1501" t="s">
        <v>8324</v>
      </c>
      <c r="T1501" t="b">
        <v>1</v>
      </c>
      <c r="U1501" t="s">
        <v>8325</v>
      </c>
      <c r="V1501" t="s">
        <v>174</v>
      </c>
      <c r="W1501" t="s">
        <v>8326</v>
      </c>
      <c r="X1501" t="s">
        <v>47</v>
      </c>
      <c r="AA1501" t="s">
        <v>8327</v>
      </c>
      <c r="AB1501" t="s">
        <v>49</v>
      </c>
      <c r="AC1501" t="s">
        <v>8328</v>
      </c>
      <c r="AD1501" t="b">
        <v>0</v>
      </c>
      <c r="AF1501">
        <v>10</v>
      </c>
      <c r="AG1501" t="s">
        <v>143</v>
      </c>
    </row>
    <row r="1502" spans="1:33" x14ac:dyDescent="0.2">
      <c r="A1502">
        <v>1178</v>
      </c>
      <c r="B1502" t="s">
        <v>8329</v>
      </c>
      <c r="C1502" t="s">
        <v>34</v>
      </c>
      <c r="D1502" t="s">
        <v>35</v>
      </c>
      <c r="G1502" t="s">
        <v>93</v>
      </c>
      <c r="H1502" t="s">
        <v>94</v>
      </c>
      <c r="I1502" t="s">
        <v>1603</v>
      </c>
      <c r="J1502" t="s">
        <v>148</v>
      </c>
      <c r="K1502">
        <v>1914</v>
      </c>
      <c r="L1502">
        <v>1949</v>
      </c>
      <c r="M1502">
        <v>0.02</v>
      </c>
      <c r="N1502">
        <v>0.104</v>
      </c>
      <c r="O1502">
        <v>120</v>
      </c>
      <c r="R1502" t="s">
        <v>97</v>
      </c>
      <c r="S1502" t="s">
        <v>8330</v>
      </c>
      <c r="T1502" t="b">
        <v>1</v>
      </c>
      <c r="U1502" t="s">
        <v>1869</v>
      </c>
      <c r="V1502" t="s">
        <v>274</v>
      </c>
      <c r="W1502" t="s">
        <v>113</v>
      </c>
      <c r="X1502" t="s">
        <v>47</v>
      </c>
      <c r="AA1502" t="s">
        <v>102</v>
      </c>
      <c r="AC1502" t="s">
        <v>103</v>
      </c>
      <c r="AD1502" t="b">
        <v>0</v>
      </c>
      <c r="AF1502">
        <v>1</v>
      </c>
      <c r="AG1502" t="s">
        <v>104</v>
      </c>
    </row>
    <row r="1503" spans="1:33" x14ac:dyDescent="0.2">
      <c r="A1503">
        <v>1916</v>
      </c>
      <c r="B1503" t="s">
        <v>8331</v>
      </c>
      <c r="C1503" t="s">
        <v>34</v>
      </c>
      <c r="D1503" t="s">
        <v>35</v>
      </c>
      <c r="E1503" t="s">
        <v>8332</v>
      </c>
      <c r="F1503" t="s">
        <v>8333</v>
      </c>
      <c r="G1503" t="s">
        <v>93</v>
      </c>
      <c r="H1503" t="s">
        <v>94</v>
      </c>
      <c r="I1503" t="s">
        <v>1967</v>
      </c>
      <c r="J1503" t="s">
        <v>1697</v>
      </c>
      <c r="K1503">
        <v>2017</v>
      </c>
      <c r="L1503">
        <v>2017</v>
      </c>
      <c r="M1503">
        <v>9</v>
      </c>
      <c r="N1503">
        <v>28.209</v>
      </c>
      <c r="O1503">
        <v>239</v>
      </c>
      <c r="P1503">
        <v>5.0999999999999996</v>
      </c>
      <c r="Q1503">
        <v>0.49</v>
      </c>
      <c r="R1503" t="s">
        <v>97</v>
      </c>
      <c r="S1503" t="s">
        <v>8334</v>
      </c>
      <c r="T1503" t="b">
        <v>1</v>
      </c>
      <c r="U1503" t="s">
        <v>599</v>
      </c>
      <c r="V1503" t="s">
        <v>8335</v>
      </c>
      <c r="W1503" t="s">
        <v>8336</v>
      </c>
      <c r="X1503" t="s">
        <v>47</v>
      </c>
      <c r="AA1503" t="s">
        <v>340</v>
      </c>
      <c r="AB1503" t="s">
        <v>5335</v>
      </c>
      <c r="AC1503" t="s">
        <v>341</v>
      </c>
      <c r="AD1503" t="b">
        <v>0</v>
      </c>
      <c r="AF1503">
        <v>1</v>
      </c>
      <c r="AG1503" t="s">
        <v>104</v>
      </c>
    </row>
    <row r="1504" spans="1:33" x14ac:dyDescent="0.2">
      <c r="A1504">
        <v>1444</v>
      </c>
      <c r="B1504" t="s">
        <v>8337</v>
      </c>
      <c r="C1504" t="s">
        <v>34</v>
      </c>
      <c r="D1504" t="s">
        <v>35</v>
      </c>
      <c r="E1504" t="s">
        <v>501</v>
      </c>
      <c r="F1504" t="s">
        <v>502</v>
      </c>
      <c r="G1504" t="s">
        <v>242</v>
      </c>
      <c r="H1504" t="s">
        <v>243</v>
      </c>
      <c r="I1504" t="s">
        <v>2625</v>
      </c>
      <c r="J1504" t="s">
        <v>2626</v>
      </c>
      <c r="K1504">
        <v>1921</v>
      </c>
      <c r="L1504">
        <v>1921</v>
      </c>
      <c r="M1504">
        <v>0.3</v>
      </c>
      <c r="N1504">
        <v>1.5129999999999999</v>
      </c>
      <c r="O1504">
        <v>9.4</v>
      </c>
      <c r="P1504">
        <v>4.3</v>
      </c>
      <c r="Q1504">
        <v>1.9E-2</v>
      </c>
      <c r="R1504" t="s">
        <v>72</v>
      </c>
      <c r="S1504" t="s">
        <v>8338</v>
      </c>
      <c r="T1504" t="b">
        <v>1</v>
      </c>
      <c r="U1504" t="s">
        <v>7339</v>
      </c>
      <c r="V1504" t="s">
        <v>507</v>
      </c>
      <c r="W1504" t="s">
        <v>113</v>
      </c>
      <c r="X1504" t="s">
        <v>47</v>
      </c>
      <c r="AA1504" t="s">
        <v>7471</v>
      </c>
      <c r="AB1504" t="s">
        <v>308</v>
      </c>
      <c r="AC1504" t="s">
        <v>7472</v>
      </c>
      <c r="AD1504" t="b">
        <v>0</v>
      </c>
      <c r="AF1504">
        <v>8</v>
      </c>
      <c r="AG1504" t="s">
        <v>78</v>
      </c>
    </row>
    <row r="1505" spans="1:33" x14ac:dyDescent="0.2">
      <c r="A1505">
        <v>1810</v>
      </c>
      <c r="B1505" t="s">
        <v>8339</v>
      </c>
      <c r="C1505" t="s">
        <v>34</v>
      </c>
      <c r="D1505" t="s">
        <v>35</v>
      </c>
      <c r="E1505" t="s">
        <v>168</v>
      </c>
      <c r="F1505" t="s">
        <v>169</v>
      </c>
      <c r="G1505" t="s">
        <v>53</v>
      </c>
      <c r="H1505" t="s">
        <v>54</v>
      </c>
      <c r="I1505" t="s">
        <v>1143</v>
      </c>
      <c r="J1505" t="s">
        <v>54</v>
      </c>
      <c r="K1505">
        <v>2016</v>
      </c>
      <c r="L1505">
        <v>2016</v>
      </c>
      <c r="M1505">
        <v>1.96</v>
      </c>
      <c r="N1505">
        <v>6.75</v>
      </c>
      <c r="O1505">
        <v>63</v>
      </c>
      <c r="P1505">
        <v>3.83</v>
      </c>
      <c r="Q1505">
        <v>0.13900000000000001</v>
      </c>
      <c r="R1505" t="s">
        <v>72</v>
      </c>
      <c r="S1505" t="s">
        <v>1494</v>
      </c>
      <c r="T1505" t="b">
        <v>1</v>
      </c>
      <c r="U1505" t="s">
        <v>8340</v>
      </c>
      <c r="V1505" t="s">
        <v>174</v>
      </c>
      <c r="W1505" t="s">
        <v>8341</v>
      </c>
      <c r="X1505" t="s">
        <v>47</v>
      </c>
      <c r="AA1505" t="s">
        <v>479</v>
      </c>
      <c r="AB1505" t="s">
        <v>177</v>
      </c>
      <c r="AC1505" t="s">
        <v>1148</v>
      </c>
      <c r="AD1505" t="b">
        <v>0</v>
      </c>
      <c r="AF1505">
        <v>13</v>
      </c>
      <c r="AG1505" t="s">
        <v>155</v>
      </c>
    </row>
    <row r="1506" spans="1:33" x14ac:dyDescent="0.2">
      <c r="A1506">
        <v>1883</v>
      </c>
      <c r="B1506" t="s">
        <v>8342</v>
      </c>
      <c r="C1506" t="s">
        <v>34</v>
      </c>
      <c r="D1506" t="s">
        <v>35</v>
      </c>
      <c r="E1506" t="s">
        <v>1913</v>
      </c>
      <c r="F1506" t="s">
        <v>1914</v>
      </c>
      <c r="G1506" t="s">
        <v>93</v>
      </c>
      <c r="H1506" t="s">
        <v>94</v>
      </c>
      <c r="I1506" t="s">
        <v>7211</v>
      </c>
      <c r="J1506" t="s">
        <v>171</v>
      </c>
      <c r="K1506">
        <v>2016</v>
      </c>
      <c r="L1506">
        <v>2016</v>
      </c>
      <c r="M1506">
        <v>5.35</v>
      </c>
      <c r="N1506">
        <v>13.776</v>
      </c>
      <c r="O1506">
        <v>63.5</v>
      </c>
      <c r="P1506">
        <v>10</v>
      </c>
      <c r="Q1506">
        <v>0.14899999999999999</v>
      </c>
      <c r="R1506" t="s">
        <v>97</v>
      </c>
      <c r="S1506" t="s">
        <v>8343</v>
      </c>
      <c r="T1506" t="b">
        <v>1</v>
      </c>
      <c r="U1506" t="s">
        <v>8344</v>
      </c>
      <c r="V1506" t="s">
        <v>1918</v>
      </c>
      <c r="W1506" t="s">
        <v>8345</v>
      </c>
      <c r="X1506" t="s">
        <v>47</v>
      </c>
      <c r="AA1506" t="s">
        <v>340</v>
      </c>
      <c r="AB1506" t="s">
        <v>8346</v>
      </c>
      <c r="AC1506" t="s">
        <v>341</v>
      </c>
      <c r="AD1506" t="b">
        <v>0</v>
      </c>
      <c r="AF1506">
        <v>1</v>
      </c>
      <c r="AG1506" t="s">
        <v>104</v>
      </c>
    </row>
    <row r="1507" spans="1:33" x14ac:dyDescent="0.2">
      <c r="A1507">
        <v>1422</v>
      </c>
      <c r="B1507" t="s">
        <v>8347</v>
      </c>
      <c r="C1507" t="s">
        <v>34</v>
      </c>
      <c r="D1507" t="s">
        <v>35</v>
      </c>
      <c r="E1507" t="s">
        <v>1525</v>
      </c>
      <c r="F1507" t="s">
        <v>1526</v>
      </c>
      <c r="G1507" t="s">
        <v>213</v>
      </c>
      <c r="H1507" t="s">
        <v>83</v>
      </c>
      <c r="I1507" t="s">
        <v>1527</v>
      </c>
      <c r="J1507" t="s">
        <v>245</v>
      </c>
      <c r="K1507">
        <v>2008</v>
      </c>
      <c r="L1507">
        <v>2008</v>
      </c>
      <c r="M1507">
        <v>212.4</v>
      </c>
      <c r="N1507">
        <v>1032.05</v>
      </c>
      <c r="O1507">
        <v>550</v>
      </c>
      <c r="P1507">
        <v>42</v>
      </c>
      <c r="Q1507">
        <v>1.405</v>
      </c>
      <c r="R1507" t="s">
        <v>84</v>
      </c>
      <c r="S1507" t="s">
        <v>8348</v>
      </c>
      <c r="T1507" t="b">
        <v>1</v>
      </c>
      <c r="U1507" t="s">
        <v>8349</v>
      </c>
      <c r="V1507" t="s">
        <v>8350</v>
      </c>
      <c r="W1507" t="s">
        <v>8351</v>
      </c>
      <c r="X1507" t="s">
        <v>47</v>
      </c>
      <c r="AA1507" t="s">
        <v>1532</v>
      </c>
      <c r="AB1507" t="s">
        <v>177</v>
      </c>
      <c r="AC1507" t="s">
        <v>1533</v>
      </c>
      <c r="AD1507" t="b">
        <v>0</v>
      </c>
      <c r="AF1507">
        <v>5</v>
      </c>
      <c r="AG1507" t="s">
        <v>89</v>
      </c>
    </row>
    <row r="1508" spans="1:33" x14ac:dyDescent="0.2">
      <c r="A1508">
        <v>1421</v>
      </c>
      <c r="B1508" t="s">
        <v>8352</v>
      </c>
      <c r="C1508" t="s">
        <v>34</v>
      </c>
      <c r="D1508" t="s">
        <v>35</v>
      </c>
      <c r="E1508" t="s">
        <v>1525</v>
      </c>
      <c r="F1508" t="s">
        <v>1526</v>
      </c>
      <c r="G1508" t="s">
        <v>213</v>
      </c>
      <c r="H1508" t="s">
        <v>83</v>
      </c>
      <c r="I1508" t="s">
        <v>1527</v>
      </c>
      <c r="J1508" t="s">
        <v>245</v>
      </c>
      <c r="K1508">
        <v>2008</v>
      </c>
      <c r="L1508">
        <v>2008</v>
      </c>
      <c r="M1508">
        <v>62.5</v>
      </c>
      <c r="N1508">
        <v>307.637</v>
      </c>
      <c r="O1508">
        <v>253</v>
      </c>
      <c r="P1508">
        <v>27.5</v>
      </c>
      <c r="Q1508">
        <v>0.629</v>
      </c>
      <c r="R1508" t="s">
        <v>84</v>
      </c>
      <c r="S1508" t="s">
        <v>8348</v>
      </c>
      <c r="T1508" t="b">
        <v>1</v>
      </c>
      <c r="U1508" t="s">
        <v>8349</v>
      </c>
      <c r="V1508" t="s">
        <v>1530</v>
      </c>
      <c r="W1508" t="s">
        <v>1531</v>
      </c>
      <c r="X1508" t="s">
        <v>47</v>
      </c>
      <c r="AA1508" t="s">
        <v>1532</v>
      </c>
      <c r="AB1508" t="s">
        <v>49</v>
      </c>
      <c r="AC1508" t="s">
        <v>1533</v>
      </c>
      <c r="AD1508" t="b">
        <v>0</v>
      </c>
      <c r="AF1508">
        <v>5</v>
      </c>
      <c r="AG1508" t="s">
        <v>89</v>
      </c>
    </row>
    <row r="1509" spans="1:33" x14ac:dyDescent="0.2">
      <c r="A1509">
        <v>1613</v>
      </c>
      <c r="B1509" t="s">
        <v>8353</v>
      </c>
      <c r="C1509" t="s">
        <v>34</v>
      </c>
      <c r="D1509" t="s">
        <v>35</v>
      </c>
      <c r="E1509" t="s">
        <v>1708</v>
      </c>
      <c r="F1509" t="s">
        <v>1709</v>
      </c>
      <c r="G1509" t="s">
        <v>224</v>
      </c>
      <c r="H1509" t="s">
        <v>225</v>
      </c>
      <c r="I1509" t="s">
        <v>1710</v>
      </c>
      <c r="J1509" t="s">
        <v>1077</v>
      </c>
      <c r="K1509">
        <v>2010</v>
      </c>
      <c r="L1509">
        <v>2010</v>
      </c>
      <c r="M1509">
        <v>0.1</v>
      </c>
      <c r="N1509">
        <v>0.437</v>
      </c>
      <c r="O1509">
        <v>197.2</v>
      </c>
      <c r="P1509">
        <v>0.06</v>
      </c>
      <c r="Q1509">
        <v>0.46300000000000002</v>
      </c>
      <c r="R1509" t="s">
        <v>97</v>
      </c>
      <c r="S1509" t="s">
        <v>2692</v>
      </c>
      <c r="T1509" t="b">
        <v>1</v>
      </c>
      <c r="U1509" t="s">
        <v>8354</v>
      </c>
      <c r="V1509" t="s">
        <v>1712</v>
      </c>
      <c r="W1509" t="s">
        <v>8355</v>
      </c>
      <c r="X1509" t="s">
        <v>47</v>
      </c>
      <c r="AA1509" t="s">
        <v>102</v>
      </c>
      <c r="AC1509" t="s">
        <v>103</v>
      </c>
      <c r="AD1509" t="b">
        <v>0</v>
      </c>
      <c r="AF1509">
        <v>1</v>
      </c>
      <c r="AG1509" t="s">
        <v>104</v>
      </c>
    </row>
    <row r="1510" spans="1:33" x14ac:dyDescent="0.2">
      <c r="A1510">
        <v>425</v>
      </c>
      <c r="B1510" t="s">
        <v>8356</v>
      </c>
      <c r="C1510" t="s">
        <v>34</v>
      </c>
      <c r="D1510" t="s">
        <v>35</v>
      </c>
      <c r="E1510" t="s">
        <v>682</v>
      </c>
      <c r="F1510" t="s">
        <v>683</v>
      </c>
      <c r="G1510" t="s">
        <v>68</v>
      </c>
      <c r="H1510" t="s">
        <v>69</v>
      </c>
      <c r="I1510" t="s">
        <v>597</v>
      </c>
      <c r="J1510" t="s">
        <v>83</v>
      </c>
      <c r="K1510">
        <v>1951</v>
      </c>
      <c r="L1510">
        <v>1951</v>
      </c>
      <c r="M1510">
        <v>9.5</v>
      </c>
      <c r="N1510">
        <v>41.817999999999998</v>
      </c>
      <c r="O1510">
        <v>369</v>
      </c>
      <c r="P1510">
        <v>2.2999999999999998</v>
      </c>
      <c r="Q1510">
        <v>0.88200000000000001</v>
      </c>
      <c r="R1510" t="s">
        <v>72</v>
      </c>
      <c r="S1510" t="s">
        <v>8357</v>
      </c>
      <c r="T1510" t="b">
        <v>1</v>
      </c>
      <c r="U1510" t="s">
        <v>4381</v>
      </c>
      <c r="V1510" t="s">
        <v>2754</v>
      </c>
      <c r="W1510" t="s">
        <v>8358</v>
      </c>
      <c r="X1510" t="s">
        <v>47</v>
      </c>
      <c r="AA1510" t="s">
        <v>8359</v>
      </c>
      <c r="AB1510" t="s">
        <v>49</v>
      </c>
      <c r="AC1510" t="s">
        <v>8360</v>
      </c>
      <c r="AD1510" t="b">
        <v>0</v>
      </c>
      <c r="AF1510">
        <v>13</v>
      </c>
      <c r="AG1510" t="s">
        <v>155</v>
      </c>
    </row>
    <row r="1511" spans="1:33" x14ac:dyDescent="0.2">
      <c r="A1511">
        <v>1505</v>
      </c>
      <c r="B1511" t="s">
        <v>8361</v>
      </c>
      <c r="C1511" t="s">
        <v>34</v>
      </c>
      <c r="D1511" t="s">
        <v>35</v>
      </c>
      <c r="E1511" t="s">
        <v>8362</v>
      </c>
      <c r="F1511" t="s">
        <v>8363</v>
      </c>
      <c r="G1511" t="s">
        <v>53</v>
      </c>
      <c r="H1511" t="s">
        <v>54</v>
      </c>
      <c r="I1511" t="s">
        <v>2244</v>
      </c>
      <c r="J1511" t="s">
        <v>1077</v>
      </c>
      <c r="K1511">
        <v>2009</v>
      </c>
      <c r="L1511">
        <v>2009</v>
      </c>
      <c r="M1511">
        <v>0.55000000000000004</v>
      </c>
      <c r="N1511">
        <v>1.8759999999999999</v>
      </c>
      <c r="O1511">
        <v>132</v>
      </c>
      <c r="P1511">
        <v>0.55700000000000005</v>
      </c>
      <c r="Q1511">
        <v>0.27400000000000002</v>
      </c>
      <c r="R1511" t="s">
        <v>84</v>
      </c>
      <c r="S1511" t="s">
        <v>8364</v>
      </c>
      <c r="T1511" t="b">
        <v>1</v>
      </c>
      <c r="U1511" t="s">
        <v>3736</v>
      </c>
      <c r="V1511" t="s">
        <v>8365</v>
      </c>
      <c r="W1511" t="s">
        <v>8366</v>
      </c>
      <c r="X1511" t="s">
        <v>47</v>
      </c>
      <c r="AA1511" t="s">
        <v>2248</v>
      </c>
      <c r="AC1511" t="s">
        <v>63</v>
      </c>
      <c r="AD1511" t="b">
        <v>0</v>
      </c>
      <c r="AF1511">
        <v>5</v>
      </c>
      <c r="AG1511" t="s">
        <v>89</v>
      </c>
    </row>
    <row r="1512" spans="1:33" x14ac:dyDescent="0.2">
      <c r="A1512">
        <v>1322</v>
      </c>
      <c r="B1512" t="s">
        <v>8367</v>
      </c>
      <c r="C1512" t="s">
        <v>34</v>
      </c>
      <c r="D1512" t="s">
        <v>35</v>
      </c>
      <c r="E1512" t="s">
        <v>943</v>
      </c>
      <c r="F1512" t="s">
        <v>944</v>
      </c>
      <c r="G1512" t="s">
        <v>53</v>
      </c>
      <c r="H1512" t="s">
        <v>54</v>
      </c>
      <c r="I1512" t="s">
        <v>170</v>
      </c>
      <c r="J1512" t="s">
        <v>171</v>
      </c>
      <c r="K1512">
        <v>2008</v>
      </c>
      <c r="L1512">
        <v>2008</v>
      </c>
      <c r="M1512">
        <v>1.1499999999999999</v>
      </c>
      <c r="N1512">
        <v>3.0470000000000002</v>
      </c>
      <c r="O1512">
        <v>45</v>
      </c>
      <c r="P1512">
        <v>3.1</v>
      </c>
      <c r="Q1512">
        <v>0.10299999999999999</v>
      </c>
      <c r="R1512" t="s">
        <v>57</v>
      </c>
      <c r="S1512" t="s">
        <v>8368</v>
      </c>
      <c r="T1512" t="b">
        <v>1</v>
      </c>
      <c r="U1512" t="s">
        <v>8369</v>
      </c>
      <c r="V1512" t="s">
        <v>947</v>
      </c>
      <c r="W1512" t="s">
        <v>8370</v>
      </c>
      <c r="X1512" t="s">
        <v>47</v>
      </c>
      <c r="AA1512" t="s">
        <v>949</v>
      </c>
      <c r="AC1512" t="s">
        <v>950</v>
      </c>
      <c r="AD1512" t="b">
        <v>0</v>
      </c>
      <c r="AF1512">
        <v>6</v>
      </c>
      <c r="AG1512" t="s">
        <v>64</v>
      </c>
    </row>
    <row r="1513" spans="1:33" x14ac:dyDescent="0.2">
      <c r="A1513">
        <v>1860</v>
      </c>
      <c r="B1513" t="s">
        <v>8367</v>
      </c>
      <c r="C1513" t="s">
        <v>34</v>
      </c>
      <c r="D1513" t="s">
        <v>35</v>
      </c>
      <c r="E1513" t="s">
        <v>168</v>
      </c>
      <c r="F1513" t="s">
        <v>169</v>
      </c>
      <c r="G1513" t="s">
        <v>68</v>
      </c>
      <c r="H1513" t="s">
        <v>69</v>
      </c>
      <c r="I1513" t="s">
        <v>597</v>
      </c>
      <c r="J1513" t="s">
        <v>83</v>
      </c>
      <c r="K1513">
        <v>2017</v>
      </c>
      <c r="L1513">
        <v>2017</v>
      </c>
      <c r="M1513">
        <v>2.7</v>
      </c>
      <c r="N1513">
        <v>6.21</v>
      </c>
      <c r="O1513">
        <v>181.67</v>
      </c>
      <c r="P1513">
        <v>1.74</v>
      </c>
      <c r="Q1513">
        <v>0.43099999999999999</v>
      </c>
      <c r="R1513" t="s">
        <v>72</v>
      </c>
      <c r="S1513" t="s">
        <v>8371</v>
      </c>
      <c r="T1513" t="b">
        <v>1</v>
      </c>
      <c r="U1513" t="s">
        <v>8372</v>
      </c>
      <c r="V1513" t="s">
        <v>174</v>
      </c>
      <c r="W1513" t="s">
        <v>8373</v>
      </c>
      <c r="X1513" t="s">
        <v>47</v>
      </c>
      <c r="AA1513" t="s">
        <v>1463</v>
      </c>
      <c r="AB1513" t="s">
        <v>49</v>
      </c>
      <c r="AC1513" t="s">
        <v>8374</v>
      </c>
      <c r="AD1513" t="b">
        <v>0</v>
      </c>
      <c r="AF1513">
        <v>13</v>
      </c>
      <c r="AG1513" t="s">
        <v>155</v>
      </c>
    </row>
    <row r="1514" spans="1:33" x14ac:dyDescent="0.2">
      <c r="A1514">
        <v>427</v>
      </c>
      <c r="B1514" t="s">
        <v>8375</v>
      </c>
      <c r="C1514" t="s">
        <v>34</v>
      </c>
      <c r="D1514" t="s">
        <v>35</v>
      </c>
      <c r="E1514" t="s">
        <v>2350</v>
      </c>
      <c r="F1514" t="s">
        <v>2351</v>
      </c>
      <c r="G1514" t="s">
        <v>134</v>
      </c>
      <c r="H1514" t="s">
        <v>135</v>
      </c>
      <c r="I1514" t="s">
        <v>6701</v>
      </c>
      <c r="J1514" t="s">
        <v>1062</v>
      </c>
      <c r="K1514">
        <v>1983</v>
      </c>
      <c r="L1514">
        <v>1983</v>
      </c>
      <c r="M1514">
        <v>75</v>
      </c>
      <c r="N1514">
        <v>301.47800000000001</v>
      </c>
      <c r="O1514">
        <v>486</v>
      </c>
      <c r="P1514">
        <v>16</v>
      </c>
      <c r="Q1514">
        <v>1.1459999999999999</v>
      </c>
      <c r="R1514" t="s">
        <v>42</v>
      </c>
      <c r="S1514" t="s">
        <v>8376</v>
      </c>
      <c r="T1514" t="b">
        <v>1</v>
      </c>
      <c r="U1514" t="s">
        <v>8377</v>
      </c>
      <c r="V1514" t="s">
        <v>6368</v>
      </c>
      <c r="W1514" t="s">
        <v>8378</v>
      </c>
      <c r="X1514" t="s">
        <v>47</v>
      </c>
      <c r="AA1514" t="s">
        <v>6111</v>
      </c>
      <c r="AB1514" t="s">
        <v>49</v>
      </c>
      <c r="AC1514" t="s">
        <v>8379</v>
      </c>
      <c r="AD1514" t="b">
        <v>0</v>
      </c>
      <c r="AF1514">
        <v>11</v>
      </c>
      <c r="AG1514" t="s">
        <v>198</v>
      </c>
    </row>
    <row r="1515" spans="1:33" x14ac:dyDescent="0.2">
      <c r="A1515">
        <v>428</v>
      </c>
      <c r="B1515" t="s">
        <v>8380</v>
      </c>
      <c r="C1515" t="s">
        <v>34</v>
      </c>
      <c r="D1515" t="s">
        <v>35</v>
      </c>
      <c r="E1515" t="s">
        <v>180</v>
      </c>
      <c r="F1515" t="s">
        <v>181</v>
      </c>
      <c r="G1515" t="s">
        <v>134</v>
      </c>
      <c r="H1515" t="s">
        <v>135</v>
      </c>
      <c r="I1515" t="s">
        <v>6701</v>
      </c>
      <c r="J1515" t="s">
        <v>1062</v>
      </c>
      <c r="K1515">
        <v>1983</v>
      </c>
      <c r="L1515">
        <v>1983</v>
      </c>
      <c r="M1515">
        <v>4</v>
      </c>
      <c r="N1515">
        <v>12.404</v>
      </c>
      <c r="O1515">
        <v>60.5</v>
      </c>
      <c r="P1515">
        <v>8.1</v>
      </c>
      <c r="Q1515">
        <v>0.13600000000000001</v>
      </c>
      <c r="R1515" t="s">
        <v>42</v>
      </c>
      <c r="S1515" t="s">
        <v>8376</v>
      </c>
      <c r="T1515" t="b">
        <v>1</v>
      </c>
      <c r="U1515" t="s">
        <v>3994</v>
      </c>
      <c r="V1515" t="s">
        <v>185</v>
      </c>
      <c r="W1515" t="s">
        <v>8381</v>
      </c>
      <c r="X1515" t="s">
        <v>47</v>
      </c>
      <c r="AA1515" t="s">
        <v>6111</v>
      </c>
      <c r="AB1515" t="s">
        <v>177</v>
      </c>
      <c r="AC1515" t="s">
        <v>8379</v>
      </c>
      <c r="AD1515" t="b">
        <v>0</v>
      </c>
      <c r="AF1515">
        <v>11</v>
      </c>
      <c r="AG1515" t="s">
        <v>198</v>
      </c>
    </row>
    <row r="1516" spans="1:33" x14ac:dyDescent="0.2">
      <c r="A1516">
        <v>851</v>
      </c>
      <c r="B1516" t="s">
        <v>8382</v>
      </c>
      <c r="C1516" t="s">
        <v>34</v>
      </c>
      <c r="D1516" t="s">
        <v>35</v>
      </c>
      <c r="E1516" t="s">
        <v>8383</v>
      </c>
      <c r="F1516" t="s">
        <v>8384</v>
      </c>
      <c r="G1516" t="s">
        <v>377</v>
      </c>
      <c r="H1516" t="s">
        <v>378</v>
      </c>
      <c r="I1516" t="s">
        <v>5953</v>
      </c>
      <c r="J1516" t="s">
        <v>171</v>
      </c>
      <c r="K1516">
        <v>1988</v>
      </c>
      <c r="L1516">
        <v>1988</v>
      </c>
      <c r="M1516">
        <v>0.7</v>
      </c>
      <c r="N1516">
        <v>2.2229999999999999</v>
      </c>
      <c r="R1516" t="s">
        <v>42</v>
      </c>
      <c r="S1516" t="s">
        <v>8385</v>
      </c>
      <c r="T1516" t="b">
        <v>1</v>
      </c>
      <c r="U1516" t="s">
        <v>1059</v>
      </c>
      <c r="V1516" t="s">
        <v>8386</v>
      </c>
      <c r="W1516" t="s">
        <v>113</v>
      </c>
      <c r="X1516" t="s">
        <v>47</v>
      </c>
      <c r="AA1516" t="s">
        <v>479</v>
      </c>
      <c r="AC1516" t="s">
        <v>63</v>
      </c>
      <c r="AD1516" t="b">
        <v>0</v>
      </c>
      <c r="AF1516">
        <v>11</v>
      </c>
      <c r="AG1516" t="s">
        <v>198</v>
      </c>
    </row>
    <row r="1517" spans="1:33" x14ac:dyDescent="0.2">
      <c r="A1517">
        <v>594</v>
      </c>
      <c r="B1517" t="s">
        <v>8387</v>
      </c>
      <c r="C1517" t="s">
        <v>34</v>
      </c>
      <c r="D1517" t="s">
        <v>35</v>
      </c>
      <c r="E1517" t="s">
        <v>2350</v>
      </c>
      <c r="F1517" t="s">
        <v>2351</v>
      </c>
      <c r="G1517" t="s">
        <v>377</v>
      </c>
      <c r="H1517" t="s">
        <v>378</v>
      </c>
      <c r="I1517" t="s">
        <v>6259</v>
      </c>
      <c r="J1517" t="s">
        <v>337</v>
      </c>
      <c r="K1517">
        <v>1985</v>
      </c>
      <c r="L1517">
        <v>1985</v>
      </c>
      <c r="M1517">
        <v>1.1000000000000001</v>
      </c>
      <c r="N1517">
        <v>5.6040000000000001</v>
      </c>
      <c r="O1517">
        <v>155</v>
      </c>
      <c r="P1517">
        <v>0.8</v>
      </c>
      <c r="Q1517">
        <v>0.38100000000000001</v>
      </c>
      <c r="R1517" t="s">
        <v>42</v>
      </c>
      <c r="S1517" t="s">
        <v>8388</v>
      </c>
      <c r="T1517" t="b">
        <v>1</v>
      </c>
      <c r="U1517" t="s">
        <v>8389</v>
      </c>
      <c r="V1517" t="s">
        <v>2355</v>
      </c>
      <c r="W1517" t="s">
        <v>8390</v>
      </c>
      <c r="X1517" t="s">
        <v>47</v>
      </c>
      <c r="AA1517" t="s">
        <v>479</v>
      </c>
      <c r="AB1517" t="s">
        <v>49</v>
      </c>
      <c r="AC1517" t="s">
        <v>8391</v>
      </c>
      <c r="AD1517" t="b">
        <v>0</v>
      </c>
      <c r="AF1517">
        <v>11</v>
      </c>
      <c r="AG1517" t="s">
        <v>198</v>
      </c>
    </row>
    <row r="1518" spans="1:33" x14ac:dyDescent="0.2">
      <c r="A1518">
        <v>993</v>
      </c>
      <c r="B1518" t="s">
        <v>8392</v>
      </c>
      <c r="C1518" t="s">
        <v>34</v>
      </c>
      <c r="D1518" t="s">
        <v>35</v>
      </c>
      <c r="G1518" t="s">
        <v>242</v>
      </c>
      <c r="H1518" t="s">
        <v>243</v>
      </c>
      <c r="I1518" t="s">
        <v>6510</v>
      </c>
      <c r="J1518" t="s">
        <v>71</v>
      </c>
      <c r="K1518">
        <v>2003</v>
      </c>
      <c r="L1518">
        <v>2003</v>
      </c>
      <c r="M1518">
        <v>7.4999999999999997E-3</v>
      </c>
      <c r="N1518">
        <v>0.02</v>
      </c>
      <c r="R1518" t="s">
        <v>72</v>
      </c>
      <c r="S1518" t="s">
        <v>8393</v>
      </c>
      <c r="T1518" t="b">
        <v>1</v>
      </c>
      <c r="U1518" t="s">
        <v>2246</v>
      </c>
      <c r="V1518" t="s">
        <v>274</v>
      </c>
      <c r="W1518" t="s">
        <v>8394</v>
      </c>
      <c r="X1518" t="s">
        <v>47</v>
      </c>
      <c r="AA1518" t="s">
        <v>7442</v>
      </c>
      <c r="AC1518" t="s">
        <v>63</v>
      </c>
      <c r="AD1518" t="b">
        <v>0</v>
      </c>
      <c r="AF1518">
        <v>9</v>
      </c>
      <c r="AG1518" t="s">
        <v>251</v>
      </c>
    </row>
    <row r="1519" spans="1:33" x14ac:dyDescent="0.2">
      <c r="A1519">
        <v>1261</v>
      </c>
      <c r="B1519" t="s">
        <v>8395</v>
      </c>
      <c r="C1519" t="s">
        <v>34</v>
      </c>
      <c r="D1519" t="s">
        <v>35</v>
      </c>
      <c r="G1519" t="s">
        <v>503</v>
      </c>
      <c r="H1519" t="s">
        <v>462</v>
      </c>
      <c r="I1519" t="s">
        <v>504</v>
      </c>
      <c r="J1519" t="s">
        <v>109</v>
      </c>
      <c r="K1519">
        <v>2000</v>
      </c>
      <c r="L1519">
        <v>2000</v>
      </c>
      <c r="M1519">
        <v>3.5000000000000003E-2</v>
      </c>
      <c r="N1519">
        <v>0.104</v>
      </c>
      <c r="R1519" t="s">
        <v>84</v>
      </c>
      <c r="S1519" t="s">
        <v>5782</v>
      </c>
      <c r="T1519" t="b">
        <v>1</v>
      </c>
      <c r="U1519" t="s">
        <v>754</v>
      </c>
      <c r="V1519" t="s">
        <v>274</v>
      </c>
      <c r="W1519" t="s">
        <v>8396</v>
      </c>
      <c r="X1519" t="s">
        <v>47</v>
      </c>
      <c r="AA1519" t="s">
        <v>509</v>
      </c>
      <c r="AC1519" t="s">
        <v>63</v>
      </c>
      <c r="AD1519" t="b">
        <v>0</v>
      </c>
      <c r="AF1519">
        <v>3</v>
      </c>
      <c r="AG1519" t="s">
        <v>332</v>
      </c>
    </row>
    <row r="1520" spans="1:33" x14ac:dyDescent="0.2">
      <c r="A1520">
        <v>1938</v>
      </c>
      <c r="B1520" t="s">
        <v>8397</v>
      </c>
      <c r="C1520" t="s">
        <v>34</v>
      </c>
      <c r="D1520" t="s">
        <v>35</v>
      </c>
      <c r="E1520" t="s">
        <v>8398</v>
      </c>
      <c r="F1520" t="s">
        <v>8399</v>
      </c>
      <c r="G1520" t="s">
        <v>312</v>
      </c>
      <c r="H1520" t="s">
        <v>313</v>
      </c>
      <c r="I1520" t="s">
        <v>314</v>
      </c>
      <c r="J1520" t="s">
        <v>71</v>
      </c>
      <c r="K1520">
        <v>2019</v>
      </c>
      <c r="L1520">
        <v>2019</v>
      </c>
      <c r="M1520">
        <v>7.7</v>
      </c>
      <c r="N1520">
        <v>21.03</v>
      </c>
      <c r="O1520">
        <v>235</v>
      </c>
      <c r="P1520">
        <v>4</v>
      </c>
      <c r="Q1520">
        <v>0.53500000000000003</v>
      </c>
      <c r="R1520" t="s">
        <v>84</v>
      </c>
      <c r="S1520" t="s">
        <v>8400</v>
      </c>
      <c r="T1520" t="b">
        <v>1</v>
      </c>
      <c r="U1520" t="s">
        <v>8401</v>
      </c>
      <c r="V1520" t="s">
        <v>8402</v>
      </c>
      <c r="W1520" t="s">
        <v>8403</v>
      </c>
      <c r="X1520" t="s">
        <v>47</v>
      </c>
      <c r="AA1520" t="s">
        <v>319</v>
      </c>
      <c r="AB1520" t="s">
        <v>612</v>
      </c>
      <c r="AC1520" t="s">
        <v>320</v>
      </c>
      <c r="AD1520" t="b">
        <v>0</v>
      </c>
      <c r="AF1520">
        <v>4</v>
      </c>
      <c r="AG1520" t="s">
        <v>321</v>
      </c>
    </row>
    <row r="1521" spans="1:33" x14ac:dyDescent="0.2">
      <c r="A1521">
        <v>1073</v>
      </c>
      <c r="B1521" t="s">
        <v>8404</v>
      </c>
      <c r="C1521" t="s">
        <v>34</v>
      </c>
      <c r="D1521" t="s">
        <v>35</v>
      </c>
      <c r="E1521" t="s">
        <v>8405</v>
      </c>
      <c r="F1521" t="s">
        <v>8406</v>
      </c>
      <c r="G1521" t="s">
        <v>242</v>
      </c>
      <c r="H1521" t="s">
        <v>243</v>
      </c>
      <c r="I1521" t="s">
        <v>8407</v>
      </c>
      <c r="J1521" t="s">
        <v>160</v>
      </c>
      <c r="K1521">
        <v>2005</v>
      </c>
      <c r="L1521">
        <v>2005</v>
      </c>
      <c r="M1521">
        <v>0.09</v>
      </c>
      <c r="N1521">
        <v>0.20899999999999999</v>
      </c>
      <c r="R1521" t="s">
        <v>72</v>
      </c>
      <c r="S1521" t="s">
        <v>8408</v>
      </c>
      <c r="T1521" t="b">
        <v>1</v>
      </c>
      <c r="U1521" t="s">
        <v>237</v>
      </c>
      <c r="V1521" t="s">
        <v>8409</v>
      </c>
      <c r="W1521" t="s">
        <v>8410</v>
      </c>
      <c r="X1521" t="s">
        <v>47</v>
      </c>
      <c r="AA1521" t="s">
        <v>8411</v>
      </c>
      <c r="AC1521" t="s">
        <v>63</v>
      </c>
      <c r="AD1521" t="b">
        <v>0</v>
      </c>
      <c r="AF1521">
        <v>9</v>
      </c>
      <c r="AG1521" t="s">
        <v>251</v>
      </c>
    </row>
    <row r="1522" spans="1:33" x14ac:dyDescent="0.2">
      <c r="A1522">
        <v>429</v>
      </c>
      <c r="B1522" t="s">
        <v>8412</v>
      </c>
      <c r="C1522" t="s">
        <v>34</v>
      </c>
      <c r="D1522" t="s">
        <v>35</v>
      </c>
      <c r="E1522" t="s">
        <v>2170</v>
      </c>
      <c r="F1522" t="s">
        <v>2171</v>
      </c>
      <c r="G1522" t="s">
        <v>503</v>
      </c>
      <c r="H1522" t="s">
        <v>462</v>
      </c>
      <c r="I1522" t="s">
        <v>2564</v>
      </c>
      <c r="J1522" t="s">
        <v>262</v>
      </c>
      <c r="K1522">
        <v>1915</v>
      </c>
      <c r="L1522">
        <v>1959</v>
      </c>
      <c r="M1522">
        <v>189</v>
      </c>
      <c r="N1522">
        <v>1121.3599999999999</v>
      </c>
      <c r="O1522">
        <v>273</v>
      </c>
      <c r="P1522">
        <v>76.400000000000006</v>
      </c>
      <c r="Q1522">
        <v>0.68600000000000005</v>
      </c>
      <c r="R1522" t="s">
        <v>84</v>
      </c>
      <c r="S1522" t="s">
        <v>5761</v>
      </c>
      <c r="T1522" t="b">
        <v>1</v>
      </c>
      <c r="U1522" t="s">
        <v>6102</v>
      </c>
      <c r="V1522" t="s">
        <v>2567</v>
      </c>
      <c r="W1522" t="s">
        <v>113</v>
      </c>
      <c r="X1522" t="s">
        <v>47</v>
      </c>
      <c r="AA1522" t="s">
        <v>583</v>
      </c>
      <c r="AB1522" t="s">
        <v>94</v>
      </c>
      <c r="AC1522" t="s">
        <v>585</v>
      </c>
      <c r="AD1522" t="b">
        <v>0</v>
      </c>
      <c r="AF1522">
        <v>3</v>
      </c>
      <c r="AG1522" t="s">
        <v>332</v>
      </c>
    </row>
    <row r="1523" spans="1:33" x14ac:dyDescent="0.2">
      <c r="A1523">
        <v>430</v>
      </c>
      <c r="B1523" t="s">
        <v>8413</v>
      </c>
      <c r="C1523" t="s">
        <v>34</v>
      </c>
      <c r="D1523" t="s">
        <v>35</v>
      </c>
      <c r="E1523" t="s">
        <v>1739</v>
      </c>
      <c r="F1523" t="s">
        <v>1740</v>
      </c>
      <c r="G1523" t="s">
        <v>68</v>
      </c>
      <c r="H1523" t="s">
        <v>69</v>
      </c>
      <c r="I1523" t="s">
        <v>1741</v>
      </c>
      <c r="J1523" t="s">
        <v>1742</v>
      </c>
      <c r="K1523">
        <v>1923</v>
      </c>
      <c r="L1523">
        <v>1989</v>
      </c>
      <c r="M1523">
        <v>25</v>
      </c>
      <c r="N1523">
        <v>72.256</v>
      </c>
      <c r="O1523">
        <v>157</v>
      </c>
      <c r="P1523">
        <v>20.3</v>
      </c>
      <c r="Q1523">
        <v>0.34200000000000003</v>
      </c>
      <c r="R1523" t="s">
        <v>72</v>
      </c>
      <c r="S1523" t="s">
        <v>8414</v>
      </c>
      <c r="T1523" t="b">
        <v>1</v>
      </c>
      <c r="U1523" t="s">
        <v>8415</v>
      </c>
      <c r="V1523" t="s">
        <v>1745</v>
      </c>
      <c r="W1523" t="s">
        <v>8416</v>
      </c>
      <c r="X1523" t="s">
        <v>47</v>
      </c>
      <c r="AA1523" t="s">
        <v>8417</v>
      </c>
      <c r="AB1523" t="s">
        <v>49</v>
      </c>
      <c r="AC1523" t="s">
        <v>8418</v>
      </c>
      <c r="AD1523" t="b">
        <v>0</v>
      </c>
      <c r="AF1523">
        <v>8</v>
      </c>
      <c r="AG1523" t="s">
        <v>78</v>
      </c>
    </row>
    <row r="1524" spans="1:33" x14ac:dyDescent="0.2">
      <c r="A1524">
        <v>431</v>
      </c>
      <c r="B1524" t="s">
        <v>8419</v>
      </c>
      <c r="C1524" t="s">
        <v>34</v>
      </c>
      <c r="D1524" t="s">
        <v>35</v>
      </c>
      <c r="E1524" t="s">
        <v>1739</v>
      </c>
      <c r="F1524" t="s">
        <v>1740</v>
      </c>
      <c r="G1524" t="s">
        <v>68</v>
      </c>
      <c r="H1524" t="s">
        <v>69</v>
      </c>
      <c r="I1524" t="s">
        <v>1741</v>
      </c>
      <c r="J1524" t="s">
        <v>1742</v>
      </c>
      <c r="K1524">
        <v>1952</v>
      </c>
      <c r="L1524">
        <v>1952</v>
      </c>
      <c r="M1524">
        <v>29.5</v>
      </c>
      <c r="N1524">
        <v>154.82900000000001</v>
      </c>
      <c r="O1524">
        <v>390</v>
      </c>
      <c r="P1524">
        <v>9.3000000000000007</v>
      </c>
      <c r="Q1524">
        <v>0.91100000000000003</v>
      </c>
      <c r="R1524" t="s">
        <v>72</v>
      </c>
      <c r="S1524" t="s">
        <v>8420</v>
      </c>
      <c r="T1524" t="b">
        <v>1</v>
      </c>
      <c r="U1524" t="s">
        <v>8421</v>
      </c>
      <c r="V1524" t="s">
        <v>1745</v>
      </c>
      <c r="W1524" t="s">
        <v>8422</v>
      </c>
      <c r="X1524" t="s">
        <v>47</v>
      </c>
      <c r="AA1524" t="s">
        <v>8417</v>
      </c>
      <c r="AB1524" t="s">
        <v>177</v>
      </c>
      <c r="AC1524" t="s">
        <v>8418</v>
      </c>
      <c r="AD1524" t="b">
        <v>0</v>
      </c>
      <c r="AF1524">
        <v>8</v>
      </c>
      <c r="AG1524" t="s">
        <v>78</v>
      </c>
    </row>
    <row r="1525" spans="1:33" x14ac:dyDescent="0.2">
      <c r="A1525">
        <v>432</v>
      </c>
      <c r="B1525" t="s">
        <v>8423</v>
      </c>
      <c r="C1525" t="s">
        <v>34</v>
      </c>
      <c r="D1525" t="s">
        <v>35</v>
      </c>
      <c r="E1525" t="s">
        <v>1739</v>
      </c>
      <c r="F1525" t="s">
        <v>1740</v>
      </c>
      <c r="G1525" t="s">
        <v>68</v>
      </c>
      <c r="H1525" t="s">
        <v>69</v>
      </c>
      <c r="I1525" t="s">
        <v>1741</v>
      </c>
      <c r="J1525" t="s">
        <v>1742</v>
      </c>
      <c r="K1525">
        <v>1958</v>
      </c>
      <c r="L1525">
        <v>1958</v>
      </c>
      <c r="M1525">
        <v>22</v>
      </c>
      <c r="N1525">
        <v>103.208</v>
      </c>
      <c r="O1525">
        <v>329</v>
      </c>
      <c r="P1525">
        <v>8</v>
      </c>
      <c r="Q1525">
        <v>0.76400000000000001</v>
      </c>
      <c r="R1525" t="s">
        <v>72</v>
      </c>
      <c r="S1525" t="s">
        <v>8424</v>
      </c>
      <c r="T1525" t="b">
        <v>1</v>
      </c>
      <c r="U1525" t="s">
        <v>8425</v>
      </c>
      <c r="V1525" t="s">
        <v>1745</v>
      </c>
      <c r="W1525" t="s">
        <v>8422</v>
      </c>
      <c r="X1525" t="s">
        <v>47</v>
      </c>
      <c r="AA1525" t="s">
        <v>8417</v>
      </c>
      <c r="AB1525" t="s">
        <v>308</v>
      </c>
      <c r="AC1525" t="s">
        <v>8418</v>
      </c>
      <c r="AD1525" t="b">
        <v>0</v>
      </c>
      <c r="AF1525">
        <v>8</v>
      </c>
      <c r="AG1525" t="s">
        <v>78</v>
      </c>
    </row>
    <row r="1526" spans="1:33" x14ac:dyDescent="0.2">
      <c r="A1526">
        <v>433</v>
      </c>
      <c r="B1526" t="s">
        <v>8426</v>
      </c>
      <c r="C1526" t="s">
        <v>34</v>
      </c>
      <c r="D1526" t="s">
        <v>35</v>
      </c>
      <c r="E1526" t="s">
        <v>1739</v>
      </c>
      <c r="F1526" t="s">
        <v>1740</v>
      </c>
      <c r="G1526" t="s">
        <v>68</v>
      </c>
      <c r="H1526" t="s">
        <v>69</v>
      </c>
      <c r="I1526" t="s">
        <v>1741</v>
      </c>
      <c r="J1526" t="s">
        <v>1742</v>
      </c>
      <c r="K1526">
        <v>1968</v>
      </c>
      <c r="L1526">
        <v>1968</v>
      </c>
      <c r="M1526">
        <v>110</v>
      </c>
      <c r="N1526">
        <v>450.77600000000001</v>
      </c>
      <c r="O1526">
        <v>430</v>
      </c>
      <c r="P1526">
        <v>29.98</v>
      </c>
      <c r="Q1526">
        <v>1.0189999999999999</v>
      </c>
      <c r="R1526" t="s">
        <v>72</v>
      </c>
      <c r="S1526" t="s">
        <v>8414</v>
      </c>
      <c r="T1526" t="b">
        <v>1</v>
      </c>
      <c r="U1526" t="s">
        <v>8427</v>
      </c>
      <c r="V1526" t="s">
        <v>1745</v>
      </c>
      <c r="W1526" t="s">
        <v>8428</v>
      </c>
      <c r="X1526" t="s">
        <v>47</v>
      </c>
      <c r="AA1526" t="s">
        <v>8417</v>
      </c>
      <c r="AB1526" t="s">
        <v>83</v>
      </c>
      <c r="AC1526" t="s">
        <v>8418</v>
      </c>
      <c r="AD1526" t="b">
        <v>0</v>
      </c>
      <c r="AF1526">
        <v>8</v>
      </c>
      <c r="AG1526" t="s">
        <v>78</v>
      </c>
    </row>
    <row r="1527" spans="1:33" x14ac:dyDescent="0.2">
      <c r="A1527">
        <v>434</v>
      </c>
      <c r="B1527" t="s">
        <v>8429</v>
      </c>
      <c r="C1527" t="s">
        <v>34</v>
      </c>
      <c r="D1527" t="s">
        <v>35</v>
      </c>
      <c r="E1527" t="s">
        <v>1739</v>
      </c>
      <c r="F1527" t="s">
        <v>1740</v>
      </c>
      <c r="G1527" t="s">
        <v>68</v>
      </c>
      <c r="H1527" t="s">
        <v>69</v>
      </c>
      <c r="I1527" t="s">
        <v>1741</v>
      </c>
      <c r="J1527" t="s">
        <v>1742</v>
      </c>
      <c r="K1527">
        <v>1982</v>
      </c>
      <c r="L1527">
        <v>1982</v>
      </c>
      <c r="M1527">
        <v>93</v>
      </c>
      <c r="N1527">
        <v>360.37200000000001</v>
      </c>
      <c r="O1527">
        <v>822.29</v>
      </c>
      <c r="P1527">
        <v>13.2</v>
      </c>
      <c r="Q1527">
        <v>1.9570000000000001</v>
      </c>
      <c r="R1527" t="s">
        <v>72</v>
      </c>
      <c r="S1527" t="s">
        <v>8430</v>
      </c>
      <c r="T1527" t="b">
        <v>1</v>
      </c>
      <c r="U1527" t="s">
        <v>5212</v>
      </c>
      <c r="V1527" t="s">
        <v>1745</v>
      </c>
      <c r="W1527" t="s">
        <v>8431</v>
      </c>
      <c r="X1527" t="s">
        <v>47</v>
      </c>
      <c r="AA1527" t="s">
        <v>8417</v>
      </c>
      <c r="AB1527" t="s">
        <v>612</v>
      </c>
      <c r="AC1527" t="s">
        <v>8418</v>
      </c>
      <c r="AD1527" t="b">
        <v>0</v>
      </c>
      <c r="AF1527">
        <v>8</v>
      </c>
      <c r="AG1527" t="s">
        <v>78</v>
      </c>
    </row>
    <row r="1528" spans="1:33" x14ac:dyDescent="0.2">
      <c r="A1528">
        <v>736</v>
      </c>
      <c r="B1528" t="s">
        <v>8432</v>
      </c>
      <c r="C1528" t="s">
        <v>34</v>
      </c>
      <c r="D1528" t="s">
        <v>35</v>
      </c>
      <c r="E1528" t="s">
        <v>1739</v>
      </c>
      <c r="F1528" t="s">
        <v>1740</v>
      </c>
      <c r="G1528" t="s">
        <v>68</v>
      </c>
      <c r="H1528" t="s">
        <v>69</v>
      </c>
      <c r="I1528" t="s">
        <v>1741</v>
      </c>
      <c r="J1528" t="s">
        <v>1742</v>
      </c>
      <c r="K1528">
        <v>1994</v>
      </c>
      <c r="L1528">
        <v>1994</v>
      </c>
      <c r="M1528">
        <v>1.8</v>
      </c>
      <c r="N1528">
        <v>3.3639999999999999</v>
      </c>
      <c r="O1528">
        <v>36</v>
      </c>
      <c r="P1528">
        <v>5.38</v>
      </c>
      <c r="Q1528">
        <v>9.2999999999999999E-2</v>
      </c>
      <c r="R1528" t="s">
        <v>72</v>
      </c>
      <c r="S1528" t="s">
        <v>8433</v>
      </c>
      <c r="T1528" t="b">
        <v>1</v>
      </c>
      <c r="U1528" t="s">
        <v>8434</v>
      </c>
      <c r="V1528" t="s">
        <v>1745</v>
      </c>
      <c r="W1528" t="s">
        <v>8435</v>
      </c>
      <c r="X1528" t="s">
        <v>47</v>
      </c>
      <c r="AA1528" t="s">
        <v>340</v>
      </c>
      <c r="AB1528" t="s">
        <v>765</v>
      </c>
      <c r="AC1528" t="s">
        <v>8418</v>
      </c>
      <c r="AD1528" t="b">
        <v>0</v>
      </c>
      <c r="AF1528">
        <v>8</v>
      </c>
      <c r="AG1528" t="s">
        <v>78</v>
      </c>
    </row>
    <row r="1529" spans="1:33" x14ac:dyDescent="0.2">
      <c r="A1529">
        <v>1222</v>
      </c>
      <c r="B1529" t="s">
        <v>8436</v>
      </c>
      <c r="C1529" t="s">
        <v>34</v>
      </c>
      <c r="D1529" t="s">
        <v>35</v>
      </c>
      <c r="E1529" t="s">
        <v>1739</v>
      </c>
      <c r="F1529" t="s">
        <v>1740</v>
      </c>
      <c r="G1529" t="s">
        <v>68</v>
      </c>
      <c r="H1529" t="s">
        <v>69</v>
      </c>
      <c r="I1529" t="s">
        <v>1741</v>
      </c>
      <c r="J1529" t="s">
        <v>1742</v>
      </c>
      <c r="K1529">
        <v>2006</v>
      </c>
      <c r="L1529">
        <v>2006</v>
      </c>
      <c r="M1529">
        <v>1.1000000000000001</v>
      </c>
      <c r="N1529">
        <v>3.7650000000000001</v>
      </c>
      <c r="O1529">
        <v>225</v>
      </c>
      <c r="P1529">
        <v>0.6</v>
      </c>
      <c r="Q1529">
        <v>0.50900000000000001</v>
      </c>
      <c r="R1529" t="s">
        <v>72</v>
      </c>
      <c r="S1529" t="s">
        <v>8437</v>
      </c>
      <c r="T1529" t="b">
        <v>1</v>
      </c>
      <c r="U1529" t="s">
        <v>8438</v>
      </c>
      <c r="V1529" t="s">
        <v>1745</v>
      </c>
      <c r="W1529" t="s">
        <v>8439</v>
      </c>
      <c r="X1529" t="s">
        <v>47</v>
      </c>
      <c r="AA1529" t="s">
        <v>8417</v>
      </c>
      <c r="AB1529" t="s">
        <v>227</v>
      </c>
      <c r="AC1529" t="s">
        <v>8418</v>
      </c>
      <c r="AD1529" t="b">
        <v>0</v>
      </c>
      <c r="AF1529">
        <v>8</v>
      </c>
      <c r="AG1529" t="s">
        <v>78</v>
      </c>
    </row>
    <row r="1530" spans="1:33" x14ac:dyDescent="0.2">
      <c r="A1530">
        <v>1221</v>
      </c>
      <c r="B1530" t="s">
        <v>8440</v>
      </c>
      <c r="C1530" t="s">
        <v>34</v>
      </c>
      <c r="D1530" t="s">
        <v>35</v>
      </c>
      <c r="E1530" t="s">
        <v>1739</v>
      </c>
      <c r="F1530" t="s">
        <v>1740</v>
      </c>
      <c r="G1530" t="s">
        <v>68</v>
      </c>
      <c r="H1530" t="s">
        <v>69</v>
      </c>
      <c r="I1530" t="s">
        <v>1741</v>
      </c>
      <c r="J1530" t="s">
        <v>1742</v>
      </c>
      <c r="K1530">
        <v>2006</v>
      </c>
      <c r="L1530">
        <v>2006</v>
      </c>
      <c r="M1530">
        <v>2.15</v>
      </c>
      <c r="N1530">
        <v>7.3920000000000003</v>
      </c>
      <c r="O1530">
        <v>127.7</v>
      </c>
      <c r="P1530">
        <v>2.2000000000000002</v>
      </c>
      <c r="Q1530">
        <v>0.27200000000000002</v>
      </c>
      <c r="R1530" t="s">
        <v>72</v>
      </c>
      <c r="S1530" t="s">
        <v>8437</v>
      </c>
      <c r="T1530" t="b">
        <v>1</v>
      </c>
      <c r="U1530" t="s">
        <v>8441</v>
      </c>
      <c r="V1530" t="s">
        <v>1745</v>
      </c>
      <c r="W1530" t="s">
        <v>8439</v>
      </c>
      <c r="X1530" t="s">
        <v>47</v>
      </c>
      <c r="AA1530" t="s">
        <v>8417</v>
      </c>
      <c r="AB1530" t="s">
        <v>401</v>
      </c>
      <c r="AC1530" t="s">
        <v>8418</v>
      </c>
      <c r="AD1530" t="b">
        <v>0</v>
      </c>
      <c r="AF1530">
        <v>8</v>
      </c>
      <c r="AG1530" t="s">
        <v>78</v>
      </c>
    </row>
    <row r="1531" spans="1:33" x14ac:dyDescent="0.2">
      <c r="A1531">
        <v>1750</v>
      </c>
      <c r="B1531" t="s">
        <v>8442</v>
      </c>
      <c r="C1531" t="s">
        <v>34</v>
      </c>
      <c r="D1531" t="s">
        <v>35</v>
      </c>
      <c r="E1531" t="s">
        <v>1739</v>
      </c>
      <c r="F1531" t="s">
        <v>1740</v>
      </c>
      <c r="G1531" t="s">
        <v>68</v>
      </c>
      <c r="H1531" t="s">
        <v>69</v>
      </c>
      <c r="I1531" t="s">
        <v>1741</v>
      </c>
      <c r="J1531" t="s">
        <v>1742</v>
      </c>
      <c r="K1531">
        <v>2013</v>
      </c>
      <c r="L1531">
        <v>2013</v>
      </c>
      <c r="M1531">
        <v>2.8</v>
      </c>
      <c r="N1531">
        <v>11.742000000000001</v>
      </c>
      <c r="O1531">
        <v>84.1</v>
      </c>
      <c r="P1531">
        <v>4.2</v>
      </c>
      <c r="Q1531">
        <v>0.185</v>
      </c>
      <c r="R1531" t="s">
        <v>72</v>
      </c>
      <c r="S1531" t="s">
        <v>8443</v>
      </c>
      <c r="T1531" t="b">
        <v>1</v>
      </c>
      <c r="U1531" t="s">
        <v>6759</v>
      </c>
      <c r="V1531" t="s">
        <v>1745</v>
      </c>
      <c r="W1531" t="s">
        <v>8444</v>
      </c>
      <c r="X1531" t="s">
        <v>47</v>
      </c>
      <c r="AA1531" t="s">
        <v>8417</v>
      </c>
      <c r="AB1531" t="s">
        <v>192</v>
      </c>
      <c r="AC1531" t="s">
        <v>8418</v>
      </c>
      <c r="AD1531" t="b">
        <v>0</v>
      </c>
      <c r="AF1531">
        <v>8</v>
      </c>
      <c r="AG1531" t="s">
        <v>78</v>
      </c>
    </row>
    <row r="1532" spans="1:33" x14ac:dyDescent="0.2">
      <c r="A1532">
        <v>1339</v>
      </c>
      <c r="B1532" t="s">
        <v>8445</v>
      </c>
      <c r="C1532" t="s">
        <v>34</v>
      </c>
      <c r="D1532" t="s">
        <v>35</v>
      </c>
      <c r="E1532" t="s">
        <v>168</v>
      </c>
      <c r="F1532" t="s">
        <v>169</v>
      </c>
      <c r="G1532" t="s">
        <v>53</v>
      </c>
      <c r="H1532" t="s">
        <v>54</v>
      </c>
      <c r="I1532" t="s">
        <v>1678</v>
      </c>
      <c r="J1532" t="s">
        <v>245</v>
      </c>
      <c r="K1532">
        <v>2000</v>
      </c>
      <c r="L1532">
        <v>2000</v>
      </c>
      <c r="M1532">
        <v>0.99</v>
      </c>
      <c r="N1532">
        <v>4.7489999999999997</v>
      </c>
      <c r="O1532">
        <v>225</v>
      </c>
      <c r="P1532">
        <v>0.5</v>
      </c>
      <c r="Q1532">
        <v>0.55600000000000005</v>
      </c>
      <c r="R1532" t="s">
        <v>57</v>
      </c>
      <c r="S1532" t="s">
        <v>8446</v>
      </c>
      <c r="T1532" t="b">
        <v>1</v>
      </c>
      <c r="U1532" t="s">
        <v>8447</v>
      </c>
      <c r="V1532" t="s">
        <v>174</v>
      </c>
      <c r="W1532" t="s">
        <v>8448</v>
      </c>
      <c r="X1532" t="s">
        <v>47</v>
      </c>
      <c r="AA1532" t="s">
        <v>8449</v>
      </c>
      <c r="AB1532" t="s">
        <v>49</v>
      </c>
      <c r="AC1532" t="s">
        <v>8450</v>
      </c>
      <c r="AD1532" t="b">
        <v>0</v>
      </c>
      <c r="AF1532">
        <v>6</v>
      </c>
      <c r="AG1532" t="s">
        <v>64</v>
      </c>
    </row>
    <row r="1533" spans="1:33" x14ac:dyDescent="0.2">
      <c r="A1533">
        <v>1075</v>
      </c>
      <c r="B1533" t="s">
        <v>8451</v>
      </c>
      <c r="C1533" t="s">
        <v>34</v>
      </c>
      <c r="D1533" t="s">
        <v>35</v>
      </c>
      <c r="E1533" t="s">
        <v>8452</v>
      </c>
      <c r="F1533" t="s">
        <v>8453</v>
      </c>
      <c r="G1533" t="s">
        <v>134</v>
      </c>
      <c r="H1533" t="s">
        <v>135</v>
      </c>
      <c r="I1533" t="s">
        <v>3432</v>
      </c>
      <c r="J1533" t="s">
        <v>401</v>
      </c>
      <c r="K1533">
        <v>2005</v>
      </c>
      <c r="L1533">
        <v>2005</v>
      </c>
      <c r="M1533">
        <v>0.09</v>
      </c>
      <c r="N1533">
        <v>0.374</v>
      </c>
      <c r="R1533" t="s">
        <v>42</v>
      </c>
      <c r="S1533" t="s">
        <v>8454</v>
      </c>
      <c r="T1533" t="b">
        <v>1</v>
      </c>
      <c r="U1533" t="s">
        <v>8455</v>
      </c>
      <c r="V1533" t="s">
        <v>8456</v>
      </c>
      <c r="W1533" t="s">
        <v>8457</v>
      </c>
      <c r="X1533" t="s">
        <v>47</v>
      </c>
      <c r="AA1533" t="s">
        <v>114</v>
      </c>
      <c r="AC1533" t="s">
        <v>63</v>
      </c>
      <c r="AD1533" t="b">
        <v>0</v>
      </c>
      <c r="AF1533">
        <v>10</v>
      </c>
      <c r="AG1533" t="s">
        <v>143</v>
      </c>
    </row>
    <row r="1534" spans="1:33" x14ac:dyDescent="0.2">
      <c r="A1534">
        <v>435</v>
      </c>
      <c r="B1534" t="s">
        <v>8458</v>
      </c>
      <c r="C1534" t="s">
        <v>34</v>
      </c>
      <c r="D1534" t="s">
        <v>35</v>
      </c>
      <c r="E1534" t="s">
        <v>2350</v>
      </c>
      <c r="F1534" t="s">
        <v>2351</v>
      </c>
      <c r="G1534" t="s">
        <v>134</v>
      </c>
      <c r="H1534" t="s">
        <v>135</v>
      </c>
      <c r="I1534" t="s">
        <v>191</v>
      </c>
      <c r="J1534" t="s">
        <v>192</v>
      </c>
      <c r="K1534">
        <v>1986</v>
      </c>
      <c r="L1534">
        <v>1986</v>
      </c>
      <c r="M1534">
        <v>1.5</v>
      </c>
      <c r="N1534">
        <v>10.584</v>
      </c>
      <c r="O1534">
        <v>425</v>
      </c>
      <c r="P1534">
        <v>0.4</v>
      </c>
      <c r="Q1534">
        <v>1.042</v>
      </c>
      <c r="R1534" t="s">
        <v>42</v>
      </c>
      <c r="S1534" t="s">
        <v>8459</v>
      </c>
      <c r="T1534" t="b">
        <v>1</v>
      </c>
      <c r="U1534" t="s">
        <v>1884</v>
      </c>
      <c r="V1534" t="s">
        <v>2355</v>
      </c>
      <c r="W1534" t="s">
        <v>8460</v>
      </c>
      <c r="X1534" t="s">
        <v>47</v>
      </c>
      <c r="AA1534" t="s">
        <v>8461</v>
      </c>
      <c r="AB1534" t="s">
        <v>49</v>
      </c>
      <c r="AC1534" t="s">
        <v>8462</v>
      </c>
      <c r="AD1534" t="b">
        <v>0</v>
      </c>
      <c r="AF1534">
        <v>11</v>
      </c>
      <c r="AG1534" t="s">
        <v>198</v>
      </c>
    </row>
    <row r="1535" spans="1:33" x14ac:dyDescent="0.2">
      <c r="A1535">
        <v>1533</v>
      </c>
      <c r="B1535" t="s">
        <v>8463</v>
      </c>
      <c r="C1535" t="s">
        <v>34</v>
      </c>
      <c r="D1535" t="s">
        <v>35</v>
      </c>
      <c r="E1535" t="s">
        <v>757</v>
      </c>
      <c r="F1535" t="s">
        <v>758</v>
      </c>
      <c r="G1535" t="s">
        <v>53</v>
      </c>
      <c r="H1535" t="s">
        <v>54</v>
      </c>
      <c r="I1535" t="s">
        <v>1039</v>
      </c>
      <c r="J1535" t="s">
        <v>243</v>
      </c>
      <c r="K1535">
        <v>2009</v>
      </c>
      <c r="L1535">
        <v>2009</v>
      </c>
      <c r="M1535">
        <v>0.89</v>
      </c>
      <c r="N1535">
        <v>3.9489999999999998</v>
      </c>
      <c r="O1535">
        <v>7.75</v>
      </c>
      <c r="P1535">
        <v>15.5</v>
      </c>
      <c r="Q1535">
        <v>1.6E-2</v>
      </c>
      <c r="R1535" t="s">
        <v>72</v>
      </c>
      <c r="S1535" t="s">
        <v>8464</v>
      </c>
      <c r="T1535" t="b">
        <v>1</v>
      </c>
      <c r="U1535" t="s">
        <v>8066</v>
      </c>
      <c r="V1535" t="s">
        <v>761</v>
      </c>
      <c r="W1535" t="s">
        <v>8465</v>
      </c>
      <c r="X1535" t="s">
        <v>47</v>
      </c>
      <c r="AA1535" t="s">
        <v>400</v>
      </c>
      <c r="AB1535" t="s">
        <v>1697</v>
      </c>
      <c r="AC1535" t="s">
        <v>402</v>
      </c>
      <c r="AD1535" t="b">
        <v>0</v>
      </c>
      <c r="AF1535">
        <v>13</v>
      </c>
      <c r="AG1535" t="s">
        <v>155</v>
      </c>
    </row>
    <row r="1536" spans="1:33" x14ac:dyDescent="0.2">
      <c r="A1536">
        <v>437</v>
      </c>
      <c r="B1536" t="s">
        <v>8466</v>
      </c>
      <c r="C1536" t="s">
        <v>34</v>
      </c>
      <c r="D1536" t="s">
        <v>35</v>
      </c>
      <c r="E1536" t="s">
        <v>8467</v>
      </c>
      <c r="F1536" t="s">
        <v>8468</v>
      </c>
      <c r="G1536" t="s">
        <v>242</v>
      </c>
      <c r="H1536" t="s">
        <v>243</v>
      </c>
      <c r="I1536" t="s">
        <v>8407</v>
      </c>
      <c r="J1536" t="s">
        <v>160</v>
      </c>
      <c r="K1536">
        <v>1943</v>
      </c>
      <c r="L1536">
        <v>1943</v>
      </c>
      <c r="M1536">
        <v>2.5</v>
      </c>
      <c r="N1536">
        <v>12.904999999999999</v>
      </c>
      <c r="O1536">
        <v>42</v>
      </c>
      <c r="P1536">
        <v>8.36</v>
      </c>
      <c r="Q1536">
        <v>8.2000000000000003E-2</v>
      </c>
      <c r="R1536" t="s">
        <v>72</v>
      </c>
      <c r="S1536" t="s">
        <v>8469</v>
      </c>
      <c r="T1536" t="b">
        <v>1</v>
      </c>
      <c r="U1536" t="s">
        <v>8470</v>
      </c>
      <c r="V1536" t="s">
        <v>8471</v>
      </c>
      <c r="W1536" t="s">
        <v>8472</v>
      </c>
      <c r="X1536" t="s">
        <v>47</v>
      </c>
      <c r="AA1536" t="s">
        <v>8473</v>
      </c>
      <c r="AB1536" t="s">
        <v>49</v>
      </c>
      <c r="AC1536" t="s">
        <v>8474</v>
      </c>
      <c r="AD1536" t="b">
        <v>0</v>
      </c>
      <c r="AF1536">
        <v>9</v>
      </c>
      <c r="AG1536" t="s">
        <v>251</v>
      </c>
    </row>
    <row r="1537" spans="1:33" x14ac:dyDescent="0.2">
      <c r="A1537">
        <v>1022</v>
      </c>
      <c r="B1537" t="s">
        <v>8475</v>
      </c>
      <c r="C1537" t="s">
        <v>34</v>
      </c>
      <c r="D1537" t="s">
        <v>35</v>
      </c>
      <c r="G1537" t="s">
        <v>213</v>
      </c>
      <c r="H1537" t="s">
        <v>83</v>
      </c>
      <c r="I1537" t="s">
        <v>627</v>
      </c>
      <c r="J1537" t="s">
        <v>54</v>
      </c>
      <c r="K1537">
        <v>1995</v>
      </c>
      <c r="L1537">
        <v>1995</v>
      </c>
      <c r="M1537">
        <v>2.1999999999999999E-2</v>
      </c>
      <c r="N1537">
        <v>4.5999999999999999E-2</v>
      </c>
      <c r="R1537" t="s">
        <v>84</v>
      </c>
      <c r="S1537" t="s">
        <v>628</v>
      </c>
      <c r="T1537" t="b">
        <v>1</v>
      </c>
      <c r="U1537" t="s">
        <v>2566</v>
      </c>
      <c r="V1537" t="s">
        <v>274</v>
      </c>
      <c r="W1537" t="s">
        <v>113</v>
      </c>
      <c r="X1537" t="s">
        <v>47</v>
      </c>
      <c r="AA1537" t="s">
        <v>114</v>
      </c>
      <c r="AC1537" t="s">
        <v>63</v>
      </c>
      <c r="AD1537" t="b">
        <v>0</v>
      </c>
      <c r="AF1537">
        <v>5</v>
      </c>
      <c r="AG1537" t="s">
        <v>89</v>
      </c>
    </row>
    <row r="1538" spans="1:33" x14ac:dyDescent="0.2">
      <c r="A1538">
        <v>1952</v>
      </c>
      <c r="B1538" t="s">
        <v>8476</v>
      </c>
      <c r="C1538" t="s">
        <v>34</v>
      </c>
      <c r="D1538" t="s">
        <v>35</v>
      </c>
      <c r="E1538" t="s">
        <v>682</v>
      </c>
      <c r="F1538" t="s">
        <v>683</v>
      </c>
      <c r="G1538" t="s">
        <v>68</v>
      </c>
      <c r="H1538" t="s">
        <v>69</v>
      </c>
      <c r="I1538" t="s">
        <v>597</v>
      </c>
      <c r="J1538" t="s">
        <v>83</v>
      </c>
      <c r="K1538">
        <v>2018</v>
      </c>
      <c r="L1538">
        <v>2018</v>
      </c>
      <c r="M1538">
        <v>3.4</v>
      </c>
      <c r="N1538">
        <v>10.462999999999999</v>
      </c>
      <c r="O1538">
        <v>403.9</v>
      </c>
      <c r="P1538">
        <v>0.97</v>
      </c>
      <c r="Q1538">
        <v>0.97399999999999998</v>
      </c>
      <c r="R1538" t="s">
        <v>72</v>
      </c>
      <c r="S1538" t="s">
        <v>8477</v>
      </c>
      <c r="T1538" t="b">
        <v>1</v>
      </c>
      <c r="U1538" t="s">
        <v>8149</v>
      </c>
      <c r="V1538" t="s">
        <v>686</v>
      </c>
      <c r="W1538" t="s">
        <v>8478</v>
      </c>
      <c r="X1538" t="s">
        <v>47</v>
      </c>
      <c r="AA1538" t="s">
        <v>8479</v>
      </c>
      <c r="AB1538" t="s">
        <v>49</v>
      </c>
      <c r="AC1538" t="s">
        <v>1186</v>
      </c>
      <c r="AD1538" t="b">
        <v>0</v>
      </c>
      <c r="AF1538">
        <v>13</v>
      </c>
      <c r="AG1538" t="s">
        <v>155</v>
      </c>
    </row>
    <row r="1539" spans="1:33" x14ac:dyDescent="0.2">
      <c r="A1539">
        <v>438</v>
      </c>
      <c r="B1539" t="s">
        <v>8480</v>
      </c>
      <c r="C1539" t="s">
        <v>34</v>
      </c>
      <c r="D1539" t="s">
        <v>35</v>
      </c>
      <c r="E1539" t="s">
        <v>3469</v>
      </c>
      <c r="F1539" t="s">
        <v>3470</v>
      </c>
      <c r="G1539" t="s">
        <v>134</v>
      </c>
      <c r="H1539" t="s">
        <v>135</v>
      </c>
      <c r="I1539" t="s">
        <v>4776</v>
      </c>
      <c r="J1539" t="s">
        <v>3789</v>
      </c>
      <c r="K1539">
        <v>1937</v>
      </c>
      <c r="L1539">
        <v>1937</v>
      </c>
      <c r="M1539">
        <v>1.5</v>
      </c>
      <c r="N1539">
        <v>4.9790000000000001</v>
      </c>
      <c r="O1539">
        <v>238</v>
      </c>
      <c r="P1539">
        <v>0.8</v>
      </c>
      <c r="Q1539">
        <v>0.52100000000000002</v>
      </c>
      <c r="R1539" t="s">
        <v>42</v>
      </c>
      <c r="S1539" t="s">
        <v>4777</v>
      </c>
      <c r="T1539" t="b">
        <v>1</v>
      </c>
      <c r="U1539" t="s">
        <v>4751</v>
      </c>
      <c r="V1539" t="s">
        <v>3473</v>
      </c>
      <c r="W1539" t="s">
        <v>8481</v>
      </c>
      <c r="X1539" t="s">
        <v>47</v>
      </c>
      <c r="AA1539" t="s">
        <v>4779</v>
      </c>
      <c r="AB1539" t="s">
        <v>49</v>
      </c>
      <c r="AC1539" t="s">
        <v>4780</v>
      </c>
      <c r="AD1539" t="b">
        <v>0</v>
      </c>
      <c r="AF1539">
        <v>11</v>
      </c>
      <c r="AG1539" t="s">
        <v>198</v>
      </c>
    </row>
    <row r="1540" spans="1:33" x14ac:dyDescent="0.2">
      <c r="A1540">
        <v>1925</v>
      </c>
      <c r="B1540" t="s">
        <v>8482</v>
      </c>
      <c r="C1540" t="s">
        <v>34</v>
      </c>
      <c r="D1540" t="s">
        <v>35</v>
      </c>
      <c r="E1540" t="s">
        <v>1320</v>
      </c>
      <c r="F1540" t="s">
        <v>1321</v>
      </c>
      <c r="G1540" t="s">
        <v>53</v>
      </c>
      <c r="H1540" t="s">
        <v>54</v>
      </c>
      <c r="I1540" t="s">
        <v>55</v>
      </c>
      <c r="J1540" t="s">
        <v>56</v>
      </c>
      <c r="K1540">
        <v>2018</v>
      </c>
      <c r="L1540">
        <v>2018</v>
      </c>
      <c r="M1540">
        <v>0.99</v>
      </c>
      <c r="N1540">
        <v>5.7060000000000004</v>
      </c>
      <c r="O1540">
        <v>189.3</v>
      </c>
      <c r="P1540">
        <v>0.67</v>
      </c>
      <c r="Q1540">
        <v>0.41</v>
      </c>
      <c r="R1540" t="s">
        <v>57</v>
      </c>
      <c r="S1540" t="s">
        <v>8483</v>
      </c>
      <c r="T1540" t="b">
        <v>1</v>
      </c>
      <c r="U1540" t="s">
        <v>8484</v>
      </c>
      <c r="V1540" t="s">
        <v>1324</v>
      </c>
      <c r="W1540" t="s">
        <v>8485</v>
      </c>
      <c r="X1540" t="s">
        <v>47</v>
      </c>
      <c r="AA1540" t="s">
        <v>741</v>
      </c>
      <c r="AC1540" t="s">
        <v>742</v>
      </c>
      <c r="AD1540" t="b">
        <v>0</v>
      </c>
      <c r="AF1540">
        <v>6</v>
      </c>
      <c r="AG1540" t="s">
        <v>64</v>
      </c>
    </row>
    <row r="1541" spans="1:33" x14ac:dyDescent="0.2">
      <c r="A1541">
        <v>1650</v>
      </c>
      <c r="B1541" t="s">
        <v>8486</v>
      </c>
      <c r="C1541" t="s">
        <v>34</v>
      </c>
      <c r="D1541" t="s">
        <v>35</v>
      </c>
      <c r="E1541" t="s">
        <v>8487</v>
      </c>
      <c r="F1541" t="s">
        <v>8488</v>
      </c>
      <c r="G1541" t="s">
        <v>68</v>
      </c>
      <c r="H1541" t="s">
        <v>69</v>
      </c>
      <c r="I1541" t="s">
        <v>597</v>
      </c>
      <c r="J1541" t="s">
        <v>83</v>
      </c>
      <c r="K1541">
        <v>2011</v>
      </c>
      <c r="L1541">
        <v>2011</v>
      </c>
      <c r="M1541">
        <v>0.22</v>
      </c>
      <c r="N1541">
        <v>0.51700000000000002</v>
      </c>
      <c r="O1541">
        <v>175</v>
      </c>
      <c r="R1541" t="s">
        <v>72</v>
      </c>
      <c r="S1541" t="s">
        <v>8489</v>
      </c>
      <c r="T1541" t="b">
        <v>1</v>
      </c>
      <c r="U1541" t="s">
        <v>8490</v>
      </c>
      <c r="V1541" t="s">
        <v>8491</v>
      </c>
      <c r="W1541" t="s">
        <v>8492</v>
      </c>
      <c r="X1541" t="s">
        <v>47</v>
      </c>
      <c r="AA1541" t="s">
        <v>8493</v>
      </c>
      <c r="AC1541" t="s">
        <v>63</v>
      </c>
      <c r="AD1541" t="b">
        <v>0</v>
      </c>
      <c r="AF1541">
        <v>13</v>
      </c>
      <c r="AG1541" t="s">
        <v>155</v>
      </c>
    </row>
    <row r="1542" spans="1:33" x14ac:dyDescent="0.2">
      <c r="A1542">
        <v>620</v>
      </c>
      <c r="B1542" t="s">
        <v>8494</v>
      </c>
      <c r="C1542" t="s">
        <v>296</v>
      </c>
      <c r="D1542" t="s">
        <v>297</v>
      </c>
      <c r="E1542" t="s">
        <v>253</v>
      </c>
      <c r="F1542" t="s">
        <v>254</v>
      </c>
      <c r="G1542" t="s">
        <v>242</v>
      </c>
      <c r="H1542" t="s">
        <v>243</v>
      </c>
      <c r="I1542" t="s">
        <v>2581</v>
      </c>
      <c r="J1542" t="s">
        <v>94</v>
      </c>
      <c r="K1542">
        <v>1994</v>
      </c>
      <c r="L1542">
        <v>1994</v>
      </c>
      <c r="M1542">
        <v>49.6</v>
      </c>
      <c r="N1542">
        <v>117.84</v>
      </c>
      <c r="O1542">
        <v>164.5</v>
      </c>
      <c r="P1542">
        <v>34</v>
      </c>
      <c r="Q1542">
        <v>0.40400000000000003</v>
      </c>
      <c r="R1542" t="s">
        <v>72</v>
      </c>
      <c r="S1542" t="s">
        <v>8495</v>
      </c>
      <c r="T1542" t="b">
        <v>1</v>
      </c>
      <c r="U1542" t="s">
        <v>8496</v>
      </c>
      <c r="V1542" t="s">
        <v>259</v>
      </c>
      <c r="W1542" t="s">
        <v>8497</v>
      </c>
      <c r="X1542" t="s">
        <v>47</v>
      </c>
      <c r="AA1542" t="s">
        <v>250</v>
      </c>
      <c r="AB1542" t="s">
        <v>177</v>
      </c>
      <c r="AC1542" t="s">
        <v>2585</v>
      </c>
      <c r="AD1542" t="b">
        <v>0</v>
      </c>
      <c r="AF1542">
        <v>9</v>
      </c>
      <c r="AG1542" t="s">
        <v>251</v>
      </c>
    </row>
    <row r="1543" spans="1:33" x14ac:dyDescent="0.2">
      <c r="A1543">
        <v>1632</v>
      </c>
      <c r="B1543" t="s">
        <v>8498</v>
      </c>
      <c r="C1543" t="s">
        <v>34</v>
      </c>
      <c r="D1543" t="s">
        <v>35</v>
      </c>
      <c r="E1543" t="s">
        <v>8499</v>
      </c>
      <c r="F1543" t="s">
        <v>8500</v>
      </c>
      <c r="G1543" t="s">
        <v>53</v>
      </c>
      <c r="H1543" t="s">
        <v>54</v>
      </c>
      <c r="I1543" t="s">
        <v>461</v>
      </c>
      <c r="J1543" t="s">
        <v>462</v>
      </c>
      <c r="K1543">
        <v>2011</v>
      </c>
      <c r="L1543">
        <v>2011</v>
      </c>
      <c r="M1543">
        <v>7.4999999999999997E-2</v>
      </c>
      <c r="N1543">
        <v>0.21</v>
      </c>
      <c r="O1543">
        <v>95</v>
      </c>
      <c r="P1543">
        <v>0.12</v>
      </c>
      <c r="Q1543">
        <v>0.17399999999999999</v>
      </c>
      <c r="R1543" t="s">
        <v>57</v>
      </c>
      <c r="S1543" t="s">
        <v>8501</v>
      </c>
      <c r="T1543" t="b">
        <v>1</v>
      </c>
      <c r="U1543" t="s">
        <v>8502</v>
      </c>
      <c r="V1543" t="s">
        <v>8503</v>
      </c>
      <c r="W1543" t="s">
        <v>8504</v>
      </c>
      <c r="X1543" t="s">
        <v>47</v>
      </c>
      <c r="AA1543" t="s">
        <v>114</v>
      </c>
      <c r="AC1543" t="s">
        <v>63</v>
      </c>
      <c r="AD1543" t="b">
        <v>0</v>
      </c>
      <c r="AF1543">
        <v>7</v>
      </c>
      <c r="AG1543" t="s">
        <v>469</v>
      </c>
    </row>
    <row r="1544" spans="1:33" x14ac:dyDescent="0.2">
      <c r="A1544">
        <v>1922</v>
      </c>
      <c r="B1544" t="s">
        <v>8505</v>
      </c>
      <c r="C1544" t="s">
        <v>34</v>
      </c>
      <c r="D1544" t="s">
        <v>35</v>
      </c>
      <c r="E1544" t="s">
        <v>3518</v>
      </c>
      <c r="F1544" t="s">
        <v>3519</v>
      </c>
      <c r="G1544" t="s">
        <v>53</v>
      </c>
      <c r="H1544" t="s">
        <v>54</v>
      </c>
      <c r="I1544" t="s">
        <v>1039</v>
      </c>
      <c r="J1544" t="s">
        <v>243</v>
      </c>
      <c r="K1544">
        <v>2018</v>
      </c>
      <c r="L1544">
        <v>2018</v>
      </c>
      <c r="M1544">
        <v>2.9</v>
      </c>
      <c r="N1544">
        <v>9.4979999999999993</v>
      </c>
      <c r="O1544">
        <v>355</v>
      </c>
      <c r="P1544">
        <v>0.96</v>
      </c>
      <c r="Q1544">
        <v>0.83899999999999997</v>
      </c>
      <c r="R1544" t="s">
        <v>72</v>
      </c>
      <c r="S1544" t="s">
        <v>8506</v>
      </c>
      <c r="T1544" t="b">
        <v>1</v>
      </c>
      <c r="U1544" t="s">
        <v>8507</v>
      </c>
      <c r="V1544" t="s">
        <v>3522</v>
      </c>
      <c r="W1544" t="s">
        <v>8508</v>
      </c>
      <c r="X1544" t="s">
        <v>47</v>
      </c>
      <c r="AA1544" t="s">
        <v>400</v>
      </c>
      <c r="AC1544" t="s">
        <v>402</v>
      </c>
      <c r="AD1544" t="b">
        <v>0</v>
      </c>
      <c r="AF1544">
        <v>13</v>
      </c>
      <c r="AG1544" t="s">
        <v>155</v>
      </c>
    </row>
    <row r="1545" spans="1:33" x14ac:dyDescent="0.2">
      <c r="A1545">
        <v>2096</v>
      </c>
      <c r="B1545" t="s">
        <v>8509</v>
      </c>
      <c r="C1545" t="s">
        <v>34</v>
      </c>
      <c r="D1545" t="s">
        <v>35</v>
      </c>
      <c r="E1545" t="s">
        <v>8510</v>
      </c>
      <c r="F1545" t="s">
        <v>8511</v>
      </c>
      <c r="G1545" t="s">
        <v>134</v>
      </c>
      <c r="H1545" t="s">
        <v>135</v>
      </c>
      <c r="I1545" t="s">
        <v>1094</v>
      </c>
      <c r="J1545" t="s">
        <v>426</v>
      </c>
      <c r="K1545">
        <v>2024</v>
      </c>
      <c r="L1545">
        <v>2024</v>
      </c>
      <c r="M1545">
        <v>2.86</v>
      </c>
      <c r="N1545">
        <v>7.2</v>
      </c>
      <c r="O1545">
        <v>280</v>
      </c>
      <c r="P1545">
        <v>1.2</v>
      </c>
      <c r="Q1545">
        <v>0.66200000000000003</v>
      </c>
      <c r="R1545" t="s">
        <v>42</v>
      </c>
      <c r="S1545" t="s">
        <v>1095</v>
      </c>
      <c r="T1545" t="b">
        <v>1</v>
      </c>
      <c r="U1545" t="s">
        <v>8512</v>
      </c>
      <c r="V1545" t="s">
        <v>8513</v>
      </c>
      <c r="W1545" t="s">
        <v>8514</v>
      </c>
      <c r="X1545" t="s">
        <v>47</v>
      </c>
      <c r="AA1545" t="s">
        <v>114</v>
      </c>
      <c r="AC1545" t="s">
        <v>63</v>
      </c>
      <c r="AD1545" t="b">
        <v>0</v>
      </c>
      <c r="AF1545">
        <v>10</v>
      </c>
      <c r="AG1545" t="s">
        <v>143</v>
      </c>
    </row>
    <row r="1546" spans="1:33" x14ac:dyDescent="0.2">
      <c r="A1546">
        <v>439</v>
      </c>
      <c r="B1546" t="s">
        <v>8515</v>
      </c>
      <c r="C1546" t="s">
        <v>34</v>
      </c>
      <c r="D1546" t="s">
        <v>35</v>
      </c>
      <c r="E1546" t="s">
        <v>4711</v>
      </c>
      <c r="F1546" t="s">
        <v>4712</v>
      </c>
      <c r="G1546" t="s">
        <v>503</v>
      </c>
      <c r="H1546" t="s">
        <v>462</v>
      </c>
      <c r="I1546" t="s">
        <v>2302</v>
      </c>
      <c r="J1546" t="s">
        <v>227</v>
      </c>
      <c r="K1546">
        <v>1955</v>
      </c>
      <c r="L1546">
        <v>1955</v>
      </c>
      <c r="M1546">
        <v>41</v>
      </c>
      <c r="N1546">
        <v>219.85499999999999</v>
      </c>
      <c r="O1546">
        <v>29.2</v>
      </c>
      <c r="P1546">
        <v>160</v>
      </c>
      <c r="Q1546">
        <v>7.0999999999999994E-2</v>
      </c>
      <c r="R1546" t="s">
        <v>84</v>
      </c>
      <c r="S1546" t="s">
        <v>8228</v>
      </c>
      <c r="T1546" t="b">
        <v>1</v>
      </c>
      <c r="U1546" t="s">
        <v>4534</v>
      </c>
      <c r="V1546" t="s">
        <v>4716</v>
      </c>
      <c r="W1546" t="s">
        <v>8516</v>
      </c>
      <c r="X1546" t="s">
        <v>47</v>
      </c>
      <c r="AA1546" t="s">
        <v>583</v>
      </c>
      <c r="AB1546" t="s">
        <v>83</v>
      </c>
      <c r="AC1546" t="s">
        <v>585</v>
      </c>
      <c r="AD1546" t="b">
        <v>0</v>
      </c>
      <c r="AF1546">
        <v>3</v>
      </c>
      <c r="AG1546" t="s">
        <v>332</v>
      </c>
    </row>
    <row r="1547" spans="1:33" x14ac:dyDescent="0.2">
      <c r="A1547">
        <v>1431</v>
      </c>
      <c r="B1547" t="s">
        <v>8517</v>
      </c>
      <c r="C1547" t="s">
        <v>34</v>
      </c>
      <c r="D1547" t="s">
        <v>35</v>
      </c>
      <c r="E1547" t="s">
        <v>4711</v>
      </c>
      <c r="F1547" t="s">
        <v>4712</v>
      </c>
      <c r="G1547" t="s">
        <v>503</v>
      </c>
      <c r="H1547" t="s">
        <v>462</v>
      </c>
      <c r="I1547" t="s">
        <v>2302</v>
      </c>
      <c r="J1547" t="s">
        <v>227</v>
      </c>
      <c r="K1547">
        <v>1912</v>
      </c>
      <c r="L1547">
        <v>1912</v>
      </c>
      <c r="M1547">
        <v>3.5</v>
      </c>
      <c r="N1547">
        <v>21.236000000000001</v>
      </c>
      <c r="O1547">
        <v>29</v>
      </c>
      <c r="P1547">
        <v>15</v>
      </c>
      <c r="Q1547">
        <v>6.5000000000000002E-2</v>
      </c>
      <c r="R1547" t="s">
        <v>84</v>
      </c>
      <c r="S1547" t="s">
        <v>8228</v>
      </c>
      <c r="T1547" t="b">
        <v>1</v>
      </c>
      <c r="U1547" t="s">
        <v>1023</v>
      </c>
      <c r="V1547" t="s">
        <v>4716</v>
      </c>
      <c r="W1547" t="s">
        <v>8516</v>
      </c>
      <c r="X1547" t="s">
        <v>47</v>
      </c>
      <c r="AA1547" t="s">
        <v>583</v>
      </c>
      <c r="AB1547" t="s">
        <v>765</v>
      </c>
      <c r="AC1547" t="s">
        <v>585</v>
      </c>
      <c r="AD1547" t="b">
        <v>0</v>
      </c>
      <c r="AF1547">
        <v>3</v>
      </c>
      <c r="AG1547" t="s">
        <v>332</v>
      </c>
    </row>
    <row r="1548" spans="1:33" x14ac:dyDescent="0.2">
      <c r="A1548">
        <v>1399</v>
      </c>
      <c r="B1548" t="s">
        <v>8518</v>
      </c>
      <c r="C1548" t="s">
        <v>34</v>
      </c>
      <c r="D1548" t="s">
        <v>35</v>
      </c>
      <c r="E1548" t="s">
        <v>8519</v>
      </c>
      <c r="F1548" t="s">
        <v>8520</v>
      </c>
      <c r="G1548" t="s">
        <v>503</v>
      </c>
      <c r="H1548" t="s">
        <v>462</v>
      </c>
      <c r="I1548" t="s">
        <v>2564</v>
      </c>
      <c r="J1548" t="s">
        <v>262</v>
      </c>
      <c r="K1548">
        <v>2008</v>
      </c>
      <c r="L1548">
        <v>2008</v>
      </c>
      <c r="M1548">
        <v>2.2999999999999998</v>
      </c>
      <c r="N1548">
        <v>6.2610000000000001</v>
      </c>
      <c r="O1548">
        <v>57</v>
      </c>
      <c r="P1548">
        <v>5</v>
      </c>
      <c r="Q1548">
        <v>0.128</v>
      </c>
      <c r="R1548" t="s">
        <v>84</v>
      </c>
      <c r="S1548" t="s">
        <v>8521</v>
      </c>
      <c r="T1548" t="b">
        <v>1</v>
      </c>
      <c r="U1548" t="s">
        <v>8522</v>
      </c>
      <c r="V1548" t="s">
        <v>8523</v>
      </c>
      <c r="W1548" t="s">
        <v>8524</v>
      </c>
      <c r="X1548" t="s">
        <v>47</v>
      </c>
      <c r="AA1548" t="s">
        <v>583</v>
      </c>
      <c r="AC1548" t="s">
        <v>585</v>
      </c>
      <c r="AD1548" t="b">
        <v>0</v>
      </c>
      <c r="AF1548">
        <v>3</v>
      </c>
      <c r="AG1548" t="s">
        <v>332</v>
      </c>
    </row>
    <row r="1549" spans="1:33" x14ac:dyDescent="0.2">
      <c r="A1549">
        <v>1605</v>
      </c>
      <c r="B1549" t="s">
        <v>8525</v>
      </c>
      <c r="C1549" t="s">
        <v>34</v>
      </c>
      <c r="D1549" t="s">
        <v>35</v>
      </c>
      <c r="E1549" t="s">
        <v>8526</v>
      </c>
      <c r="F1549" t="s">
        <v>8527</v>
      </c>
      <c r="G1549" t="s">
        <v>483</v>
      </c>
      <c r="H1549" t="s">
        <v>109</v>
      </c>
      <c r="I1549" t="s">
        <v>1355</v>
      </c>
      <c r="J1549" t="s">
        <v>462</v>
      </c>
      <c r="K1549">
        <v>2009</v>
      </c>
      <c r="L1549">
        <v>2009</v>
      </c>
      <c r="M1549">
        <v>7.4999999999999997E-2</v>
      </c>
      <c r="N1549">
        <v>0.245</v>
      </c>
      <c r="R1549" t="s">
        <v>97</v>
      </c>
      <c r="S1549" t="s">
        <v>8528</v>
      </c>
      <c r="T1549" t="b">
        <v>1</v>
      </c>
      <c r="U1549" t="s">
        <v>8529</v>
      </c>
      <c r="V1549" t="s">
        <v>8530</v>
      </c>
      <c r="W1549" t="s">
        <v>8531</v>
      </c>
      <c r="X1549" t="s">
        <v>47</v>
      </c>
      <c r="AA1549" t="s">
        <v>340</v>
      </c>
      <c r="AC1549" t="s">
        <v>341</v>
      </c>
      <c r="AD1549" t="b">
        <v>0</v>
      </c>
      <c r="AF1549">
        <v>1</v>
      </c>
      <c r="AG1549" t="s">
        <v>104</v>
      </c>
    </row>
    <row r="1550" spans="1:33" x14ac:dyDescent="0.2">
      <c r="A1550">
        <v>1792</v>
      </c>
      <c r="B1550" t="s">
        <v>8532</v>
      </c>
      <c r="C1550" t="s">
        <v>34</v>
      </c>
      <c r="D1550" t="s">
        <v>35</v>
      </c>
      <c r="E1550" t="s">
        <v>91</v>
      </c>
      <c r="F1550" t="s">
        <v>92</v>
      </c>
      <c r="G1550" t="s">
        <v>93</v>
      </c>
      <c r="H1550" t="s">
        <v>94</v>
      </c>
      <c r="I1550" t="s">
        <v>2084</v>
      </c>
      <c r="J1550" t="s">
        <v>1166</v>
      </c>
      <c r="K1550">
        <v>2014</v>
      </c>
      <c r="L1550">
        <v>2014</v>
      </c>
      <c r="M1550">
        <v>1.65</v>
      </c>
      <c r="N1550">
        <v>5.6740000000000004</v>
      </c>
      <c r="O1550">
        <v>10.31</v>
      </c>
      <c r="P1550">
        <v>17</v>
      </c>
      <c r="Q1550">
        <v>2.7E-2</v>
      </c>
      <c r="R1550" t="s">
        <v>57</v>
      </c>
      <c r="S1550" t="s">
        <v>8533</v>
      </c>
      <c r="T1550" t="b">
        <v>1</v>
      </c>
      <c r="U1550" t="s">
        <v>8534</v>
      </c>
      <c r="V1550" t="s">
        <v>100</v>
      </c>
      <c r="W1550" t="s">
        <v>8535</v>
      </c>
      <c r="X1550" t="s">
        <v>47</v>
      </c>
      <c r="AA1550" t="s">
        <v>102</v>
      </c>
      <c r="AB1550" t="s">
        <v>1166</v>
      </c>
      <c r="AC1550" t="s">
        <v>103</v>
      </c>
      <c r="AD1550" t="b">
        <v>0</v>
      </c>
      <c r="AF1550">
        <v>2</v>
      </c>
      <c r="AG1550" t="s">
        <v>287</v>
      </c>
    </row>
    <row r="1551" spans="1:33" x14ac:dyDescent="0.2">
      <c r="A1551">
        <v>441</v>
      </c>
      <c r="B1551" t="s">
        <v>8536</v>
      </c>
      <c r="C1551" t="s">
        <v>34</v>
      </c>
      <c r="D1551" t="s">
        <v>35</v>
      </c>
      <c r="E1551" t="s">
        <v>7562</v>
      </c>
      <c r="F1551" t="s">
        <v>7563</v>
      </c>
      <c r="G1551" t="s">
        <v>916</v>
      </c>
      <c r="H1551" t="s">
        <v>567</v>
      </c>
      <c r="I1551" t="s">
        <v>1113</v>
      </c>
      <c r="J1551" t="s">
        <v>49</v>
      </c>
      <c r="K1551">
        <v>1955</v>
      </c>
      <c r="L1551">
        <v>1955</v>
      </c>
      <c r="M1551">
        <v>20</v>
      </c>
      <c r="N1551">
        <v>89.501000000000005</v>
      </c>
      <c r="O1551">
        <v>66.09</v>
      </c>
      <c r="P1551">
        <v>36.08</v>
      </c>
      <c r="Q1551">
        <v>0.153</v>
      </c>
      <c r="R1551" t="s">
        <v>97</v>
      </c>
      <c r="S1551" t="s">
        <v>8537</v>
      </c>
      <c r="T1551" t="b">
        <v>1</v>
      </c>
      <c r="U1551" t="s">
        <v>8538</v>
      </c>
      <c r="V1551" t="s">
        <v>8539</v>
      </c>
      <c r="W1551" t="s">
        <v>8540</v>
      </c>
      <c r="X1551" t="s">
        <v>47</v>
      </c>
      <c r="AA1551" t="s">
        <v>1116</v>
      </c>
      <c r="AB1551" t="s">
        <v>401</v>
      </c>
      <c r="AC1551" t="s">
        <v>1117</v>
      </c>
      <c r="AD1551" t="b">
        <v>0</v>
      </c>
      <c r="AF1551">
        <v>1</v>
      </c>
      <c r="AG1551" t="s">
        <v>104</v>
      </c>
    </row>
    <row r="1552" spans="1:33" x14ac:dyDescent="0.2">
      <c r="A1552">
        <v>442</v>
      </c>
      <c r="B1552" t="s">
        <v>8541</v>
      </c>
      <c r="C1552" t="s">
        <v>34</v>
      </c>
      <c r="D1552" t="s">
        <v>35</v>
      </c>
      <c r="E1552" t="s">
        <v>1027</v>
      </c>
      <c r="F1552" t="s">
        <v>1028</v>
      </c>
      <c r="G1552" t="s">
        <v>213</v>
      </c>
      <c r="H1552" t="s">
        <v>83</v>
      </c>
      <c r="I1552" t="s">
        <v>1672</v>
      </c>
      <c r="J1552" t="s">
        <v>231</v>
      </c>
      <c r="K1552">
        <v>1984</v>
      </c>
      <c r="L1552">
        <v>1984</v>
      </c>
      <c r="M1552">
        <v>110</v>
      </c>
      <c r="N1552">
        <v>364.20400000000001</v>
      </c>
      <c r="O1552">
        <v>885.5</v>
      </c>
      <c r="P1552">
        <v>15</v>
      </c>
      <c r="Q1552">
        <v>2.036</v>
      </c>
      <c r="R1552" t="s">
        <v>84</v>
      </c>
      <c r="S1552" t="s">
        <v>8542</v>
      </c>
      <c r="T1552" t="b">
        <v>1</v>
      </c>
      <c r="U1552" t="s">
        <v>8543</v>
      </c>
      <c r="V1552" t="s">
        <v>1032</v>
      </c>
      <c r="W1552" t="s">
        <v>8544</v>
      </c>
      <c r="X1552" t="s">
        <v>47</v>
      </c>
      <c r="AA1552" t="s">
        <v>5473</v>
      </c>
      <c r="AB1552" t="s">
        <v>49</v>
      </c>
      <c r="AC1552" t="s">
        <v>1035</v>
      </c>
      <c r="AD1552" t="b">
        <v>0</v>
      </c>
      <c r="AF1552">
        <v>4</v>
      </c>
      <c r="AG1552" t="s">
        <v>321</v>
      </c>
    </row>
    <row r="1553" spans="1:33" x14ac:dyDescent="0.2">
      <c r="A1553">
        <v>443</v>
      </c>
      <c r="B1553" t="s">
        <v>8545</v>
      </c>
      <c r="C1553" t="s">
        <v>574</v>
      </c>
      <c r="D1553" t="s">
        <v>575</v>
      </c>
      <c r="E1553" t="s">
        <v>1027</v>
      </c>
      <c r="F1553" t="s">
        <v>1028</v>
      </c>
      <c r="G1553" t="s">
        <v>213</v>
      </c>
      <c r="H1553" t="s">
        <v>83</v>
      </c>
      <c r="I1553" t="s">
        <v>1672</v>
      </c>
      <c r="J1553" t="s">
        <v>231</v>
      </c>
      <c r="K1553">
        <v>1985</v>
      </c>
      <c r="L1553">
        <v>1985</v>
      </c>
      <c r="M1553">
        <v>-3.5</v>
      </c>
      <c r="N1553">
        <v>-6.3810000000000002</v>
      </c>
      <c r="O1553">
        <v>0</v>
      </c>
      <c r="P1553">
        <v>2.4</v>
      </c>
      <c r="Q1553">
        <v>-0.40500000000000003</v>
      </c>
      <c r="R1553" t="s">
        <v>84</v>
      </c>
      <c r="S1553" t="s">
        <v>8546</v>
      </c>
      <c r="T1553" t="b">
        <v>1</v>
      </c>
      <c r="U1553" t="s">
        <v>517</v>
      </c>
      <c r="V1553" t="s">
        <v>1032</v>
      </c>
      <c r="W1553" t="s">
        <v>113</v>
      </c>
      <c r="X1553" t="s">
        <v>47</v>
      </c>
      <c r="AA1553" t="s">
        <v>5473</v>
      </c>
      <c r="AB1553" t="s">
        <v>177</v>
      </c>
      <c r="AC1553" t="s">
        <v>1035</v>
      </c>
      <c r="AD1553" t="b">
        <v>0</v>
      </c>
      <c r="AF1553">
        <v>4</v>
      </c>
      <c r="AG1553" t="s">
        <v>321</v>
      </c>
    </row>
    <row r="1554" spans="1:33" x14ac:dyDescent="0.2">
      <c r="A1554">
        <v>755</v>
      </c>
      <c r="B1554" t="s">
        <v>8547</v>
      </c>
      <c r="C1554" t="s">
        <v>574</v>
      </c>
      <c r="D1554" t="s">
        <v>575</v>
      </c>
      <c r="E1554" t="s">
        <v>1739</v>
      </c>
      <c r="F1554" t="s">
        <v>1740</v>
      </c>
      <c r="G1554" t="s">
        <v>68</v>
      </c>
      <c r="H1554" t="s">
        <v>69</v>
      </c>
      <c r="I1554" t="s">
        <v>1741</v>
      </c>
      <c r="J1554" t="s">
        <v>1742</v>
      </c>
      <c r="K1554">
        <v>1995</v>
      </c>
      <c r="L1554">
        <v>1995</v>
      </c>
      <c r="M1554">
        <v>-0.2</v>
      </c>
      <c r="N1554">
        <v>-0.69199999999999995</v>
      </c>
      <c r="O1554">
        <v>0</v>
      </c>
      <c r="P1554">
        <v>0.5</v>
      </c>
      <c r="Q1554">
        <v>-7.9000000000000001E-2</v>
      </c>
      <c r="R1554" t="s">
        <v>72</v>
      </c>
      <c r="S1554" t="s">
        <v>8548</v>
      </c>
      <c r="T1554" t="b">
        <v>1</v>
      </c>
      <c r="U1554" t="s">
        <v>2566</v>
      </c>
      <c r="V1554" t="s">
        <v>1745</v>
      </c>
      <c r="W1554" t="s">
        <v>8435</v>
      </c>
      <c r="X1554" t="s">
        <v>47</v>
      </c>
      <c r="AA1554" t="s">
        <v>8417</v>
      </c>
      <c r="AB1554" t="s">
        <v>135</v>
      </c>
      <c r="AC1554" t="s">
        <v>8418</v>
      </c>
      <c r="AD1554" t="b">
        <v>0</v>
      </c>
      <c r="AF1554">
        <v>8</v>
      </c>
      <c r="AG1554" t="s">
        <v>78</v>
      </c>
    </row>
    <row r="1555" spans="1:33" x14ac:dyDescent="0.2">
      <c r="A1555">
        <v>444</v>
      </c>
      <c r="B1555" t="s">
        <v>8549</v>
      </c>
      <c r="C1555" t="s">
        <v>34</v>
      </c>
      <c r="D1555" t="s">
        <v>35</v>
      </c>
      <c r="E1555" t="s">
        <v>404</v>
      </c>
      <c r="F1555" t="s">
        <v>405</v>
      </c>
      <c r="G1555" t="s">
        <v>503</v>
      </c>
      <c r="H1555" t="s">
        <v>462</v>
      </c>
      <c r="I1555" t="s">
        <v>564</v>
      </c>
      <c r="J1555" t="s">
        <v>515</v>
      </c>
      <c r="K1555">
        <v>1966</v>
      </c>
      <c r="L1555">
        <v>1966</v>
      </c>
      <c r="M1555">
        <v>6</v>
      </c>
      <c r="N1555">
        <v>39.872</v>
      </c>
      <c r="O1555">
        <v>17.7</v>
      </c>
      <c r="P1555">
        <v>39.68</v>
      </c>
      <c r="Q1555">
        <v>4.2000000000000003E-2</v>
      </c>
      <c r="R1555" t="s">
        <v>84</v>
      </c>
      <c r="S1555" t="s">
        <v>8550</v>
      </c>
      <c r="T1555" t="b">
        <v>1</v>
      </c>
      <c r="U1555" t="s">
        <v>2896</v>
      </c>
      <c r="V1555" t="s">
        <v>408</v>
      </c>
      <c r="W1555" t="s">
        <v>113</v>
      </c>
      <c r="X1555" t="s">
        <v>47</v>
      </c>
      <c r="AA1555" t="s">
        <v>509</v>
      </c>
      <c r="AB1555" t="s">
        <v>612</v>
      </c>
      <c r="AC1555" t="s">
        <v>510</v>
      </c>
      <c r="AD1555" t="b">
        <v>0</v>
      </c>
      <c r="AF1555">
        <v>3</v>
      </c>
      <c r="AG1555" t="s">
        <v>332</v>
      </c>
    </row>
    <row r="1556" spans="1:33" x14ac:dyDescent="0.2">
      <c r="A1556">
        <v>445</v>
      </c>
      <c r="B1556" t="s">
        <v>8551</v>
      </c>
      <c r="C1556" t="s">
        <v>34</v>
      </c>
      <c r="D1556" t="s">
        <v>35</v>
      </c>
      <c r="E1556" t="s">
        <v>1670</v>
      </c>
      <c r="F1556" t="s">
        <v>1671</v>
      </c>
      <c r="G1556" t="s">
        <v>312</v>
      </c>
      <c r="H1556" t="s">
        <v>313</v>
      </c>
      <c r="I1556" t="s">
        <v>1049</v>
      </c>
      <c r="J1556" t="s">
        <v>171</v>
      </c>
      <c r="K1556">
        <v>1973</v>
      </c>
      <c r="L1556">
        <v>1973</v>
      </c>
      <c r="M1556">
        <v>120</v>
      </c>
      <c r="N1556">
        <v>594.09699999999998</v>
      </c>
      <c r="O1556">
        <v>158</v>
      </c>
      <c r="P1556">
        <v>90.08</v>
      </c>
      <c r="Q1556">
        <v>0.37</v>
      </c>
      <c r="R1556" t="s">
        <v>84</v>
      </c>
      <c r="S1556" t="s">
        <v>8552</v>
      </c>
      <c r="T1556" t="b">
        <v>1</v>
      </c>
      <c r="U1556" t="s">
        <v>8553</v>
      </c>
      <c r="V1556" t="s">
        <v>1675</v>
      </c>
      <c r="W1556" t="s">
        <v>8554</v>
      </c>
      <c r="X1556" t="s">
        <v>47</v>
      </c>
      <c r="AA1556" t="s">
        <v>615</v>
      </c>
      <c r="AB1556" t="s">
        <v>567</v>
      </c>
      <c r="AC1556" t="s">
        <v>616</v>
      </c>
      <c r="AD1556" t="b">
        <v>0</v>
      </c>
      <c r="AF1556">
        <v>4</v>
      </c>
      <c r="AG1556" t="s">
        <v>321</v>
      </c>
    </row>
    <row r="1557" spans="1:33" x14ac:dyDescent="0.2">
      <c r="A1557">
        <v>1557</v>
      </c>
      <c r="B1557" t="s">
        <v>8555</v>
      </c>
      <c r="C1557" t="s">
        <v>34</v>
      </c>
      <c r="D1557" t="s">
        <v>35</v>
      </c>
      <c r="E1557" t="s">
        <v>8556</v>
      </c>
      <c r="F1557" t="s">
        <v>8557</v>
      </c>
      <c r="G1557" t="s">
        <v>213</v>
      </c>
      <c r="H1557" t="s">
        <v>83</v>
      </c>
      <c r="I1557" t="s">
        <v>4143</v>
      </c>
      <c r="J1557" t="s">
        <v>83</v>
      </c>
      <c r="K1557">
        <v>2011</v>
      </c>
      <c r="L1557">
        <v>2011</v>
      </c>
      <c r="M1557">
        <v>0.155</v>
      </c>
      <c r="N1557">
        <v>0.56399999999999995</v>
      </c>
      <c r="O1557">
        <v>89</v>
      </c>
      <c r="P1557">
        <v>0.185</v>
      </c>
      <c r="Q1557">
        <v>0.23300000000000001</v>
      </c>
      <c r="R1557" t="s">
        <v>84</v>
      </c>
      <c r="S1557" t="s">
        <v>8558</v>
      </c>
      <c r="T1557" t="b">
        <v>1</v>
      </c>
      <c r="U1557" t="s">
        <v>8559</v>
      </c>
      <c r="V1557" t="s">
        <v>8560</v>
      </c>
      <c r="W1557" t="s">
        <v>8561</v>
      </c>
      <c r="X1557" t="s">
        <v>47</v>
      </c>
      <c r="AA1557" t="s">
        <v>3872</v>
      </c>
      <c r="AC1557" t="s">
        <v>3873</v>
      </c>
      <c r="AD1557" t="b">
        <v>0</v>
      </c>
      <c r="AF1557">
        <v>4</v>
      </c>
      <c r="AG1557" t="s">
        <v>321</v>
      </c>
    </row>
    <row r="1558" spans="1:33" x14ac:dyDescent="0.2">
      <c r="A1558">
        <v>1737</v>
      </c>
      <c r="B1558" t="s">
        <v>8562</v>
      </c>
      <c r="C1558" t="s">
        <v>34</v>
      </c>
      <c r="D1558" t="s">
        <v>35</v>
      </c>
      <c r="E1558" t="s">
        <v>8556</v>
      </c>
      <c r="F1558" t="s">
        <v>8557</v>
      </c>
      <c r="G1558" t="s">
        <v>213</v>
      </c>
      <c r="H1558" t="s">
        <v>83</v>
      </c>
      <c r="I1558" t="s">
        <v>4143</v>
      </c>
      <c r="J1558" t="s">
        <v>83</v>
      </c>
      <c r="K1558">
        <v>2011</v>
      </c>
      <c r="L1558">
        <v>2011</v>
      </c>
      <c r="M1558">
        <v>4.4999999999999998E-2</v>
      </c>
      <c r="N1558">
        <v>0.14000000000000001</v>
      </c>
      <c r="O1558">
        <v>90</v>
      </c>
      <c r="P1558">
        <v>6.5000000000000002E-2</v>
      </c>
      <c r="Q1558">
        <v>0.192</v>
      </c>
      <c r="R1558" t="s">
        <v>84</v>
      </c>
      <c r="S1558" t="s">
        <v>8558</v>
      </c>
      <c r="T1558" t="b">
        <v>1</v>
      </c>
      <c r="U1558" t="s">
        <v>8559</v>
      </c>
      <c r="V1558" t="s">
        <v>8560</v>
      </c>
      <c r="W1558" t="s">
        <v>8563</v>
      </c>
      <c r="X1558" t="s">
        <v>47</v>
      </c>
      <c r="AA1558" t="s">
        <v>3872</v>
      </c>
      <c r="AC1558" t="s">
        <v>3873</v>
      </c>
      <c r="AD1558" t="b">
        <v>0</v>
      </c>
      <c r="AF1558">
        <v>4</v>
      </c>
      <c r="AG1558" t="s">
        <v>321</v>
      </c>
    </row>
    <row r="1559" spans="1:33" x14ac:dyDescent="0.2">
      <c r="A1559">
        <v>1254</v>
      </c>
      <c r="B1559" t="s">
        <v>8564</v>
      </c>
      <c r="C1559" t="s">
        <v>34</v>
      </c>
      <c r="D1559" t="s">
        <v>35</v>
      </c>
      <c r="E1559" t="s">
        <v>8565</v>
      </c>
      <c r="F1559" t="s">
        <v>8566</v>
      </c>
      <c r="G1559" t="s">
        <v>213</v>
      </c>
      <c r="H1559" t="s">
        <v>83</v>
      </c>
      <c r="I1559" t="s">
        <v>635</v>
      </c>
      <c r="J1559" t="s">
        <v>94</v>
      </c>
      <c r="K1559">
        <v>2005</v>
      </c>
      <c r="L1559">
        <v>2005</v>
      </c>
      <c r="M1559">
        <v>4.16</v>
      </c>
      <c r="N1559">
        <v>11.464</v>
      </c>
      <c r="O1559">
        <v>405</v>
      </c>
      <c r="P1559">
        <v>1.2</v>
      </c>
      <c r="Q1559">
        <v>0.96299999999999997</v>
      </c>
      <c r="R1559" t="s">
        <v>84</v>
      </c>
      <c r="S1559" t="s">
        <v>8025</v>
      </c>
      <c r="T1559" t="b">
        <v>1</v>
      </c>
      <c r="U1559" t="s">
        <v>8567</v>
      </c>
      <c r="V1559" t="s">
        <v>8568</v>
      </c>
      <c r="W1559" t="s">
        <v>8569</v>
      </c>
      <c r="X1559" t="s">
        <v>47</v>
      </c>
      <c r="AA1559" t="s">
        <v>958</v>
      </c>
      <c r="AB1559" t="s">
        <v>177</v>
      </c>
      <c r="AC1559" t="s">
        <v>959</v>
      </c>
      <c r="AD1559" t="b">
        <v>0</v>
      </c>
      <c r="AF1559">
        <v>3</v>
      </c>
      <c r="AG1559" t="s">
        <v>332</v>
      </c>
    </row>
    <row r="1560" spans="1:33" x14ac:dyDescent="0.2">
      <c r="A1560">
        <v>1476</v>
      </c>
      <c r="B1560" t="s">
        <v>8570</v>
      </c>
      <c r="C1560" t="s">
        <v>34</v>
      </c>
      <c r="D1560" t="s">
        <v>35</v>
      </c>
      <c r="E1560" t="s">
        <v>168</v>
      </c>
      <c r="F1560" t="s">
        <v>169</v>
      </c>
      <c r="G1560" t="s">
        <v>53</v>
      </c>
      <c r="H1560" t="s">
        <v>54</v>
      </c>
      <c r="I1560" t="s">
        <v>1039</v>
      </c>
      <c r="J1560" t="s">
        <v>243</v>
      </c>
      <c r="K1560">
        <v>2011</v>
      </c>
      <c r="L1560">
        <v>2011</v>
      </c>
      <c r="M1560">
        <v>2.2999999999999998</v>
      </c>
      <c r="N1560">
        <v>5.1120000000000001</v>
      </c>
      <c r="O1560">
        <v>380</v>
      </c>
      <c r="P1560">
        <v>0.7</v>
      </c>
      <c r="Q1560">
        <v>0.91300000000000003</v>
      </c>
      <c r="R1560" t="s">
        <v>72</v>
      </c>
      <c r="S1560" t="s">
        <v>8571</v>
      </c>
      <c r="T1560" t="b">
        <v>1</v>
      </c>
      <c r="U1560" t="s">
        <v>8572</v>
      </c>
      <c r="V1560" t="s">
        <v>174</v>
      </c>
      <c r="W1560" t="s">
        <v>8573</v>
      </c>
      <c r="X1560" t="s">
        <v>47</v>
      </c>
      <c r="AA1560" t="s">
        <v>114</v>
      </c>
      <c r="AB1560" t="s">
        <v>49</v>
      </c>
      <c r="AC1560" t="s">
        <v>8574</v>
      </c>
      <c r="AD1560" t="b">
        <v>0</v>
      </c>
      <c r="AF1560">
        <v>13</v>
      </c>
      <c r="AG1560" t="s">
        <v>155</v>
      </c>
    </row>
    <row r="1561" spans="1:33" x14ac:dyDescent="0.2">
      <c r="A1561">
        <v>1977</v>
      </c>
      <c r="B1561" t="s">
        <v>8575</v>
      </c>
      <c r="C1561" t="s">
        <v>34</v>
      </c>
      <c r="D1561" t="s">
        <v>35</v>
      </c>
      <c r="E1561" t="s">
        <v>8576</v>
      </c>
      <c r="F1561" t="s">
        <v>8577</v>
      </c>
      <c r="G1561" t="s">
        <v>224</v>
      </c>
      <c r="H1561" t="s">
        <v>225</v>
      </c>
      <c r="I1561" t="s">
        <v>2137</v>
      </c>
      <c r="J1561" t="s">
        <v>676</v>
      </c>
      <c r="K1561">
        <v>2019</v>
      </c>
      <c r="L1561">
        <v>2019</v>
      </c>
      <c r="M1561">
        <v>3.2</v>
      </c>
      <c r="N1561">
        <v>8.83</v>
      </c>
      <c r="O1561">
        <v>70</v>
      </c>
      <c r="P1561">
        <v>6.3</v>
      </c>
      <c r="Q1561">
        <v>0.14099999999999999</v>
      </c>
      <c r="R1561" t="s">
        <v>57</v>
      </c>
      <c r="S1561" t="s">
        <v>8578</v>
      </c>
      <c r="T1561" t="b">
        <v>1</v>
      </c>
      <c r="U1561" t="s">
        <v>8579</v>
      </c>
      <c r="V1561" t="s">
        <v>8580</v>
      </c>
      <c r="W1561" t="s">
        <v>8581</v>
      </c>
      <c r="X1561" t="s">
        <v>47</v>
      </c>
      <c r="AA1561" t="s">
        <v>102</v>
      </c>
      <c r="AB1561" t="s">
        <v>7010</v>
      </c>
      <c r="AC1561" t="s">
        <v>103</v>
      </c>
      <c r="AD1561" t="b">
        <v>0</v>
      </c>
      <c r="AF1561">
        <v>2</v>
      </c>
      <c r="AG1561" t="s">
        <v>287</v>
      </c>
    </row>
    <row r="1562" spans="1:33" x14ac:dyDescent="0.2">
      <c r="A1562">
        <v>1967</v>
      </c>
      <c r="B1562" t="s">
        <v>8582</v>
      </c>
      <c r="C1562" t="s">
        <v>34</v>
      </c>
      <c r="D1562" t="s">
        <v>35</v>
      </c>
      <c r="E1562" t="s">
        <v>8583</v>
      </c>
      <c r="F1562" t="s">
        <v>8584</v>
      </c>
      <c r="G1562" t="s">
        <v>53</v>
      </c>
      <c r="H1562" t="s">
        <v>54</v>
      </c>
      <c r="I1562" t="s">
        <v>675</v>
      </c>
      <c r="J1562" t="s">
        <v>676</v>
      </c>
      <c r="K1562">
        <v>2022</v>
      </c>
      <c r="L1562">
        <v>2022</v>
      </c>
      <c r="M1562">
        <v>26.5</v>
      </c>
      <c r="N1562">
        <v>77.537000000000006</v>
      </c>
      <c r="O1562">
        <v>297.60000000000002</v>
      </c>
      <c r="P1562">
        <v>10</v>
      </c>
      <c r="Q1562">
        <v>0.73599999999999999</v>
      </c>
      <c r="R1562" t="s">
        <v>57</v>
      </c>
      <c r="S1562" t="s">
        <v>8585</v>
      </c>
      <c r="T1562" t="b">
        <v>1</v>
      </c>
      <c r="U1562" t="s">
        <v>7811</v>
      </c>
      <c r="V1562" t="s">
        <v>8586</v>
      </c>
      <c r="W1562" t="s">
        <v>8587</v>
      </c>
      <c r="X1562" t="s">
        <v>47</v>
      </c>
      <c r="AA1562" t="s">
        <v>8588</v>
      </c>
      <c r="AB1562" t="s">
        <v>49</v>
      </c>
      <c r="AC1562" t="s">
        <v>8589</v>
      </c>
      <c r="AD1562" t="b">
        <v>0</v>
      </c>
      <c r="AF1562">
        <v>6</v>
      </c>
      <c r="AG1562" t="s">
        <v>64</v>
      </c>
    </row>
    <row r="1563" spans="1:33" x14ac:dyDescent="0.2">
      <c r="A1563">
        <v>2081</v>
      </c>
      <c r="B1563" t="s">
        <v>8590</v>
      </c>
      <c r="C1563" t="s">
        <v>34</v>
      </c>
      <c r="D1563" t="s">
        <v>35</v>
      </c>
      <c r="E1563" t="s">
        <v>757</v>
      </c>
      <c r="F1563" t="s">
        <v>758</v>
      </c>
      <c r="G1563" t="s">
        <v>53</v>
      </c>
      <c r="H1563" t="s">
        <v>54</v>
      </c>
      <c r="I1563" t="s">
        <v>325</v>
      </c>
      <c r="J1563" t="s">
        <v>135</v>
      </c>
      <c r="K1563">
        <v>2025</v>
      </c>
      <c r="L1563">
        <v>2025</v>
      </c>
      <c r="M1563">
        <v>8.39</v>
      </c>
      <c r="N1563">
        <v>22.3</v>
      </c>
      <c r="O1563">
        <v>405</v>
      </c>
      <c r="P1563">
        <v>2.41</v>
      </c>
      <c r="Q1563">
        <v>0.96699999999999997</v>
      </c>
      <c r="R1563" t="s">
        <v>84</v>
      </c>
      <c r="S1563" t="s">
        <v>8591</v>
      </c>
      <c r="T1563" t="b">
        <v>1</v>
      </c>
      <c r="U1563" t="s">
        <v>8592</v>
      </c>
      <c r="V1563" t="s">
        <v>761</v>
      </c>
      <c r="W1563" t="s">
        <v>8593</v>
      </c>
      <c r="X1563" t="s">
        <v>47</v>
      </c>
      <c r="AA1563" t="s">
        <v>8594</v>
      </c>
      <c r="AB1563" t="s">
        <v>49</v>
      </c>
      <c r="AC1563" t="s">
        <v>8595</v>
      </c>
      <c r="AD1563" t="b">
        <v>0</v>
      </c>
      <c r="AF1563">
        <v>3</v>
      </c>
      <c r="AG1563" t="s">
        <v>332</v>
      </c>
    </row>
    <row r="1564" spans="1:33" x14ac:dyDescent="0.2">
      <c r="A1564">
        <v>446</v>
      </c>
      <c r="B1564" t="s">
        <v>1331</v>
      </c>
      <c r="C1564" t="s">
        <v>34</v>
      </c>
      <c r="D1564" t="s">
        <v>35</v>
      </c>
      <c r="E1564" t="s">
        <v>36</v>
      </c>
      <c r="F1564" t="s">
        <v>37</v>
      </c>
      <c r="G1564" t="s">
        <v>503</v>
      </c>
      <c r="H1564" t="s">
        <v>462</v>
      </c>
      <c r="I1564" t="s">
        <v>1331</v>
      </c>
      <c r="J1564" t="s">
        <v>94</v>
      </c>
      <c r="K1564">
        <v>1961</v>
      </c>
      <c r="L1564">
        <v>1961</v>
      </c>
      <c r="M1564">
        <v>430</v>
      </c>
      <c r="N1564">
        <v>2396.0419999999999</v>
      </c>
      <c r="O1564">
        <v>393.5</v>
      </c>
      <c r="P1564">
        <v>128.02000000000001</v>
      </c>
      <c r="Q1564">
        <v>0.93300000000000005</v>
      </c>
      <c r="R1564" t="s">
        <v>84</v>
      </c>
      <c r="S1564" t="s">
        <v>8596</v>
      </c>
      <c r="T1564" t="b">
        <v>1</v>
      </c>
      <c r="U1564" t="s">
        <v>8597</v>
      </c>
      <c r="V1564" t="s">
        <v>45</v>
      </c>
      <c r="W1564" t="s">
        <v>8598</v>
      </c>
      <c r="X1564" t="s">
        <v>47</v>
      </c>
      <c r="AA1564" t="s">
        <v>583</v>
      </c>
      <c r="AB1564" t="s">
        <v>1653</v>
      </c>
      <c r="AC1564" t="s">
        <v>585</v>
      </c>
      <c r="AD1564" t="b">
        <v>0</v>
      </c>
      <c r="AF1564">
        <v>3</v>
      </c>
      <c r="AG1564" t="s">
        <v>332</v>
      </c>
    </row>
    <row r="1565" spans="1:33" x14ac:dyDescent="0.2">
      <c r="A1565">
        <v>447</v>
      </c>
      <c r="B1565" t="s">
        <v>8599</v>
      </c>
      <c r="C1565" t="s">
        <v>34</v>
      </c>
      <c r="D1565" t="s">
        <v>35</v>
      </c>
      <c r="E1565" t="s">
        <v>91</v>
      </c>
      <c r="F1565" t="s">
        <v>92</v>
      </c>
      <c r="G1565" t="s">
        <v>503</v>
      </c>
      <c r="H1565" t="s">
        <v>462</v>
      </c>
      <c r="I1565" t="s">
        <v>3770</v>
      </c>
      <c r="J1565" t="s">
        <v>539</v>
      </c>
      <c r="K1565">
        <v>1921</v>
      </c>
      <c r="L1565">
        <v>1921</v>
      </c>
      <c r="M1565">
        <v>4.8</v>
      </c>
      <c r="N1565">
        <v>19.992000000000001</v>
      </c>
      <c r="O1565">
        <v>80.59</v>
      </c>
      <c r="P1565">
        <v>7.82</v>
      </c>
      <c r="Q1565">
        <v>0.13500000000000001</v>
      </c>
      <c r="R1565" t="s">
        <v>84</v>
      </c>
      <c r="S1565" t="s">
        <v>8600</v>
      </c>
      <c r="T1565" t="b">
        <v>1</v>
      </c>
      <c r="U1565" t="s">
        <v>7339</v>
      </c>
      <c r="V1565" t="s">
        <v>100</v>
      </c>
      <c r="W1565" t="s">
        <v>8601</v>
      </c>
      <c r="X1565" t="s">
        <v>47</v>
      </c>
      <c r="AA1565" t="s">
        <v>2555</v>
      </c>
      <c r="AB1565" t="s">
        <v>401</v>
      </c>
      <c r="AC1565" t="s">
        <v>2556</v>
      </c>
      <c r="AD1565" t="b">
        <v>0</v>
      </c>
      <c r="AF1565">
        <v>3</v>
      </c>
      <c r="AG1565" t="s">
        <v>332</v>
      </c>
    </row>
    <row r="1566" spans="1:33" x14ac:dyDescent="0.2">
      <c r="A1566">
        <v>1949</v>
      </c>
      <c r="B1566" t="s">
        <v>8602</v>
      </c>
      <c r="C1566" t="s">
        <v>34</v>
      </c>
      <c r="D1566" t="s">
        <v>35</v>
      </c>
      <c r="E1566" t="s">
        <v>277</v>
      </c>
      <c r="F1566" t="s">
        <v>278</v>
      </c>
      <c r="G1566" t="s">
        <v>93</v>
      </c>
      <c r="H1566" t="s">
        <v>94</v>
      </c>
      <c r="I1566" t="s">
        <v>8602</v>
      </c>
      <c r="J1566" t="s">
        <v>262</v>
      </c>
      <c r="K1566">
        <v>2021</v>
      </c>
      <c r="L1566">
        <v>2021</v>
      </c>
      <c r="M1566">
        <v>43.1</v>
      </c>
      <c r="N1566">
        <v>182.79599999999999</v>
      </c>
      <c r="O1566">
        <v>87.8</v>
      </c>
      <c r="P1566">
        <v>60</v>
      </c>
      <c r="Q1566">
        <v>0.2</v>
      </c>
      <c r="R1566" t="s">
        <v>97</v>
      </c>
      <c r="S1566" t="s">
        <v>8603</v>
      </c>
      <c r="T1566" t="b">
        <v>1</v>
      </c>
      <c r="U1566" t="s">
        <v>8604</v>
      </c>
      <c r="V1566" t="s">
        <v>8605</v>
      </c>
      <c r="W1566" t="s">
        <v>8606</v>
      </c>
      <c r="X1566" t="s">
        <v>47</v>
      </c>
      <c r="AA1566" t="s">
        <v>340</v>
      </c>
      <c r="AB1566" t="s">
        <v>266</v>
      </c>
      <c r="AC1566" t="s">
        <v>341</v>
      </c>
      <c r="AD1566" t="b">
        <v>0</v>
      </c>
      <c r="AF1566">
        <v>1</v>
      </c>
      <c r="AG1566" t="s">
        <v>104</v>
      </c>
    </row>
    <row r="1567" spans="1:33" x14ac:dyDescent="0.2">
      <c r="A1567">
        <v>448</v>
      </c>
      <c r="B1567" t="s">
        <v>8607</v>
      </c>
      <c r="C1567" t="s">
        <v>34</v>
      </c>
      <c r="D1567" t="s">
        <v>35</v>
      </c>
      <c r="E1567" t="s">
        <v>1670</v>
      </c>
      <c r="F1567" t="s">
        <v>1671</v>
      </c>
      <c r="G1567" t="s">
        <v>312</v>
      </c>
      <c r="H1567" t="s">
        <v>313</v>
      </c>
      <c r="I1567" t="s">
        <v>1049</v>
      </c>
      <c r="J1567" t="s">
        <v>171</v>
      </c>
      <c r="K1567">
        <v>1968</v>
      </c>
      <c r="L1567">
        <v>1968</v>
      </c>
      <c r="M1567">
        <v>960</v>
      </c>
      <c r="N1567">
        <v>4057.5749999999998</v>
      </c>
      <c r="O1567">
        <v>442</v>
      </c>
      <c r="P1567">
        <v>253.24</v>
      </c>
      <c r="Q1567">
        <v>1.052</v>
      </c>
      <c r="R1567" t="s">
        <v>84</v>
      </c>
      <c r="S1567" t="s">
        <v>8608</v>
      </c>
      <c r="T1567" t="b">
        <v>1</v>
      </c>
      <c r="U1567" t="s">
        <v>8609</v>
      </c>
      <c r="V1567" t="s">
        <v>1675</v>
      </c>
      <c r="W1567" t="s">
        <v>8610</v>
      </c>
      <c r="X1567" t="s">
        <v>47</v>
      </c>
      <c r="AA1567" t="s">
        <v>615</v>
      </c>
      <c r="AB1567" t="s">
        <v>56</v>
      </c>
      <c r="AC1567" t="s">
        <v>616</v>
      </c>
      <c r="AD1567" t="b">
        <v>0</v>
      </c>
      <c r="AF1567">
        <v>4</v>
      </c>
      <c r="AG1567" t="s">
        <v>321</v>
      </c>
    </row>
    <row r="1568" spans="1:33" x14ac:dyDescent="0.2">
      <c r="A1568">
        <v>1150</v>
      </c>
      <c r="B1568" t="s">
        <v>8611</v>
      </c>
      <c r="C1568" t="s">
        <v>34</v>
      </c>
      <c r="D1568" t="s">
        <v>35</v>
      </c>
      <c r="G1568" t="s">
        <v>134</v>
      </c>
      <c r="H1568" t="s">
        <v>135</v>
      </c>
      <c r="I1568" t="s">
        <v>6701</v>
      </c>
      <c r="J1568" t="s">
        <v>1062</v>
      </c>
      <c r="K1568">
        <v>1998</v>
      </c>
      <c r="L1568">
        <v>1998</v>
      </c>
      <c r="M1568">
        <v>4.0000000000000001E-3</v>
      </c>
      <c r="N1568">
        <v>1.7000000000000001E-2</v>
      </c>
      <c r="R1568" t="s">
        <v>42</v>
      </c>
      <c r="S1568" t="s">
        <v>8612</v>
      </c>
      <c r="T1568" t="b">
        <v>1</v>
      </c>
      <c r="U1568" t="s">
        <v>455</v>
      </c>
      <c r="V1568" t="s">
        <v>274</v>
      </c>
      <c r="W1568" t="s">
        <v>113</v>
      </c>
      <c r="X1568" t="s">
        <v>47</v>
      </c>
      <c r="AA1568" t="s">
        <v>114</v>
      </c>
      <c r="AC1568" t="s">
        <v>63</v>
      </c>
      <c r="AD1568" t="b">
        <v>0</v>
      </c>
      <c r="AF1568">
        <v>10</v>
      </c>
      <c r="AG1568" t="s">
        <v>143</v>
      </c>
    </row>
    <row r="1569" spans="1:33" x14ac:dyDescent="0.2">
      <c r="A1569">
        <v>987</v>
      </c>
      <c r="B1569" t="s">
        <v>8613</v>
      </c>
      <c r="C1569" t="s">
        <v>34</v>
      </c>
      <c r="D1569" t="s">
        <v>35</v>
      </c>
      <c r="E1569" t="s">
        <v>8614</v>
      </c>
      <c r="F1569" t="s">
        <v>8615</v>
      </c>
      <c r="G1569" t="s">
        <v>68</v>
      </c>
      <c r="H1569" t="s">
        <v>69</v>
      </c>
      <c r="I1569" t="s">
        <v>3186</v>
      </c>
      <c r="J1569" t="s">
        <v>215</v>
      </c>
      <c r="K1569">
        <v>1995</v>
      </c>
      <c r="L1569">
        <v>1995</v>
      </c>
      <c r="M1569">
        <v>3.5999999999999997E-2</v>
      </c>
      <c r="N1569">
        <v>0.23200000000000001</v>
      </c>
      <c r="R1569" t="s">
        <v>72</v>
      </c>
      <c r="S1569" t="s">
        <v>8616</v>
      </c>
      <c r="T1569" t="b">
        <v>1</v>
      </c>
      <c r="U1569" t="s">
        <v>2566</v>
      </c>
      <c r="V1569" t="s">
        <v>8617</v>
      </c>
      <c r="W1569" t="s">
        <v>8618</v>
      </c>
      <c r="X1569" t="s">
        <v>47</v>
      </c>
      <c r="AA1569" t="s">
        <v>8619</v>
      </c>
      <c r="AC1569" t="s">
        <v>63</v>
      </c>
      <c r="AD1569" t="b">
        <v>0</v>
      </c>
      <c r="AF1569">
        <v>8</v>
      </c>
      <c r="AG1569" t="s">
        <v>78</v>
      </c>
    </row>
    <row r="1570" spans="1:33" x14ac:dyDescent="0.2">
      <c r="A1570">
        <v>558</v>
      </c>
      <c r="B1570" t="s">
        <v>8620</v>
      </c>
      <c r="C1570" t="s">
        <v>34</v>
      </c>
      <c r="D1570" t="s">
        <v>35</v>
      </c>
      <c r="E1570" t="s">
        <v>277</v>
      </c>
      <c r="F1570" t="s">
        <v>278</v>
      </c>
      <c r="G1570" t="s">
        <v>93</v>
      </c>
      <c r="H1570" t="s">
        <v>94</v>
      </c>
      <c r="I1570" t="s">
        <v>2974</v>
      </c>
      <c r="J1570" t="s">
        <v>731</v>
      </c>
      <c r="K1570">
        <v>1989</v>
      </c>
      <c r="L1570">
        <v>1989</v>
      </c>
      <c r="M1570">
        <v>150</v>
      </c>
      <c r="N1570">
        <v>420.524</v>
      </c>
      <c r="O1570">
        <v>470</v>
      </c>
      <c r="P1570">
        <v>39</v>
      </c>
      <c r="Q1570">
        <v>1.0669999999999999</v>
      </c>
      <c r="R1570" t="s">
        <v>97</v>
      </c>
      <c r="S1570" t="s">
        <v>8621</v>
      </c>
      <c r="T1570" t="b">
        <v>1</v>
      </c>
      <c r="U1570" t="s">
        <v>1605</v>
      </c>
      <c r="V1570" t="s">
        <v>389</v>
      </c>
      <c r="W1570" t="s">
        <v>1606</v>
      </c>
      <c r="X1570" t="s">
        <v>47</v>
      </c>
      <c r="AA1570" t="s">
        <v>102</v>
      </c>
      <c r="AB1570" t="s">
        <v>119</v>
      </c>
      <c r="AC1570" t="s">
        <v>103</v>
      </c>
      <c r="AD1570" t="b">
        <v>0</v>
      </c>
      <c r="AF1570">
        <v>1</v>
      </c>
      <c r="AG1570" t="s">
        <v>104</v>
      </c>
    </row>
    <row r="1571" spans="1:33" x14ac:dyDescent="0.2">
      <c r="A1571">
        <v>1624</v>
      </c>
      <c r="B1571" t="s">
        <v>8622</v>
      </c>
      <c r="C1571" t="s">
        <v>34</v>
      </c>
      <c r="D1571" t="s">
        <v>35</v>
      </c>
      <c r="E1571" t="s">
        <v>8623</v>
      </c>
      <c r="F1571" t="s">
        <v>8624</v>
      </c>
      <c r="G1571" t="s">
        <v>53</v>
      </c>
      <c r="H1571" t="s">
        <v>54</v>
      </c>
      <c r="I1571" t="s">
        <v>325</v>
      </c>
      <c r="J1571" t="s">
        <v>135</v>
      </c>
      <c r="K1571">
        <v>2013</v>
      </c>
      <c r="L1571">
        <v>2013</v>
      </c>
      <c r="M1571">
        <v>9.1</v>
      </c>
      <c r="N1571">
        <v>17.388000000000002</v>
      </c>
      <c r="O1571">
        <v>283.8</v>
      </c>
      <c r="P1571">
        <v>3.7</v>
      </c>
      <c r="Q1571">
        <v>0.68300000000000005</v>
      </c>
      <c r="R1571" t="s">
        <v>57</v>
      </c>
      <c r="S1571" t="s">
        <v>8625</v>
      </c>
      <c r="T1571" t="b">
        <v>1</v>
      </c>
      <c r="U1571" t="s">
        <v>526</v>
      </c>
      <c r="V1571" t="s">
        <v>8626</v>
      </c>
      <c r="W1571" t="s">
        <v>8627</v>
      </c>
      <c r="X1571" t="s">
        <v>47</v>
      </c>
      <c r="AA1571" t="s">
        <v>8628</v>
      </c>
      <c r="AB1571" t="s">
        <v>49</v>
      </c>
      <c r="AC1571" t="s">
        <v>8629</v>
      </c>
      <c r="AD1571" t="b">
        <v>0</v>
      </c>
      <c r="AF1571">
        <v>6</v>
      </c>
      <c r="AG1571" t="s">
        <v>64</v>
      </c>
    </row>
    <row r="1572" spans="1:33" x14ac:dyDescent="0.2">
      <c r="A1572">
        <v>1683</v>
      </c>
      <c r="B1572" t="s">
        <v>8630</v>
      </c>
      <c r="C1572" t="s">
        <v>34</v>
      </c>
      <c r="D1572" t="s">
        <v>35</v>
      </c>
      <c r="E1572" t="s">
        <v>168</v>
      </c>
      <c r="F1572" t="s">
        <v>169</v>
      </c>
      <c r="G1572" t="s">
        <v>53</v>
      </c>
      <c r="H1572" t="s">
        <v>54</v>
      </c>
      <c r="I1572" t="s">
        <v>2058</v>
      </c>
      <c r="J1572" t="s">
        <v>354</v>
      </c>
      <c r="K1572">
        <v>2012</v>
      </c>
      <c r="L1572">
        <v>2012</v>
      </c>
      <c r="M1572">
        <v>1.2370000000000001</v>
      </c>
      <c r="N1572">
        <v>1.6759999999999999</v>
      </c>
      <c r="O1572">
        <v>105.4</v>
      </c>
      <c r="P1572">
        <v>1.61</v>
      </c>
      <c r="Q1572">
        <v>0.21299999999999999</v>
      </c>
      <c r="R1572" t="s">
        <v>72</v>
      </c>
      <c r="S1572" t="s">
        <v>8631</v>
      </c>
      <c r="T1572" t="b">
        <v>1</v>
      </c>
      <c r="U1572" t="s">
        <v>8632</v>
      </c>
      <c r="V1572" t="s">
        <v>174</v>
      </c>
      <c r="W1572" t="s">
        <v>8633</v>
      </c>
      <c r="X1572" t="s">
        <v>47</v>
      </c>
      <c r="AA1572" t="s">
        <v>8634</v>
      </c>
      <c r="AC1572" t="s">
        <v>63</v>
      </c>
      <c r="AD1572" t="b">
        <v>0</v>
      </c>
      <c r="AF1572">
        <v>13</v>
      </c>
      <c r="AG1572" t="s">
        <v>155</v>
      </c>
    </row>
    <row r="1573" spans="1:33" x14ac:dyDescent="0.2">
      <c r="A1573">
        <v>1857</v>
      </c>
      <c r="B1573" t="s">
        <v>8635</v>
      </c>
      <c r="C1573" t="s">
        <v>34</v>
      </c>
      <c r="D1573" t="s">
        <v>35</v>
      </c>
      <c r="E1573" t="s">
        <v>132</v>
      </c>
      <c r="F1573" t="s">
        <v>133</v>
      </c>
      <c r="G1573" t="s">
        <v>134</v>
      </c>
      <c r="H1573" t="s">
        <v>135</v>
      </c>
      <c r="I1573" t="s">
        <v>764</v>
      </c>
      <c r="J1573" t="s">
        <v>765</v>
      </c>
      <c r="K1573">
        <v>2017</v>
      </c>
      <c r="L1573">
        <v>2017</v>
      </c>
      <c r="M1573">
        <v>19.3</v>
      </c>
      <c r="N1573">
        <v>32.969000000000001</v>
      </c>
      <c r="O1573">
        <v>531.37</v>
      </c>
      <c r="P1573">
        <v>4.2</v>
      </c>
      <c r="Q1573">
        <v>1.276</v>
      </c>
      <c r="R1573" t="s">
        <v>42</v>
      </c>
      <c r="S1573" t="s">
        <v>7904</v>
      </c>
      <c r="T1573" t="b">
        <v>1</v>
      </c>
      <c r="U1573" t="s">
        <v>8636</v>
      </c>
      <c r="V1573" t="s">
        <v>139</v>
      </c>
      <c r="W1573" t="s">
        <v>8637</v>
      </c>
      <c r="X1573" t="s">
        <v>47</v>
      </c>
      <c r="AA1573" t="s">
        <v>479</v>
      </c>
      <c r="AB1573" t="s">
        <v>177</v>
      </c>
      <c r="AC1573" t="s">
        <v>7907</v>
      </c>
      <c r="AD1573" t="b">
        <v>0</v>
      </c>
      <c r="AF1573">
        <v>10</v>
      </c>
      <c r="AG1573" t="s">
        <v>143</v>
      </c>
    </row>
    <row r="1574" spans="1:33" x14ac:dyDescent="0.2">
      <c r="A1574">
        <v>2168</v>
      </c>
      <c r="B1574" t="s">
        <v>8638</v>
      </c>
      <c r="C1574" t="s">
        <v>34</v>
      </c>
      <c r="D1574" t="s">
        <v>35</v>
      </c>
      <c r="G1574" t="s">
        <v>312</v>
      </c>
      <c r="H1574" t="s">
        <v>313</v>
      </c>
      <c r="I1574" t="s">
        <v>493</v>
      </c>
      <c r="J1574" t="s">
        <v>409</v>
      </c>
      <c r="K1574">
        <v>2023</v>
      </c>
      <c r="L1574">
        <v>2023</v>
      </c>
      <c r="M1574">
        <v>0.01</v>
      </c>
      <c r="N1574">
        <v>3.5000000000000003E-2</v>
      </c>
      <c r="O1574">
        <v>35</v>
      </c>
      <c r="P1574">
        <v>5.7000000000000002E-2</v>
      </c>
      <c r="Q1574">
        <v>4.9000000000000002E-2</v>
      </c>
      <c r="R1574" t="s">
        <v>84</v>
      </c>
      <c r="S1574" t="s">
        <v>8639</v>
      </c>
      <c r="T1574" t="b">
        <v>1</v>
      </c>
      <c r="U1574" t="s">
        <v>8640</v>
      </c>
      <c r="V1574" t="s">
        <v>3040</v>
      </c>
      <c r="W1574" t="s">
        <v>8641</v>
      </c>
      <c r="X1574" t="s">
        <v>47</v>
      </c>
      <c r="AA1574" t="s">
        <v>498</v>
      </c>
      <c r="AC1574" t="s">
        <v>499</v>
      </c>
      <c r="AD1574" t="b">
        <v>0</v>
      </c>
      <c r="AF1574">
        <v>4</v>
      </c>
      <c r="AG1574" t="s">
        <v>321</v>
      </c>
    </row>
    <row r="1575" spans="1:33" x14ac:dyDescent="0.2">
      <c r="A1575">
        <v>1775</v>
      </c>
      <c r="B1575" t="s">
        <v>8642</v>
      </c>
      <c r="C1575" t="s">
        <v>34</v>
      </c>
      <c r="D1575" t="s">
        <v>35</v>
      </c>
      <c r="E1575" t="s">
        <v>168</v>
      </c>
      <c r="F1575" t="s">
        <v>169</v>
      </c>
      <c r="G1575" t="s">
        <v>224</v>
      </c>
      <c r="H1575" t="s">
        <v>225</v>
      </c>
      <c r="I1575" t="s">
        <v>226</v>
      </c>
      <c r="J1575" t="s">
        <v>227</v>
      </c>
      <c r="K1575">
        <v>2014</v>
      </c>
      <c r="L1575">
        <v>2014</v>
      </c>
      <c r="M1575">
        <v>2.6</v>
      </c>
      <c r="N1575">
        <v>6.5810000000000004</v>
      </c>
      <c r="O1575">
        <v>307</v>
      </c>
      <c r="P1575">
        <v>1</v>
      </c>
      <c r="Q1575">
        <v>0.72199999999999998</v>
      </c>
      <c r="R1575" t="s">
        <v>97</v>
      </c>
      <c r="S1575" t="s">
        <v>8643</v>
      </c>
      <c r="T1575" t="b">
        <v>1</v>
      </c>
      <c r="U1575" t="s">
        <v>8644</v>
      </c>
      <c r="V1575" t="s">
        <v>174</v>
      </c>
      <c r="W1575" t="s">
        <v>8645</v>
      </c>
      <c r="X1575" t="s">
        <v>47</v>
      </c>
      <c r="AA1575" t="s">
        <v>102</v>
      </c>
      <c r="AB1575" t="s">
        <v>1242</v>
      </c>
      <c r="AC1575" t="s">
        <v>103</v>
      </c>
      <c r="AD1575" t="b">
        <v>0</v>
      </c>
      <c r="AF1575">
        <v>1</v>
      </c>
      <c r="AG1575" t="s">
        <v>104</v>
      </c>
    </row>
    <row r="1576" spans="1:33" x14ac:dyDescent="0.2">
      <c r="A1576">
        <v>436</v>
      </c>
      <c r="B1576" t="s">
        <v>8646</v>
      </c>
      <c r="C1576" t="s">
        <v>34</v>
      </c>
      <c r="D1576" t="s">
        <v>35</v>
      </c>
      <c r="E1576" t="s">
        <v>168</v>
      </c>
      <c r="F1576" t="s">
        <v>169</v>
      </c>
      <c r="G1576" t="s">
        <v>213</v>
      </c>
      <c r="H1576" t="s">
        <v>83</v>
      </c>
      <c r="I1576" t="s">
        <v>711</v>
      </c>
      <c r="J1576" t="s">
        <v>515</v>
      </c>
      <c r="K1576">
        <v>1903</v>
      </c>
      <c r="L1576">
        <v>1987</v>
      </c>
      <c r="M1576">
        <v>1.1000000000000001</v>
      </c>
      <c r="N1576">
        <v>5.077</v>
      </c>
      <c r="O1576">
        <v>13.5</v>
      </c>
      <c r="P1576">
        <v>9.5500000000000007</v>
      </c>
      <c r="Q1576">
        <v>3.2000000000000001E-2</v>
      </c>
      <c r="R1576" t="s">
        <v>84</v>
      </c>
      <c r="S1576" t="s">
        <v>8647</v>
      </c>
      <c r="T1576" t="b">
        <v>1</v>
      </c>
      <c r="U1576" t="s">
        <v>8648</v>
      </c>
      <c r="V1576" t="s">
        <v>174</v>
      </c>
      <c r="W1576" t="s">
        <v>113</v>
      </c>
      <c r="X1576" t="s">
        <v>47</v>
      </c>
      <c r="AA1576" t="s">
        <v>716</v>
      </c>
      <c r="AB1576" t="s">
        <v>49</v>
      </c>
      <c r="AC1576" t="s">
        <v>717</v>
      </c>
      <c r="AD1576" t="b">
        <v>0</v>
      </c>
      <c r="AF1576">
        <v>4</v>
      </c>
      <c r="AG1576" t="s">
        <v>321</v>
      </c>
    </row>
    <row r="1577" spans="1:33" x14ac:dyDescent="0.2">
      <c r="A1577">
        <v>449</v>
      </c>
      <c r="B1577" t="s">
        <v>8649</v>
      </c>
      <c r="C1577" t="s">
        <v>34</v>
      </c>
      <c r="D1577" t="s">
        <v>35</v>
      </c>
      <c r="E1577" t="s">
        <v>8650</v>
      </c>
      <c r="F1577" t="s">
        <v>8651</v>
      </c>
      <c r="G1577" t="s">
        <v>93</v>
      </c>
      <c r="H1577" t="s">
        <v>94</v>
      </c>
      <c r="I1577" t="s">
        <v>8652</v>
      </c>
      <c r="J1577" t="s">
        <v>54</v>
      </c>
      <c r="K1577">
        <v>1915</v>
      </c>
      <c r="L1577">
        <v>1989</v>
      </c>
      <c r="M1577">
        <v>6</v>
      </c>
      <c r="N1577">
        <v>15.829000000000001</v>
      </c>
      <c r="O1577">
        <v>230.1</v>
      </c>
      <c r="P1577">
        <v>3.09</v>
      </c>
      <c r="Q1577">
        <v>0.53700000000000003</v>
      </c>
      <c r="R1577" t="s">
        <v>97</v>
      </c>
      <c r="S1577" t="s">
        <v>8653</v>
      </c>
      <c r="T1577" t="b">
        <v>1</v>
      </c>
      <c r="U1577" t="s">
        <v>4075</v>
      </c>
      <c r="V1577" t="s">
        <v>8654</v>
      </c>
      <c r="W1577" t="s">
        <v>8655</v>
      </c>
      <c r="X1577" t="s">
        <v>47</v>
      </c>
      <c r="AA1577" t="s">
        <v>102</v>
      </c>
      <c r="AB1577" t="s">
        <v>41</v>
      </c>
      <c r="AC1577" t="s">
        <v>103</v>
      </c>
      <c r="AD1577" t="b">
        <v>0</v>
      </c>
      <c r="AF1577">
        <v>1</v>
      </c>
      <c r="AG1577" t="s">
        <v>104</v>
      </c>
    </row>
    <row r="1578" spans="1:33" x14ac:dyDescent="0.2">
      <c r="A1578">
        <v>1238</v>
      </c>
      <c r="B1578" t="s">
        <v>8656</v>
      </c>
      <c r="C1578" t="s">
        <v>34</v>
      </c>
      <c r="D1578" t="s">
        <v>35</v>
      </c>
      <c r="E1578" t="s">
        <v>682</v>
      </c>
      <c r="F1578" t="s">
        <v>683</v>
      </c>
      <c r="G1578" t="s">
        <v>68</v>
      </c>
      <c r="H1578" t="s">
        <v>69</v>
      </c>
      <c r="I1578" t="s">
        <v>70</v>
      </c>
      <c r="J1578" t="s">
        <v>71</v>
      </c>
      <c r="K1578">
        <v>2005</v>
      </c>
      <c r="L1578">
        <v>2005</v>
      </c>
      <c r="M1578">
        <v>8</v>
      </c>
      <c r="N1578">
        <v>20.728999999999999</v>
      </c>
      <c r="O1578">
        <v>442</v>
      </c>
      <c r="P1578">
        <v>2</v>
      </c>
      <c r="Q1578">
        <v>0.97199999999999998</v>
      </c>
      <c r="R1578" t="s">
        <v>72</v>
      </c>
      <c r="S1578" t="s">
        <v>8657</v>
      </c>
      <c r="T1578" t="b">
        <v>1</v>
      </c>
      <c r="U1578" t="s">
        <v>8658</v>
      </c>
      <c r="V1578" t="s">
        <v>686</v>
      </c>
      <c r="W1578" t="s">
        <v>8659</v>
      </c>
      <c r="X1578" t="s">
        <v>47</v>
      </c>
      <c r="AA1578" t="s">
        <v>8660</v>
      </c>
      <c r="AB1578" t="s">
        <v>49</v>
      </c>
      <c r="AC1578" t="s">
        <v>8661</v>
      </c>
      <c r="AD1578" t="b">
        <v>0</v>
      </c>
      <c r="AF1578">
        <v>8</v>
      </c>
      <c r="AG1578" t="s">
        <v>78</v>
      </c>
    </row>
    <row r="1579" spans="1:33" x14ac:dyDescent="0.2">
      <c r="A1579">
        <v>1947</v>
      </c>
      <c r="B1579" t="s">
        <v>8662</v>
      </c>
      <c r="C1579" t="s">
        <v>34</v>
      </c>
      <c r="D1579" t="s">
        <v>35</v>
      </c>
      <c r="E1579" t="s">
        <v>8663</v>
      </c>
      <c r="F1579" t="s">
        <v>8664</v>
      </c>
      <c r="G1579" t="s">
        <v>53</v>
      </c>
      <c r="H1579" t="s">
        <v>54</v>
      </c>
      <c r="I1579" t="s">
        <v>1039</v>
      </c>
      <c r="J1579" t="s">
        <v>243</v>
      </c>
      <c r="K1579">
        <v>2018</v>
      </c>
      <c r="L1579">
        <v>2018</v>
      </c>
      <c r="M1579">
        <v>0.99</v>
      </c>
      <c r="N1579">
        <v>7.06</v>
      </c>
      <c r="O1579">
        <v>226</v>
      </c>
      <c r="P1579">
        <v>0.55000000000000004</v>
      </c>
      <c r="Q1579">
        <v>0.5</v>
      </c>
      <c r="R1579" t="s">
        <v>72</v>
      </c>
      <c r="S1579" t="s">
        <v>8665</v>
      </c>
      <c r="T1579" t="b">
        <v>1</v>
      </c>
      <c r="U1579" t="s">
        <v>5126</v>
      </c>
      <c r="V1579" t="s">
        <v>8666</v>
      </c>
      <c r="W1579" t="s">
        <v>8667</v>
      </c>
      <c r="X1579" t="s">
        <v>47</v>
      </c>
      <c r="AA1579" t="s">
        <v>1044</v>
      </c>
      <c r="AC1579" t="s">
        <v>63</v>
      </c>
      <c r="AD1579" t="b">
        <v>0</v>
      </c>
      <c r="AF1579">
        <v>13</v>
      </c>
      <c r="AG1579" t="s">
        <v>155</v>
      </c>
    </row>
    <row r="1580" spans="1:33" x14ac:dyDescent="0.2">
      <c r="A1580">
        <v>1295</v>
      </c>
      <c r="B1580" t="s">
        <v>8668</v>
      </c>
      <c r="C1580" t="s">
        <v>34</v>
      </c>
      <c r="D1580" t="s">
        <v>35</v>
      </c>
      <c r="E1580" t="s">
        <v>8669</v>
      </c>
      <c r="F1580" t="s">
        <v>8670</v>
      </c>
      <c r="G1580" t="s">
        <v>312</v>
      </c>
      <c r="H1580" t="s">
        <v>313</v>
      </c>
      <c r="I1580" t="s">
        <v>618</v>
      </c>
      <c r="J1580" t="s">
        <v>227</v>
      </c>
      <c r="K1580">
        <v>2007</v>
      </c>
      <c r="L1580">
        <v>2007</v>
      </c>
      <c r="M1580">
        <v>0.8</v>
      </c>
      <c r="N1580">
        <v>2.379</v>
      </c>
      <c r="O1580">
        <v>50</v>
      </c>
      <c r="P1580">
        <v>2</v>
      </c>
      <c r="Q1580">
        <v>0.111</v>
      </c>
      <c r="R1580" t="s">
        <v>84</v>
      </c>
      <c r="S1580" t="s">
        <v>8671</v>
      </c>
      <c r="T1580" t="b">
        <v>1</v>
      </c>
      <c r="U1580" t="s">
        <v>8672</v>
      </c>
      <c r="V1580" t="s">
        <v>8673</v>
      </c>
      <c r="W1580" t="s">
        <v>8674</v>
      </c>
      <c r="X1580" t="s">
        <v>47</v>
      </c>
      <c r="AA1580" t="s">
        <v>2615</v>
      </c>
      <c r="AC1580" t="s">
        <v>2616</v>
      </c>
      <c r="AD1580" t="b">
        <v>0</v>
      </c>
      <c r="AF1580">
        <v>4</v>
      </c>
      <c r="AG1580" t="s">
        <v>321</v>
      </c>
    </row>
    <row r="1581" spans="1:33" x14ac:dyDescent="0.2">
      <c r="A1581">
        <v>451</v>
      </c>
      <c r="B1581" t="s">
        <v>8675</v>
      </c>
      <c r="C1581" t="s">
        <v>34</v>
      </c>
      <c r="D1581" t="s">
        <v>35</v>
      </c>
      <c r="E1581" t="s">
        <v>1200</v>
      </c>
      <c r="F1581" t="s">
        <v>1201</v>
      </c>
      <c r="G1581" t="s">
        <v>53</v>
      </c>
      <c r="H1581" t="s">
        <v>54</v>
      </c>
      <c r="I1581" t="s">
        <v>182</v>
      </c>
      <c r="J1581" t="s">
        <v>49</v>
      </c>
      <c r="K1581">
        <v>1996</v>
      </c>
      <c r="L1581">
        <v>1996</v>
      </c>
      <c r="M1581">
        <v>3.5</v>
      </c>
      <c r="N1581">
        <v>16.411999999999999</v>
      </c>
      <c r="O1581">
        <v>388</v>
      </c>
      <c r="P1581">
        <v>1</v>
      </c>
      <c r="Q1581">
        <v>0.97199999999999998</v>
      </c>
      <c r="R1581" t="s">
        <v>57</v>
      </c>
      <c r="S1581" t="s">
        <v>8676</v>
      </c>
      <c r="T1581" t="b">
        <v>1</v>
      </c>
      <c r="U1581" t="s">
        <v>8677</v>
      </c>
      <c r="V1581" t="s">
        <v>1204</v>
      </c>
      <c r="W1581" t="s">
        <v>8678</v>
      </c>
      <c r="X1581" t="s">
        <v>47</v>
      </c>
      <c r="AA1581" t="s">
        <v>8679</v>
      </c>
      <c r="AB1581" t="s">
        <v>49</v>
      </c>
      <c r="AC1581" t="s">
        <v>8680</v>
      </c>
      <c r="AD1581" t="b">
        <v>0</v>
      </c>
      <c r="AF1581">
        <v>6</v>
      </c>
      <c r="AG1581" t="s">
        <v>64</v>
      </c>
    </row>
    <row r="1582" spans="1:33" x14ac:dyDescent="0.2">
      <c r="A1582">
        <v>1053</v>
      </c>
      <c r="B1582" t="s">
        <v>8681</v>
      </c>
      <c r="C1582" t="s">
        <v>34</v>
      </c>
      <c r="D1582" t="s">
        <v>35</v>
      </c>
      <c r="G1582" t="s">
        <v>213</v>
      </c>
      <c r="H1582" t="s">
        <v>83</v>
      </c>
      <c r="I1582" t="s">
        <v>1029</v>
      </c>
      <c r="J1582" t="s">
        <v>225</v>
      </c>
      <c r="K1582">
        <v>1990</v>
      </c>
      <c r="L1582">
        <v>1990</v>
      </c>
      <c r="M1582">
        <v>1.4999999999999999E-2</v>
      </c>
      <c r="N1582">
        <v>6.4000000000000001E-2</v>
      </c>
      <c r="O1582">
        <v>5</v>
      </c>
      <c r="P1582">
        <v>0.3</v>
      </c>
      <c r="R1582" t="s">
        <v>84</v>
      </c>
      <c r="S1582" t="s">
        <v>8682</v>
      </c>
      <c r="T1582" t="b">
        <v>1</v>
      </c>
      <c r="U1582" t="s">
        <v>162</v>
      </c>
      <c r="V1582" t="s">
        <v>274</v>
      </c>
      <c r="W1582" t="s">
        <v>113</v>
      </c>
      <c r="X1582" t="s">
        <v>47</v>
      </c>
      <c r="AA1582" t="s">
        <v>1034</v>
      </c>
      <c r="AC1582" t="s">
        <v>8683</v>
      </c>
      <c r="AD1582" t="b">
        <v>0</v>
      </c>
      <c r="AF1582">
        <v>3</v>
      </c>
      <c r="AG1582" t="s">
        <v>332</v>
      </c>
    </row>
    <row r="1583" spans="1:33" x14ac:dyDescent="0.2">
      <c r="A1583">
        <v>1237</v>
      </c>
      <c r="B1583" t="s">
        <v>8684</v>
      </c>
      <c r="C1583" t="s">
        <v>34</v>
      </c>
      <c r="D1583" t="s">
        <v>35</v>
      </c>
      <c r="E1583" t="s">
        <v>8685</v>
      </c>
      <c r="F1583" t="s">
        <v>8686</v>
      </c>
      <c r="G1583" t="s">
        <v>53</v>
      </c>
      <c r="H1583" t="s">
        <v>54</v>
      </c>
      <c r="I1583" t="s">
        <v>1165</v>
      </c>
      <c r="J1583" t="s">
        <v>1166</v>
      </c>
      <c r="K1583">
        <v>2006</v>
      </c>
      <c r="L1583">
        <v>2006</v>
      </c>
      <c r="M1583">
        <v>1.25</v>
      </c>
      <c r="N1583">
        <v>4.0750000000000002</v>
      </c>
      <c r="O1583">
        <v>330</v>
      </c>
      <c r="P1583">
        <v>0.5</v>
      </c>
      <c r="Q1583">
        <v>0.72199999999999998</v>
      </c>
      <c r="R1583" t="s">
        <v>72</v>
      </c>
      <c r="S1583" t="s">
        <v>8687</v>
      </c>
      <c r="T1583" t="b">
        <v>1</v>
      </c>
      <c r="U1583" t="s">
        <v>1346</v>
      </c>
      <c r="V1583" t="s">
        <v>8688</v>
      </c>
      <c r="W1583" t="s">
        <v>8689</v>
      </c>
      <c r="X1583" t="s">
        <v>47</v>
      </c>
      <c r="AA1583" t="s">
        <v>8690</v>
      </c>
      <c r="AB1583" t="s">
        <v>49</v>
      </c>
      <c r="AC1583" t="s">
        <v>8691</v>
      </c>
      <c r="AD1583" t="b">
        <v>0</v>
      </c>
      <c r="AF1583">
        <v>13</v>
      </c>
      <c r="AG1583" t="s">
        <v>155</v>
      </c>
    </row>
    <row r="1584" spans="1:33" x14ac:dyDescent="0.2">
      <c r="A1584">
        <v>452</v>
      </c>
      <c r="B1584" t="s">
        <v>8692</v>
      </c>
      <c r="C1584" t="s">
        <v>34</v>
      </c>
      <c r="D1584" t="s">
        <v>35</v>
      </c>
      <c r="E1584" t="s">
        <v>2350</v>
      </c>
      <c r="F1584" t="s">
        <v>2351</v>
      </c>
      <c r="G1584" t="s">
        <v>134</v>
      </c>
      <c r="H1584" t="s">
        <v>135</v>
      </c>
      <c r="I1584" t="s">
        <v>2148</v>
      </c>
      <c r="J1584" t="s">
        <v>414</v>
      </c>
      <c r="K1584">
        <v>1952</v>
      </c>
      <c r="L1584">
        <v>2002</v>
      </c>
      <c r="M1584">
        <v>3.2</v>
      </c>
      <c r="N1584">
        <v>17.09</v>
      </c>
      <c r="O1584">
        <v>178</v>
      </c>
      <c r="P1584">
        <v>2.1</v>
      </c>
      <c r="Q1584">
        <v>0.42299999999999999</v>
      </c>
      <c r="R1584" t="s">
        <v>42</v>
      </c>
      <c r="S1584" t="s">
        <v>8693</v>
      </c>
      <c r="T1584" t="b">
        <v>1</v>
      </c>
      <c r="U1584" t="s">
        <v>8694</v>
      </c>
      <c r="V1584" t="s">
        <v>2355</v>
      </c>
      <c r="W1584" t="s">
        <v>8695</v>
      </c>
      <c r="X1584" t="s">
        <v>47</v>
      </c>
      <c r="AB1584" t="s">
        <v>83</v>
      </c>
      <c r="AC1584" t="s">
        <v>4745</v>
      </c>
      <c r="AD1584" t="b">
        <v>0</v>
      </c>
      <c r="AF1584">
        <v>11</v>
      </c>
      <c r="AG1584" t="s">
        <v>198</v>
      </c>
    </row>
    <row r="1585" spans="1:33" x14ac:dyDescent="0.2">
      <c r="A1585">
        <v>453</v>
      </c>
      <c r="B1585" t="s">
        <v>8696</v>
      </c>
      <c r="C1585" t="s">
        <v>34</v>
      </c>
      <c r="D1585" t="s">
        <v>35</v>
      </c>
      <c r="E1585" t="s">
        <v>2350</v>
      </c>
      <c r="F1585" t="s">
        <v>2351</v>
      </c>
      <c r="G1585" t="s">
        <v>134</v>
      </c>
      <c r="H1585" t="s">
        <v>135</v>
      </c>
      <c r="I1585" t="s">
        <v>2148</v>
      </c>
      <c r="J1585" t="s">
        <v>414</v>
      </c>
      <c r="K1585">
        <v>1956</v>
      </c>
      <c r="L1585">
        <v>1956</v>
      </c>
      <c r="M1585">
        <v>1.3998999999999999</v>
      </c>
      <c r="N1585">
        <v>3.4620000000000002</v>
      </c>
      <c r="O1585">
        <v>450</v>
      </c>
      <c r="P1585">
        <v>0.4</v>
      </c>
      <c r="Q1585">
        <v>0.97199999999999998</v>
      </c>
      <c r="R1585" t="s">
        <v>42</v>
      </c>
      <c r="S1585" t="s">
        <v>8697</v>
      </c>
      <c r="T1585" t="b">
        <v>1</v>
      </c>
      <c r="U1585" t="s">
        <v>1854</v>
      </c>
      <c r="V1585" t="s">
        <v>2355</v>
      </c>
      <c r="W1585" t="s">
        <v>8698</v>
      </c>
      <c r="X1585" t="s">
        <v>47</v>
      </c>
      <c r="AB1585" t="s">
        <v>49</v>
      </c>
      <c r="AC1585" t="s">
        <v>4745</v>
      </c>
      <c r="AD1585" t="b">
        <v>0</v>
      </c>
      <c r="AF1585">
        <v>11</v>
      </c>
      <c r="AG1585" t="s">
        <v>198</v>
      </c>
    </row>
    <row r="1586" spans="1:33" x14ac:dyDescent="0.2">
      <c r="A1586">
        <v>454</v>
      </c>
      <c r="B1586" t="s">
        <v>8699</v>
      </c>
      <c r="C1586" t="s">
        <v>34</v>
      </c>
      <c r="D1586" t="s">
        <v>35</v>
      </c>
      <c r="E1586" t="s">
        <v>36</v>
      </c>
      <c r="F1586" t="s">
        <v>37</v>
      </c>
      <c r="G1586" t="s">
        <v>68</v>
      </c>
      <c r="H1586" t="s">
        <v>69</v>
      </c>
      <c r="I1586" t="s">
        <v>413</v>
      </c>
      <c r="J1586" t="s">
        <v>414</v>
      </c>
      <c r="K1586">
        <v>1968</v>
      </c>
      <c r="L1586">
        <v>1968</v>
      </c>
      <c r="M1586">
        <v>126.6</v>
      </c>
      <c r="N1586">
        <v>790.82</v>
      </c>
      <c r="O1586">
        <v>400</v>
      </c>
      <c r="P1586">
        <v>38</v>
      </c>
      <c r="Q1586">
        <v>0.93799999999999994</v>
      </c>
      <c r="R1586" t="s">
        <v>72</v>
      </c>
      <c r="S1586" t="s">
        <v>7269</v>
      </c>
      <c r="T1586" t="b">
        <v>1</v>
      </c>
      <c r="U1586" t="s">
        <v>8700</v>
      </c>
      <c r="V1586" t="s">
        <v>45</v>
      </c>
      <c r="W1586" t="s">
        <v>8701</v>
      </c>
      <c r="X1586" t="s">
        <v>47</v>
      </c>
      <c r="AA1586" t="s">
        <v>969</v>
      </c>
      <c r="AB1586" t="s">
        <v>49</v>
      </c>
      <c r="AC1586" t="s">
        <v>970</v>
      </c>
      <c r="AD1586" t="b">
        <v>0</v>
      </c>
      <c r="AF1586">
        <v>8</v>
      </c>
      <c r="AG1586" t="s">
        <v>78</v>
      </c>
    </row>
    <row r="1587" spans="1:33" x14ac:dyDescent="0.2">
      <c r="A1587">
        <v>1035</v>
      </c>
      <c r="B1587" t="s">
        <v>8702</v>
      </c>
      <c r="C1587" t="s">
        <v>34</v>
      </c>
      <c r="D1587" t="s">
        <v>35</v>
      </c>
      <c r="E1587" t="s">
        <v>8703</v>
      </c>
      <c r="F1587" t="s">
        <v>8704</v>
      </c>
      <c r="G1587" t="s">
        <v>503</v>
      </c>
      <c r="H1587" t="s">
        <v>462</v>
      </c>
      <c r="I1587" t="s">
        <v>3390</v>
      </c>
      <c r="J1587" t="s">
        <v>485</v>
      </c>
      <c r="K1587">
        <v>2001</v>
      </c>
      <c r="L1587">
        <v>2001</v>
      </c>
      <c r="M1587">
        <v>0.18</v>
      </c>
      <c r="N1587">
        <v>0.83699999999999997</v>
      </c>
      <c r="R1587" t="s">
        <v>84</v>
      </c>
      <c r="S1587" t="s">
        <v>8705</v>
      </c>
      <c r="T1587" t="b">
        <v>1</v>
      </c>
      <c r="U1587" t="s">
        <v>1103</v>
      </c>
      <c r="V1587" t="s">
        <v>8706</v>
      </c>
      <c r="W1587" t="s">
        <v>8707</v>
      </c>
      <c r="X1587" t="s">
        <v>47</v>
      </c>
      <c r="AA1587" t="s">
        <v>583</v>
      </c>
      <c r="AC1587" t="s">
        <v>585</v>
      </c>
      <c r="AD1587" t="b">
        <v>0</v>
      </c>
      <c r="AF1587">
        <v>3</v>
      </c>
      <c r="AG1587" t="s">
        <v>332</v>
      </c>
    </row>
    <row r="1588" spans="1:33" x14ac:dyDescent="0.2">
      <c r="A1588">
        <v>2019</v>
      </c>
      <c r="B1588" t="s">
        <v>8708</v>
      </c>
      <c r="C1588" t="s">
        <v>34</v>
      </c>
      <c r="D1588" t="s">
        <v>35</v>
      </c>
      <c r="E1588" t="s">
        <v>8709</v>
      </c>
      <c r="F1588" t="s">
        <v>8710</v>
      </c>
      <c r="G1588" t="s">
        <v>377</v>
      </c>
      <c r="H1588" t="s">
        <v>378</v>
      </c>
      <c r="I1588" t="s">
        <v>3163</v>
      </c>
      <c r="J1588" t="s">
        <v>462</v>
      </c>
      <c r="K1588">
        <v>2021</v>
      </c>
      <c r="L1588">
        <v>2021</v>
      </c>
      <c r="M1588">
        <v>7.7</v>
      </c>
      <c r="N1588">
        <v>17.489999999999998</v>
      </c>
      <c r="O1588">
        <v>410</v>
      </c>
      <c r="P1588">
        <v>2.2999999999999998</v>
      </c>
      <c r="Q1588">
        <v>0.90600000000000003</v>
      </c>
      <c r="R1588" t="s">
        <v>42</v>
      </c>
      <c r="S1588" t="s">
        <v>8711</v>
      </c>
      <c r="T1588" t="b">
        <v>1</v>
      </c>
      <c r="U1588" t="s">
        <v>8712</v>
      </c>
      <c r="V1588" t="s">
        <v>8713</v>
      </c>
      <c r="W1588" t="s">
        <v>8714</v>
      </c>
      <c r="X1588" t="s">
        <v>47</v>
      </c>
      <c r="AA1588" t="s">
        <v>114</v>
      </c>
      <c r="AC1588" t="s">
        <v>63</v>
      </c>
      <c r="AD1588" t="b">
        <v>0</v>
      </c>
      <c r="AF1588">
        <v>12</v>
      </c>
      <c r="AG1588" t="s">
        <v>51</v>
      </c>
    </row>
    <row r="1589" spans="1:33" x14ac:dyDescent="0.2">
      <c r="A1589">
        <v>1858</v>
      </c>
      <c r="B1589" t="s">
        <v>8715</v>
      </c>
      <c r="C1589" t="s">
        <v>34</v>
      </c>
      <c r="D1589" t="s">
        <v>35</v>
      </c>
      <c r="E1589" t="s">
        <v>2958</v>
      </c>
      <c r="F1589" t="s">
        <v>2959</v>
      </c>
      <c r="G1589" t="s">
        <v>224</v>
      </c>
      <c r="H1589" t="s">
        <v>225</v>
      </c>
      <c r="I1589" t="s">
        <v>2960</v>
      </c>
      <c r="J1589" t="s">
        <v>612</v>
      </c>
      <c r="K1589">
        <v>2012</v>
      </c>
      <c r="L1589">
        <v>2012</v>
      </c>
      <c r="M1589">
        <v>1.26</v>
      </c>
      <c r="N1589">
        <v>7.06</v>
      </c>
      <c r="O1589">
        <v>106</v>
      </c>
      <c r="P1589">
        <v>1.4</v>
      </c>
      <c r="Q1589">
        <v>0.25</v>
      </c>
      <c r="R1589" t="s">
        <v>97</v>
      </c>
      <c r="S1589" t="s">
        <v>6460</v>
      </c>
      <c r="T1589" t="b">
        <v>1</v>
      </c>
      <c r="U1589" t="s">
        <v>8716</v>
      </c>
      <c r="V1589" t="s">
        <v>2963</v>
      </c>
      <c r="W1589" t="s">
        <v>113</v>
      </c>
      <c r="X1589" t="s">
        <v>47</v>
      </c>
      <c r="AA1589" t="s">
        <v>2964</v>
      </c>
      <c r="AB1589" t="s">
        <v>49</v>
      </c>
      <c r="AC1589" t="s">
        <v>2965</v>
      </c>
      <c r="AD1589" t="b">
        <v>0</v>
      </c>
      <c r="AF1589">
        <v>1</v>
      </c>
      <c r="AG1589" t="s">
        <v>104</v>
      </c>
    </row>
    <row r="1590" spans="1:33" x14ac:dyDescent="0.2">
      <c r="A1590">
        <v>1959</v>
      </c>
      <c r="B1590" t="s">
        <v>8717</v>
      </c>
      <c r="C1590" t="s">
        <v>34</v>
      </c>
      <c r="D1590" t="s">
        <v>35</v>
      </c>
      <c r="E1590" t="s">
        <v>8718</v>
      </c>
      <c r="F1590" t="s">
        <v>8719</v>
      </c>
      <c r="G1590" t="s">
        <v>503</v>
      </c>
      <c r="H1590" t="s">
        <v>462</v>
      </c>
      <c r="I1590" t="s">
        <v>564</v>
      </c>
      <c r="J1590" t="s">
        <v>515</v>
      </c>
      <c r="K1590">
        <v>2019</v>
      </c>
      <c r="L1590">
        <v>2019</v>
      </c>
      <c r="M1590">
        <v>1.24</v>
      </c>
      <c r="N1590">
        <v>3.8159999999999998</v>
      </c>
      <c r="O1590">
        <v>194</v>
      </c>
      <c r="P1590">
        <v>0.78100000000000003</v>
      </c>
      <c r="Q1590">
        <v>0.441</v>
      </c>
      <c r="R1590" t="s">
        <v>84</v>
      </c>
      <c r="S1590" t="s">
        <v>6043</v>
      </c>
      <c r="T1590" t="b">
        <v>1</v>
      </c>
      <c r="U1590" t="s">
        <v>8720</v>
      </c>
      <c r="V1590" t="s">
        <v>8721</v>
      </c>
      <c r="W1590" t="s">
        <v>8722</v>
      </c>
      <c r="X1590" t="s">
        <v>47</v>
      </c>
      <c r="AA1590" t="s">
        <v>509</v>
      </c>
      <c r="AC1590" t="s">
        <v>510</v>
      </c>
      <c r="AD1590" t="b">
        <v>0</v>
      </c>
      <c r="AF1590">
        <v>3</v>
      </c>
      <c r="AG1590" t="s">
        <v>332</v>
      </c>
    </row>
    <row r="1591" spans="1:33" x14ac:dyDescent="0.2">
      <c r="A1591">
        <v>455</v>
      </c>
      <c r="B1591" t="s">
        <v>8723</v>
      </c>
      <c r="C1591" t="s">
        <v>34</v>
      </c>
      <c r="D1591" t="s">
        <v>35</v>
      </c>
      <c r="E1591" t="s">
        <v>404</v>
      </c>
      <c r="F1591" t="s">
        <v>405</v>
      </c>
      <c r="G1591" t="s">
        <v>312</v>
      </c>
      <c r="H1591" t="s">
        <v>313</v>
      </c>
      <c r="I1591" t="s">
        <v>618</v>
      </c>
      <c r="J1591" t="s">
        <v>227</v>
      </c>
      <c r="K1591">
        <v>1921</v>
      </c>
      <c r="L1591">
        <v>1921</v>
      </c>
      <c r="M1591">
        <v>5.4</v>
      </c>
      <c r="N1591">
        <v>28.608000000000001</v>
      </c>
      <c r="O1591">
        <v>133</v>
      </c>
      <c r="P1591">
        <v>4.75</v>
      </c>
      <c r="Q1591">
        <v>0.25900000000000001</v>
      </c>
      <c r="R1591" t="s">
        <v>84</v>
      </c>
      <c r="S1591" t="s">
        <v>8724</v>
      </c>
      <c r="T1591" t="b">
        <v>1</v>
      </c>
      <c r="U1591" t="s">
        <v>8725</v>
      </c>
      <c r="V1591" t="s">
        <v>408</v>
      </c>
      <c r="W1591" t="s">
        <v>8726</v>
      </c>
      <c r="X1591" t="s">
        <v>47</v>
      </c>
      <c r="AA1591" t="s">
        <v>2615</v>
      </c>
      <c r="AB1591" t="s">
        <v>56</v>
      </c>
      <c r="AC1591" t="s">
        <v>2616</v>
      </c>
      <c r="AD1591" t="b">
        <v>0</v>
      </c>
      <c r="AF1591">
        <v>4</v>
      </c>
      <c r="AG1591" t="s">
        <v>321</v>
      </c>
    </row>
    <row r="1592" spans="1:33" x14ac:dyDescent="0.2">
      <c r="A1592">
        <v>456</v>
      </c>
      <c r="B1592" t="s">
        <v>8727</v>
      </c>
      <c r="C1592" t="s">
        <v>34</v>
      </c>
      <c r="D1592" t="s">
        <v>35</v>
      </c>
      <c r="E1592" t="s">
        <v>1866</v>
      </c>
      <c r="F1592" t="s">
        <v>1867</v>
      </c>
      <c r="G1592" t="s">
        <v>53</v>
      </c>
      <c r="H1592" t="s">
        <v>54</v>
      </c>
      <c r="I1592" t="s">
        <v>1039</v>
      </c>
      <c r="J1592" t="s">
        <v>243</v>
      </c>
      <c r="K1592">
        <v>1980</v>
      </c>
      <c r="L1592">
        <v>1980</v>
      </c>
      <c r="M1592">
        <v>4.2</v>
      </c>
      <c r="N1592">
        <v>23.841999999999999</v>
      </c>
      <c r="O1592">
        <v>11.5</v>
      </c>
      <c r="P1592">
        <v>49</v>
      </c>
      <c r="Q1592">
        <v>2.5000000000000001E-2</v>
      </c>
      <c r="R1592" t="s">
        <v>72</v>
      </c>
      <c r="S1592" t="s">
        <v>6937</v>
      </c>
      <c r="T1592" t="b">
        <v>1</v>
      </c>
      <c r="U1592" t="s">
        <v>3317</v>
      </c>
      <c r="V1592" t="s">
        <v>1870</v>
      </c>
      <c r="W1592" t="s">
        <v>8728</v>
      </c>
      <c r="X1592" t="s">
        <v>47</v>
      </c>
      <c r="AA1592" t="s">
        <v>400</v>
      </c>
      <c r="AB1592" t="s">
        <v>177</v>
      </c>
      <c r="AC1592" t="s">
        <v>402</v>
      </c>
      <c r="AD1592" t="b">
        <v>0</v>
      </c>
      <c r="AF1592">
        <v>13</v>
      </c>
      <c r="AG1592" t="s">
        <v>155</v>
      </c>
    </row>
    <row r="1593" spans="1:33" x14ac:dyDescent="0.2">
      <c r="A1593">
        <v>450</v>
      </c>
      <c r="B1593" t="s">
        <v>8729</v>
      </c>
      <c r="C1593" t="s">
        <v>34</v>
      </c>
      <c r="D1593" t="s">
        <v>35</v>
      </c>
      <c r="E1593" t="s">
        <v>404</v>
      </c>
      <c r="F1593" t="s">
        <v>405</v>
      </c>
      <c r="G1593" t="s">
        <v>312</v>
      </c>
      <c r="H1593" t="s">
        <v>313</v>
      </c>
      <c r="I1593" t="s">
        <v>493</v>
      </c>
      <c r="J1593" t="s">
        <v>409</v>
      </c>
      <c r="K1593">
        <v>1917</v>
      </c>
      <c r="L1593">
        <v>1917</v>
      </c>
      <c r="M1593">
        <v>10</v>
      </c>
      <c r="N1593">
        <v>28.22</v>
      </c>
      <c r="O1593">
        <v>25.7</v>
      </c>
      <c r="P1593">
        <v>45</v>
      </c>
      <c r="Q1593">
        <v>6.2E-2</v>
      </c>
      <c r="R1593" t="s">
        <v>84</v>
      </c>
      <c r="S1593" t="s">
        <v>8730</v>
      </c>
      <c r="T1593" t="b">
        <v>1</v>
      </c>
      <c r="U1593" t="s">
        <v>8731</v>
      </c>
      <c r="V1593" t="s">
        <v>408</v>
      </c>
      <c r="W1593" t="s">
        <v>8732</v>
      </c>
      <c r="X1593" t="s">
        <v>47</v>
      </c>
      <c r="AA1593" t="s">
        <v>498</v>
      </c>
      <c r="AB1593" t="s">
        <v>83</v>
      </c>
      <c r="AC1593" t="s">
        <v>499</v>
      </c>
      <c r="AD1593" t="b">
        <v>0</v>
      </c>
      <c r="AF1593">
        <v>4</v>
      </c>
      <c r="AG1593" t="s">
        <v>321</v>
      </c>
    </row>
    <row r="1594" spans="1:33" x14ac:dyDescent="0.2">
      <c r="A1594">
        <v>1451</v>
      </c>
      <c r="B1594" t="s">
        <v>8733</v>
      </c>
      <c r="C1594" t="s">
        <v>34</v>
      </c>
      <c r="D1594" t="s">
        <v>35</v>
      </c>
      <c r="E1594" t="s">
        <v>168</v>
      </c>
      <c r="F1594" t="s">
        <v>169</v>
      </c>
      <c r="G1594" t="s">
        <v>242</v>
      </c>
      <c r="H1594" t="s">
        <v>243</v>
      </c>
      <c r="I1594" t="s">
        <v>1003</v>
      </c>
      <c r="J1594" t="s">
        <v>192</v>
      </c>
      <c r="K1594">
        <v>2010</v>
      </c>
      <c r="L1594">
        <v>2010</v>
      </c>
      <c r="M1594">
        <v>1.8</v>
      </c>
      <c r="N1594">
        <v>3.0110000000000001</v>
      </c>
      <c r="O1594">
        <v>132</v>
      </c>
      <c r="P1594">
        <v>1.55</v>
      </c>
      <c r="Q1594">
        <v>0.32300000000000001</v>
      </c>
      <c r="R1594" t="s">
        <v>72</v>
      </c>
      <c r="S1594" t="s">
        <v>8734</v>
      </c>
      <c r="T1594" t="b">
        <v>1</v>
      </c>
      <c r="U1594" t="s">
        <v>8735</v>
      </c>
      <c r="V1594" t="s">
        <v>174</v>
      </c>
      <c r="W1594" t="s">
        <v>8736</v>
      </c>
      <c r="X1594" t="s">
        <v>47</v>
      </c>
      <c r="AA1594" t="s">
        <v>8737</v>
      </c>
      <c r="AB1594" t="s">
        <v>49</v>
      </c>
      <c r="AC1594" t="s">
        <v>8738</v>
      </c>
      <c r="AD1594" t="b">
        <v>0</v>
      </c>
      <c r="AF1594">
        <v>9</v>
      </c>
      <c r="AG1594" t="s">
        <v>251</v>
      </c>
    </row>
    <row r="1595" spans="1:33" x14ac:dyDescent="0.2">
      <c r="A1595">
        <v>1644</v>
      </c>
      <c r="B1595" t="s">
        <v>8739</v>
      </c>
      <c r="C1595" t="s">
        <v>34</v>
      </c>
      <c r="D1595" t="s">
        <v>35</v>
      </c>
      <c r="E1595" t="s">
        <v>8740</v>
      </c>
      <c r="F1595" t="s">
        <v>8741</v>
      </c>
      <c r="G1595" t="s">
        <v>503</v>
      </c>
      <c r="H1595" t="s">
        <v>462</v>
      </c>
      <c r="I1595" t="s">
        <v>659</v>
      </c>
      <c r="J1595" t="s">
        <v>41</v>
      </c>
      <c r="K1595">
        <v>2011</v>
      </c>
      <c r="L1595">
        <v>2011</v>
      </c>
      <c r="M1595">
        <v>1.599</v>
      </c>
      <c r="N1595">
        <v>3.6739999999999999</v>
      </c>
      <c r="O1595">
        <v>250</v>
      </c>
      <c r="P1595">
        <v>0.75</v>
      </c>
      <c r="Q1595">
        <v>0.59299999999999997</v>
      </c>
      <c r="R1595" t="s">
        <v>84</v>
      </c>
      <c r="S1595" t="s">
        <v>8742</v>
      </c>
      <c r="T1595" t="b">
        <v>1</v>
      </c>
      <c r="U1595" t="s">
        <v>8743</v>
      </c>
      <c r="V1595" t="s">
        <v>8744</v>
      </c>
      <c r="W1595" t="s">
        <v>8745</v>
      </c>
      <c r="X1595" t="s">
        <v>47</v>
      </c>
      <c r="AA1595" t="s">
        <v>583</v>
      </c>
      <c r="AC1595" t="s">
        <v>63</v>
      </c>
      <c r="AD1595" t="b">
        <v>0</v>
      </c>
      <c r="AF1595">
        <v>3</v>
      </c>
      <c r="AG1595" t="s">
        <v>332</v>
      </c>
    </row>
    <row r="1596" spans="1:33" x14ac:dyDescent="0.2">
      <c r="A1596">
        <v>2097</v>
      </c>
      <c r="B1596" t="s">
        <v>8746</v>
      </c>
      <c r="C1596" t="s">
        <v>34</v>
      </c>
      <c r="D1596" t="s">
        <v>35</v>
      </c>
      <c r="E1596" t="s">
        <v>8747</v>
      </c>
      <c r="F1596" t="s">
        <v>8748</v>
      </c>
      <c r="G1596" t="s">
        <v>53</v>
      </c>
      <c r="H1596" t="s">
        <v>54</v>
      </c>
      <c r="I1596" t="s">
        <v>325</v>
      </c>
      <c r="J1596" t="s">
        <v>135</v>
      </c>
      <c r="K1596">
        <v>2023</v>
      </c>
      <c r="L1596">
        <v>2023</v>
      </c>
      <c r="M1596">
        <v>6.6</v>
      </c>
      <c r="N1596">
        <v>23</v>
      </c>
      <c r="O1596">
        <v>171.5</v>
      </c>
      <c r="P1596">
        <v>4.3</v>
      </c>
      <c r="Q1596">
        <v>0.42199999999999999</v>
      </c>
      <c r="R1596" t="s">
        <v>84</v>
      </c>
      <c r="S1596" t="s">
        <v>8749</v>
      </c>
      <c r="T1596" t="b">
        <v>1</v>
      </c>
      <c r="U1596" t="s">
        <v>8750</v>
      </c>
      <c r="V1596" t="s">
        <v>8751</v>
      </c>
      <c r="W1596" t="s">
        <v>8752</v>
      </c>
      <c r="X1596" t="s">
        <v>47</v>
      </c>
      <c r="AA1596" t="s">
        <v>958</v>
      </c>
      <c r="AC1596" t="s">
        <v>959</v>
      </c>
      <c r="AD1596" t="b">
        <v>0</v>
      </c>
      <c r="AF1596">
        <v>3</v>
      </c>
      <c r="AG1596" t="s">
        <v>332</v>
      </c>
    </row>
    <row r="1597" spans="1:33" x14ac:dyDescent="0.2">
      <c r="A1597">
        <v>2053</v>
      </c>
      <c r="B1597" t="s">
        <v>8753</v>
      </c>
      <c r="C1597" t="s">
        <v>34</v>
      </c>
      <c r="D1597" t="s">
        <v>35</v>
      </c>
      <c r="E1597" t="s">
        <v>5304</v>
      </c>
      <c r="F1597" t="s">
        <v>5305</v>
      </c>
      <c r="G1597" t="s">
        <v>224</v>
      </c>
      <c r="H1597" t="s">
        <v>225</v>
      </c>
      <c r="I1597" t="s">
        <v>3124</v>
      </c>
      <c r="J1597" t="s">
        <v>71</v>
      </c>
      <c r="K1597">
        <v>2022</v>
      </c>
      <c r="L1597">
        <v>2022</v>
      </c>
      <c r="M1597">
        <v>3.4</v>
      </c>
      <c r="N1597">
        <v>8.3339999999999996</v>
      </c>
      <c r="O1597">
        <v>173</v>
      </c>
      <c r="P1597">
        <v>2.4</v>
      </c>
      <c r="Q1597">
        <v>0.39400000000000002</v>
      </c>
      <c r="R1597" t="s">
        <v>57</v>
      </c>
      <c r="S1597" t="s">
        <v>8754</v>
      </c>
      <c r="T1597" t="b">
        <v>1</v>
      </c>
      <c r="U1597" t="s">
        <v>8755</v>
      </c>
      <c r="V1597" t="s">
        <v>5308</v>
      </c>
      <c r="W1597" t="s">
        <v>8756</v>
      </c>
      <c r="X1597" t="s">
        <v>47</v>
      </c>
      <c r="AA1597" t="s">
        <v>102</v>
      </c>
      <c r="AC1597" t="s">
        <v>103</v>
      </c>
      <c r="AD1597" t="b">
        <v>0</v>
      </c>
      <c r="AF1597">
        <v>2</v>
      </c>
      <c r="AG1597" t="s">
        <v>287</v>
      </c>
    </row>
    <row r="1598" spans="1:33" x14ac:dyDescent="0.2">
      <c r="A1598">
        <v>457</v>
      </c>
      <c r="B1598" t="s">
        <v>8757</v>
      </c>
      <c r="C1598" t="s">
        <v>34</v>
      </c>
      <c r="D1598" t="s">
        <v>35</v>
      </c>
      <c r="E1598" t="s">
        <v>253</v>
      </c>
      <c r="F1598" t="s">
        <v>254</v>
      </c>
      <c r="G1598" t="s">
        <v>242</v>
      </c>
      <c r="H1598" t="s">
        <v>243</v>
      </c>
      <c r="I1598" t="s">
        <v>2155</v>
      </c>
      <c r="J1598" t="s">
        <v>313</v>
      </c>
      <c r="K1598">
        <v>1963</v>
      </c>
      <c r="L1598">
        <v>1963</v>
      </c>
      <c r="M1598">
        <v>30.4</v>
      </c>
      <c r="N1598">
        <v>147.297</v>
      </c>
      <c r="O1598">
        <v>60</v>
      </c>
      <c r="P1598">
        <v>60.75</v>
      </c>
      <c r="Q1598">
        <v>0.13800000000000001</v>
      </c>
      <c r="R1598" t="s">
        <v>42</v>
      </c>
      <c r="S1598" t="s">
        <v>8758</v>
      </c>
      <c r="T1598" t="b">
        <v>1</v>
      </c>
      <c r="U1598" t="s">
        <v>8759</v>
      </c>
      <c r="V1598" t="s">
        <v>259</v>
      </c>
      <c r="W1598" t="s">
        <v>8760</v>
      </c>
      <c r="X1598" t="s">
        <v>47</v>
      </c>
      <c r="AA1598" t="s">
        <v>261</v>
      </c>
      <c r="AB1598" t="s">
        <v>280</v>
      </c>
      <c r="AC1598" t="s">
        <v>263</v>
      </c>
      <c r="AD1598" t="b">
        <v>0</v>
      </c>
      <c r="AF1598">
        <v>10</v>
      </c>
      <c r="AG1598" t="s">
        <v>143</v>
      </c>
    </row>
    <row r="1599" spans="1:33" x14ac:dyDescent="0.2">
      <c r="A1599">
        <v>458</v>
      </c>
      <c r="B1599" t="s">
        <v>8761</v>
      </c>
      <c r="C1599" t="s">
        <v>34</v>
      </c>
      <c r="D1599" t="s">
        <v>35</v>
      </c>
      <c r="E1599" t="s">
        <v>253</v>
      </c>
      <c r="F1599" t="s">
        <v>254</v>
      </c>
      <c r="G1599" t="s">
        <v>242</v>
      </c>
      <c r="H1599" t="s">
        <v>243</v>
      </c>
      <c r="I1599" t="s">
        <v>4582</v>
      </c>
      <c r="J1599" t="s">
        <v>533</v>
      </c>
      <c r="K1599">
        <v>1963</v>
      </c>
      <c r="L1599">
        <v>1963</v>
      </c>
      <c r="M1599">
        <v>176</v>
      </c>
      <c r="N1599">
        <v>839.99300000000005</v>
      </c>
      <c r="O1599">
        <v>237.5</v>
      </c>
      <c r="P1599">
        <v>89.9</v>
      </c>
      <c r="Q1599">
        <v>0.54400000000000004</v>
      </c>
      <c r="R1599" t="s">
        <v>42</v>
      </c>
      <c r="S1599" t="s">
        <v>3058</v>
      </c>
      <c r="T1599" t="b">
        <v>1</v>
      </c>
      <c r="U1599" t="s">
        <v>8762</v>
      </c>
      <c r="V1599" t="s">
        <v>259</v>
      </c>
      <c r="W1599" t="s">
        <v>5330</v>
      </c>
      <c r="X1599" t="s">
        <v>47</v>
      </c>
      <c r="AA1599" t="s">
        <v>261</v>
      </c>
      <c r="AB1599" t="s">
        <v>567</v>
      </c>
      <c r="AC1599" t="s">
        <v>263</v>
      </c>
      <c r="AD1599" t="b">
        <v>0</v>
      </c>
      <c r="AF1599">
        <v>10</v>
      </c>
      <c r="AG1599" t="s">
        <v>143</v>
      </c>
    </row>
    <row r="1600" spans="1:33" x14ac:dyDescent="0.2">
      <c r="A1600">
        <v>459</v>
      </c>
      <c r="B1600" t="s">
        <v>8763</v>
      </c>
      <c r="C1600" t="s">
        <v>34</v>
      </c>
      <c r="D1600" t="s">
        <v>35</v>
      </c>
      <c r="E1600" t="s">
        <v>253</v>
      </c>
      <c r="F1600" t="s">
        <v>254</v>
      </c>
      <c r="G1600" t="s">
        <v>242</v>
      </c>
      <c r="H1600" t="s">
        <v>243</v>
      </c>
      <c r="I1600" t="s">
        <v>2767</v>
      </c>
      <c r="J1600" t="s">
        <v>1072</v>
      </c>
      <c r="K1600">
        <v>1986</v>
      </c>
      <c r="L1600">
        <v>1986</v>
      </c>
      <c r="M1600">
        <v>8.5</v>
      </c>
      <c r="N1600">
        <v>28.001999999999999</v>
      </c>
      <c r="O1600">
        <v>8.1</v>
      </c>
      <c r="P1600">
        <v>124.26</v>
      </c>
      <c r="Q1600">
        <v>1.7999999999999999E-2</v>
      </c>
      <c r="R1600" t="s">
        <v>42</v>
      </c>
      <c r="S1600" t="s">
        <v>8764</v>
      </c>
      <c r="T1600" t="b">
        <v>1</v>
      </c>
      <c r="U1600" t="s">
        <v>8765</v>
      </c>
      <c r="V1600" t="s">
        <v>259</v>
      </c>
      <c r="W1600" t="s">
        <v>5330</v>
      </c>
      <c r="X1600" t="s">
        <v>47</v>
      </c>
      <c r="AA1600" t="s">
        <v>261</v>
      </c>
      <c r="AB1600" t="s">
        <v>485</v>
      </c>
      <c r="AC1600" t="s">
        <v>263</v>
      </c>
      <c r="AD1600" t="b">
        <v>0</v>
      </c>
      <c r="AF1600">
        <v>10</v>
      </c>
      <c r="AG1600" t="s">
        <v>143</v>
      </c>
    </row>
    <row r="1601" spans="1:33" x14ac:dyDescent="0.2">
      <c r="A1601">
        <v>461</v>
      </c>
      <c r="B1601" t="s">
        <v>8766</v>
      </c>
      <c r="C1601" t="s">
        <v>34</v>
      </c>
      <c r="D1601" t="s">
        <v>35</v>
      </c>
      <c r="E1601" t="s">
        <v>682</v>
      </c>
      <c r="F1601" t="s">
        <v>683</v>
      </c>
      <c r="G1601" t="s">
        <v>68</v>
      </c>
      <c r="H1601" t="s">
        <v>69</v>
      </c>
      <c r="I1601" t="s">
        <v>1458</v>
      </c>
      <c r="J1601" t="s">
        <v>1459</v>
      </c>
      <c r="K1601">
        <v>1961</v>
      </c>
      <c r="L1601">
        <v>1961</v>
      </c>
      <c r="M1601">
        <v>64</v>
      </c>
      <c r="N1601">
        <v>274.101</v>
      </c>
      <c r="O1601">
        <v>646</v>
      </c>
      <c r="P1601">
        <v>11</v>
      </c>
      <c r="Q1601">
        <v>1.6160000000000001</v>
      </c>
      <c r="R1601" t="s">
        <v>72</v>
      </c>
      <c r="S1601" t="s">
        <v>8767</v>
      </c>
      <c r="T1601" t="b">
        <v>1</v>
      </c>
      <c r="U1601" t="s">
        <v>3283</v>
      </c>
      <c r="V1601" t="s">
        <v>686</v>
      </c>
      <c r="W1601" t="s">
        <v>8768</v>
      </c>
      <c r="X1601" t="s">
        <v>47</v>
      </c>
      <c r="AA1601" t="s">
        <v>8769</v>
      </c>
      <c r="AB1601" t="s">
        <v>49</v>
      </c>
      <c r="AC1601" t="s">
        <v>8770</v>
      </c>
      <c r="AD1601" t="b">
        <v>0</v>
      </c>
      <c r="AF1601">
        <v>8</v>
      </c>
      <c r="AG1601" t="s">
        <v>78</v>
      </c>
    </row>
    <row r="1602" spans="1:33" x14ac:dyDescent="0.2">
      <c r="A1602">
        <v>462</v>
      </c>
      <c r="B1602" t="s">
        <v>8771</v>
      </c>
      <c r="C1602" t="s">
        <v>34</v>
      </c>
      <c r="D1602" t="s">
        <v>35</v>
      </c>
      <c r="E1602" t="s">
        <v>1200</v>
      </c>
      <c r="F1602" t="s">
        <v>1201</v>
      </c>
      <c r="G1602" t="s">
        <v>53</v>
      </c>
      <c r="H1602" t="s">
        <v>54</v>
      </c>
      <c r="I1602" t="s">
        <v>2033</v>
      </c>
      <c r="J1602" t="s">
        <v>1303</v>
      </c>
      <c r="K1602">
        <v>1982</v>
      </c>
      <c r="L1602">
        <v>1982</v>
      </c>
      <c r="M1602">
        <v>0.95</v>
      </c>
      <c r="N1602">
        <v>5.7629999999999999</v>
      </c>
      <c r="O1602">
        <v>386</v>
      </c>
      <c r="P1602">
        <v>0.32500000000000001</v>
      </c>
      <c r="Q1602">
        <v>0.81200000000000006</v>
      </c>
      <c r="R1602" t="s">
        <v>72</v>
      </c>
      <c r="S1602" t="s">
        <v>8772</v>
      </c>
      <c r="T1602" t="b">
        <v>1</v>
      </c>
      <c r="U1602" t="s">
        <v>8773</v>
      </c>
      <c r="V1602" t="s">
        <v>1204</v>
      </c>
      <c r="W1602" t="s">
        <v>113</v>
      </c>
      <c r="X1602" t="s">
        <v>47</v>
      </c>
      <c r="AA1602" t="s">
        <v>8774</v>
      </c>
      <c r="AB1602" t="s">
        <v>49</v>
      </c>
      <c r="AC1602" t="s">
        <v>8775</v>
      </c>
      <c r="AD1602" t="b">
        <v>0</v>
      </c>
      <c r="AF1602">
        <v>13</v>
      </c>
      <c r="AG1602" t="s">
        <v>155</v>
      </c>
    </row>
    <row r="1603" spans="1:33" x14ac:dyDescent="0.2">
      <c r="A1603">
        <v>884</v>
      </c>
      <c r="B1603" t="s">
        <v>8771</v>
      </c>
      <c r="C1603" t="s">
        <v>34</v>
      </c>
      <c r="D1603" t="s">
        <v>35</v>
      </c>
      <c r="E1603" t="s">
        <v>8776</v>
      </c>
      <c r="F1603" t="s">
        <v>8777</v>
      </c>
      <c r="G1603" t="s">
        <v>213</v>
      </c>
      <c r="H1603" t="s">
        <v>83</v>
      </c>
      <c r="I1603" t="s">
        <v>635</v>
      </c>
      <c r="J1603" t="s">
        <v>94</v>
      </c>
      <c r="K1603">
        <v>1997</v>
      </c>
      <c r="L1603">
        <v>1997</v>
      </c>
      <c r="M1603">
        <v>0.36</v>
      </c>
      <c r="N1603">
        <v>1.4930000000000001</v>
      </c>
      <c r="R1603" t="s">
        <v>84</v>
      </c>
      <c r="S1603" t="s">
        <v>8778</v>
      </c>
      <c r="T1603" t="b">
        <v>1</v>
      </c>
      <c r="U1603" t="s">
        <v>111</v>
      </c>
      <c r="V1603" t="s">
        <v>8779</v>
      </c>
      <c r="W1603" t="s">
        <v>8780</v>
      </c>
      <c r="X1603" t="s">
        <v>47</v>
      </c>
      <c r="AA1603" t="s">
        <v>3369</v>
      </c>
      <c r="AC1603" t="s">
        <v>8781</v>
      </c>
      <c r="AD1603" t="b">
        <v>0</v>
      </c>
      <c r="AF1603">
        <v>3</v>
      </c>
      <c r="AG1603" t="s">
        <v>332</v>
      </c>
    </row>
    <row r="1604" spans="1:33" x14ac:dyDescent="0.2">
      <c r="A1604">
        <v>771</v>
      </c>
      <c r="B1604" t="s">
        <v>8782</v>
      </c>
      <c r="C1604" t="s">
        <v>34</v>
      </c>
      <c r="D1604" t="s">
        <v>35</v>
      </c>
      <c r="E1604" t="s">
        <v>1821</v>
      </c>
      <c r="F1604" t="s">
        <v>1822</v>
      </c>
      <c r="G1604" t="s">
        <v>53</v>
      </c>
      <c r="H1604" t="s">
        <v>54</v>
      </c>
      <c r="I1604" t="s">
        <v>1663</v>
      </c>
      <c r="J1604" t="s">
        <v>973</v>
      </c>
      <c r="K1604">
        <v>1948</v>
      </c>
      <c r="L1604">
        <v>1948</v>
      </c>
      <c r="M1604">
        <v>1.07</v>
      </c>
      <c r="N1604">
        <v>6.36</v>
      </c>
      <c r="O1604">
        <v>65</v>
      </c>
      <c r="P1604">
        <v>2</v>
      </c>
      <c r="Q1604">
        <v>0.13900000000000001</v>
      </c>
      <c r="R1604" t="s">
        <v>57</v>
      </c>
      <c r="S1604" t="s">
        <v>8783</v>
      </c>
      <c r="T1604" t="b">
        <v>1</v>
      </c>
      <c r="U1604" t="s">
        <v>4109</v>
      </c>
      <c r="V1604" t="s">
        <v>1824</v>
      </c>
      <c r="W1604" t="s">
        <v>8784</v>
      </c>
      <c r="X1604" t="s">
        <v>47</v>
      </c>
      <c r="AA1604" t="s">
        <v>1667</v>
      </c>
      <c r="AB1604" t="s">
        <v>49</v>
      </c>
      <c r="AC1604" t="s">
        <v>1668</v>
      </c>
      <c r="AD1604" t="b">
        <v>0</v>
      </c>
      <c r="AF1604">
        <v>2</v>
      </c>
      <c r="AG1604" t="s">
        <v>287</v>
      </c>
    </row>
    <row r="1605" spans="1:33" x14ac:dyDescent="0.2">
      <c r="A1605">
        <v>1446</v>
      </c>
      <c r="B1605" t="s">
        <v>8785</v>
      </c>
      <c r="C1605" t="s">
        <v>34</v>
      </c>
      <c r="D1605" t="s">
        <v>35</v>
      </c>
      <c r="E1605" t="s">
        <v>168</v>
      </c>
      <c r="F1605" t="s">
        <v>169</v>
      </c>
      <c r="G1605" t="s">
        <v>53</v>
      </c>
      <c r="H1605" t="s">
        <v>54</v>
      </c>
      <c r="I1605" t="s">
        <v>235</v>
      </c>
      <c r="J1605" t="s">
        <v>41</v>
      </c>
      <c r="K1605">
        <v>2009</v>
      </c>
      <c r="L1605">
        <v>2009</v>
      </c>
      <c r="M1605">
        <v>4.2</v>
      </c>
      <c r="N1605">
        <v>7.9550000000000001</v>
      </c>
      <c r="O1605">
        <v>300</v>
      </c>
      <c r="P1605">
        <v>1.55</v>
      </c>
      <c r="Q1605">
        <v>0.752</v>
      </c>
      <c r="R1605" t="s">
        <v>84</v>
      </c>
      <c r="S1605" t="s">
        <v>8786</v>
      </c>
      <c r="T1605" t="b">
        <v>1</v>
      </c>
      <c r="U1605" t="s">
        <v>8787</v>
      </c>
      <c r="V1605" t="s">
        <v>174</v>
      </c>
      <c r="W1605" t="s">
        <v>8788</v>
      </c>
      <c r="X1605" t="s">
        <v>47</v>
      </c>
      <c r="AA1605" t="s">
        <v>1000</v>
      </c>
      <c r="AB1605" t="s">
        <v>177</v>
      </c>
      <c r="AC1605" t="s">
        <v>1001</v>
      </c>
      <c r="AD1605" t="b">
        <v>0</v>
      </c>
      <c r="AF1605">
        <v>5</v>
      </c>
      <c r="AG1605" t="s">
        <v>89</v>
      </c>
    </row>
    <row r="1606" spans="1:33" x14ac:dyDescent="0.2">
      <c r="A1606">
        <v>1658</v>
      </c>
      <c r="B1606" t="s">
        <v>8789</v>
      </c>
      <c r="C1606" t="s">
        <v>34</v>
      </c>
      <c r="D1606" t="s">
        <v>35</v>
      </c>
      <c r="E1606" t="s">
        <v>8790</v>
      </c>
      <c r="F1606" t="s">
        <v>8791</v>
      </c>
      <c r="G1606" t="s">
        <v>53</v>
      </c>
      <c r="H1606" t="s">
        <v>54</v>
      </c>
      <c r="I1606" t="s">
        <v>118</v>
      </c>
      <c r="J1606" t="s">
        <v>119</v>
      </c>
      <c r="K1606">
        <v>2011</v>
      </c>
      <c r="L1606">
        <v>2011</v>
      </c>
      <c r="M1606">
        <v>3.3</v>
      </c>
      <c r="N1606">
        <v>7.8090000000000002</v>
      </c>
      <c r="O1606">
        <v>233.3</v>
      </c>
      <c r="P1606">
        <v>1.8</v>
      </c>
      <c r="Q1606">
        <v>0.52100000000000002</v>
      </c>
      <c r="R1606" t="s">
        <v>84</v>
      </c>
      <c r="S1606" t="s">
        <v>8792</v>
      </c>
      <c r="T1606" t="b">
        <v>1</v>
      </c>
      <c r="U1606" t="s">
        <v>8793</v>
      </c>
      <c r="V1606" t="s">
        <v>8794</v>
      </c>
      <c r="W1606" t="s">
        <v>8795</v>
      </c>
      <c r="X1606" t="s">
        <v>47</v>
      </c>
      <c r="AA1606" t="s">
        <v>554</v>
      </c>
      <c r="AB1606" t="s">
        <v>49</v>
      </c>
      <c r="AC1606" t="s">
        <v>8796</v>
      </c>
      <c r="AD1606" t="b">
        <v>0</v>
      </c>
      <c r="AF1606">
        <v>5</v>
      </c>
      <c r="AG1606" t="s">
        <v>89</v>
      </c>
    </row>
    <row r="1607" spans="1:33" x14ac:dyDescent="0.2">
      <c r="A1607">
        <v>1186</v>
      </c>
      <c r="B1607" t="s">
        <v>8797</v>
      </c>
      <c r="C1607" t="s">
        <v>34</v>
      </c>
      <c r="D1607" t="s">
        <v>35</v>
      </c>
      <c r="E1607" t="s">
        <v>8798</v>
      </c>
      <c r="F1607" t="s">
        <v>8799</v>
      </c>
      <c r="G1607" t="s">
        <v>53</v>
      </c>
      <c r="H1607" t="s">
        <v>54</v>
      </c>
      <c r="I1607" t="s">
        <v>118</v>
      </c>
      <c r="J1607" t="s">
        <v>119</v>
      </c>
      <c r="K1607">
        <v>1997</v>
      </c>
      <c r="L1607">
        <v>1997</v>
      </c>
      <c r="M1607">
        <v>0.1</v>
      </c>
      <c r="N1607">
        <v>0.40899999999999997</v>
      </c>
      <c r="R1607" t="s">
        <v>84</v>
      </c>
      <c r="S1607" t="s">
        <v>8800</v>
      </c>
      <c r="T1607" t="b">
        <v>1</v>
      </c>
      <c r="U1607" t="s">
        <v>111</v>
      </c>
      <c r="V1607" t="s">
        <v>8801</v>
      </c>
      <c r="W1607" t="s">
        <v>8802</v>
      </c>
      <c r="X1607" t="s">
        <v>47</v>
      </c>
      <c r="AA1607" t="s">
        <v>479</v>
      </c>
      <c r="AC1607" t="s">
        <v>63</v>
      </c>
      <c r="AD1607" t="b">
        <v>0</v>
      </c>
      <c r="AF1607">
        <v>5</v>
      </c>
      <c r="AG1607" t="s">
        <v>89</v>
      </c>
    </row>
    <row r="1608" spans="1:33" x14ac:dyDescent="0.2">
      <c r="A1608">
        <v>1039</v>
      </c>
      <c r="B1608" t="s">
        <v>8803</v>
      </c>
      <c r="C1608" t="s">
        <v>34</v>
      </c>
      <c r="D1608" t="s">
        <v>35</v>
      </c>
      <c r="E1608" t="s">
        <v>8804</v>
      </c>
      <c r="F1608" t="s">
        <v>8805</v>
      </c>
      <c r="G1608" t="s">
        <v>503</v>
      </c>
      <c r="H1608" t="s">
        <v>462</v>
      </c>
      <c r="I1608" t="s">
        <v>2930</v>
      </c>
      <c r="J1608" t="s">
        <v>676</v>
      </c>
      <c r="K1608">
        <v>2004</v>
      </c>
      <c r="L1608">
        <v>2004</v>
      </c>
      <c r="M1608">
        <v>3.6999999999999998E-2</v>
      </c>
      <c r="N1608">
        <v>0.16900000000000001</v>
      </c>
      <c r="O1608">
        <v>72</v>
      </c>
      <c r="P1608">
        <v>0.08</v>
      </c>
      <c r="Q1608">
        <v>0.128</v>
      </c>
      <c r="R1608" t="s">
        <v>84</v>
      </c>
      <c r="S1608" t="s">
        <v>8806</v>
      </c>
      <c r="T1608" t="b">
        <v>1</v>
      </c>
      <c r="U1608" t="s">
        <v>8807</v>
      </c>
      <c r="V1608" t="s">
        <v>8808</v>
      </c>
      <c r="W1608" t="s">
        <v>8809</v>
      </c>
      <c r="X1608" t="s">
        <v>47</v>
      </c>
      <c r="AA1608" t="s">
        <v>583</v>
      </c>
      <c r="AC1608" t="s">
        <v>585</v>
      </c>
      <c r="AD1608" t="b">
        <v>0</v>
      </c>
      <c r="AF1608">
        <v>3</v>
      </c>
      <c r="AG1608" t="s">
        <v>332</v>
      </c>
    </row>
    <row r="1609" spans="1:33" x14ac:dyDescent="0.2">
      <c r="A1609">
        <v>464</v>
      </c>
      <c r="B1609" t="s">
        <v>8810</v>
      </c>
      <c r="C1609" t="s">
        <v>34</v>
      </c>
      <c r="D1609" t="s">
        <v>35</v>
      </c>
      <c r="E1609" t="s">
        <v>91</v>
      </c>
      <c r="F1609" t="s">
        <v>92</v>
      </c>
      <c r="G1609" t="s">
        <v>503</v>
      </c>
      <c r="H1609" t="s">
        <v>462</v>
      </c>
      <c r="I1609" t="s">
        <v>1520</v>
      </c>
      <c r="J1609" t="s">
        <v>337</v>
      </c>
      <c r="K1609">
        <v>1955</v>
      </c>
      <c r="L1609">
        <v>1955</v>
      </c>
      <c r="M1609">
        <v>2.6</v>
      </c>
      <c r="N1609">
        <v>13.675000000000001</v>
      </c>
      <c r="O1609">
        <v>9.3000000000000007</v>
      </c>
      <c r="P1609">
        <v>40.11</v>
      </c>
      <c r="Q1609">
        <v>1.7000000000000001E-2</v>
      </c>
      <c r="R1609" t="s">
        <v>84</v>
      </c>
      <c r="S1609" t="s">
        <v>8811</v>
      </c>
      <c r="T1609" t="b">
        <v>1</v>
      </c>
      <c r="U1609" t="s">
        <v>4534</v>
      </c>
      <c r="V1609" t="s">
        <v>100</v>
      </c>
      <c r="W1609" t="s">
        <v>8812</v>
      </c>
      <c r="X1609" t="s">
        <v>47</v>
      </c>
      <c r="AA1609" t="s">
        <v>1297</v>
      </c>
      <c r="AB1609" t="s">
        <v>401</v>
      </c>
      <c r="AC1609" t="s">
        <v>1298</v>
      </c>
      <c r="AD1609" t="b">
        <v>0</v>
      </c>
      <c r="AF1609">
        <v>3</v>
      </c>
      <c r="AG1609" t="s">
        <v>332</v>
      </c>
    </row>
    <row r="1610" spans="1:33" x14ac:dyDescent="0.2">
      <c r="A1610">
        <v>832</v>
      </c>
      <c r="B1610" t="s">
        <v>8813</v>
      </c>
      <c r="C1610" t="s">
        <v>34</v>
      </c>
      <c r="D1610" t="s">
        <v>35</v>
      </c>
      <c r="E1610" t="s">
        <v>8814</v>
      </c>
      <c r="F1610" t="s">
        <v>8815</v>
      </c>
      <c r="G1610" t="s">
        <v>213</v>
      </c>
      <c r="H1610" t="s">
        <v>83</v>
      </c>
      <c r="I1610" t="s">
        <v>635</v>
      </c>
      <c r="J1610" t="s">
        <v>94</v>
      </c>
      <c r="K1610">
        <v>2005</v>
      </c>
      <c r="L1610">
        <v>2005</v>
      </c>
      <c r="M1610">
        <v>1.45</v>
      </c>
      <c r="N1610">
        <v>4.9770000000000003</v>
      </c>
      <c r="O1610">
        <v>331</v>
      </c>
      <c r="P1610">
        <v>0.46</v>
      </c>
      <c r="Q1610">
        <v>0.78500000000000003</v>
      </c>
      <c r="R1610" t="s">
        <v>84</v>
      </c>
      <c r="S1610" t="s">
        <v>8816</v>
      </c>
      <c r="T1610" t="b">
        <v>1</v>
      </c>
      <c r="U1610" t="s">
        <v>8817</v>
      </c>
      <c r="V1610" t="s">
        <v>8818</v>
      </c>
      <c r="W1610" t="s">
        <v>8819</v>
      </c>
      <c r="X1610" t="s">
        <v>47</v>
      </c>
      <c r="AA1610" t="s">
        <v>958</v>
      </c>
      <c r="AB1610" t="s">
        <v>3364</v>
      </c>
      <c r="AC1610" t="s">
        <v>959</v>
      </c>
      <c r="AD1610" t="b">
        <v>0</v>
      </c>
      <c r="AF1610">
        <v>3</v>
      </c>
      <c r="AG1610" t="s">
        <v>332</v>
      </c>
    </row>
    <row r="1611" spans="1:33" x14ac:dyDescent="0.2">
      <c r="A1611">
        <v>1988</v>
      </c>
      <c r="B1611" t="s">
        <v>8820</v>
      </c>
      <c r="C1611" t="s">
        <v>34</v>
      </c>
      <c r="D1611" t="s">
        <v>35</v>
      </c>
      <c r="E1611" t="s">
        <v>8821</v>
      </c>
      <c r="F1611" t="s">
        <v>8822</v>
      </c>
      <c r="G1611" t="s">
        <v>53</v>
      </c>
      <c r="H1611" t="s">
        <v>54</v>
      </c>
      <c r="I1611" t="s">
        <v>461</v>
      </c>
      <c r="J1611" t="s">
        <v>462</v>
      </c>
      <c r="K1611">
        <v>2020</v>
      </c>
      <c r="L1611">
        <v>2020</v>
      </c>
      <c r="M1611">
        <v>6.03</v>
      </c>
      <c r="N1611">
        <v>17.202999999999999</v>
      </c>
      <c r="O1611">
        <v>225.3</v>
      </c>
      <c r="P1611">
        <v>3.2</v>
      </c>
      <c r="Q1611">
        <v>0.52300000000000002</v>
      </c>
      <c r="R1611" t="s">
        <v>57</v>
      </c>
      <c r="S1611" t="s">
        <v>7420</v>
      </c>
      <c r="T1611" t="b">
        <v>1</v>
      </c>
      <c r="U1611" t="s">
        <v>8823</v>
      </c>
      <c r="V1611" t="s">
        <v>8824</v>
      </c>
      <c r="W1611" t="s">
        <v>8825</v>
      </c>
      <c r="X1611" t="s">
        <v>47</v>
      </c>
      <c r="AA1611" t="s">
        <v>3629</v>
      </c>
      <c r="AB1611" t="s">
        <v>177</v>
      </c>
      <c r="AC1611" t="s">
        <v>3942</v>
      </c>
      <c r="AD1611" t="b">
        <v>0</v>
      </c>
      <c r="AF1611">
        <v>7</v>
      </c>
      <c r="AG1611" t="s">
        <v>469</v>
      </c>
    </row>
    <row r="1612" spans="1:33" x14ac:dyDescent="0.2">
      <c r="A1612">
        <v>850</v>
      </c>
      <c r="B1612" t="s">
        <v>8826</v>
      </c>
      <c r="C1612" t="s">
        <v>34</v>
      </c>
      <c r="D1612" t="s">
        <v>35</v>
      </c>
      <c r="E1612" t="s">
        <v>512</v>
      </c>
      <c r="F1612" t="s">
        <v>513</v>
      </c>
      <c r="G1612" t="s">
        <v>377</v>
      </c>
      <c r="H1612" t="s">
        <v>378</v>
      </c>
      <c r="I1612" t="s">
        <v>514</v>
      </c>
      <c r="J1612" t="s">
        <v>515</v>
      </c>
      <c r="K1612">
        <v>1985</v>
      </c>
      <c r="L1612">
        <v>1985</v>
      </c>
      <c r="M1612">
        <v>0.3</v>
      </c>
      <c r="N1612">
        <v>2.0430000000000001</v>
      </c>
      <c r="R1612" t="s">
        <v>42</v>
      </c>
      <c r="S1612" t="s">
        <v>8827</v>
      </c>
      <c r="T1612" t="b">
        <v>1</v>
      </c>
      <c r="U1612" t="s">
        <v>517</v>
      </c>
      <c r="V1612" t="s">
        <v>518</v>
      </c>
      <c r="W1612" t="s">
        <v>113</v>
      </c>
      <c r="X1612" t="s">
        <v>47</v>
      </c>
      <c r="AA1612" t="s">
        <v>8828</v>
      </c>
      <c r="AC1612" t="s">
        <v>63</v>
      </c>
      <c r="AD1612" t="b">
        <v>0</v>
      </c>
      <c r="AF1612">
        <v>11</v>
      </c>
      <c r="AG1612" t="s">
        <v>198</v>
      </c>
    </row>
    <row r="1613" spans="1:33" x14ac:dyDescent="0.2">
      <c r="A1613">
        <v>1875</v>
      </c>
      <c r="B1613" t="s">
        <v>8826</v>
      </c>
      <c r="C1613" t="s">
        <v>34</v>
      </c>
      <c r="D1613" t="s">
        <v>35</v>
      </c>
      <c r="E1613" t="s">
        <v>8829</v>
      </c>
      <c r="F1613" t="s">
        <v>8830</v>
      </c>
      <c r="G1613" t="s">
        <v>53</v>
      </c>
      <c r="H1613" t="s">
        <v>54</v>
      </c>
      <c r="I1613" t="s">
        <v>118</v>
      </c>
      <c r="J1613" t="s">
        <v>119</v>
      </c>
      <c r="K1613">
        <v>2017</v>
      </c>
      <c r="L1613">
        <v>2017</v>
      </c>
      <c r="M1613">
        <v>4.9800000000000004</v>
      </c>
      <c r="N1613">
        <v>14.891999999999999</v>
      </c>
      <c r="O1613">
        <v>492.2</v>
      </c>
      <c r="P1613">
        <v>1.18</v>
      </c>
      <c r="Q1613">
        <v>1.1719999999999999</v>
      </c>
      <c r="R1613" t="s">
        <v>84</v>
      </c>
      <c r="S1613" t="s">
        <v>2541</v>
      </c>
      <c r="T1613" t="b">
        <v>1</v>
      </c>
      <c r="U1613" t="s">
        <v>8831</v>
      </c>
      <c r="V1613" t="s">
        <v>8832</v>
      </c>
      <c r="W1613" t="s">
        <v>8833</v>
      </c>
      <c r="X1613" t="s">
        <v>47</v>
      </c>
      <c r="AA1613" t="s">
        <v>2544</v>
      </c>
      <c r="AB1613" t="s">
        <v>49</v>
      </c>
      <c r="AC1613" t="s">
        <v>8834</v>
      </c>
      <c r="AD1613" t="b">
        <v>0</v>
      </c>
      <c r="AF1613">
        <v>5</v>
      </c>
      <c r="AG1613" t="s">
        <v>89</v>
      </c>
    </row>
    <row r="1614" spans="1:33" x14ac:dyDescent="0.2">
      <c r="A1614">
        <v>2153</v>
      </c>
      <c r="B1614" t="s">
        <v>8826</v>
      </c>
      <c r="C1614" t="s">
        <v>34</v>
      </c>
      <c r="D1614" t="s">
        <v>35</v>
      </c>
      <c r="E1614" t="s">
        <v>1574</v>
      </c>
      <c r="F1614" t="s">
        <v>1575</v>
      </c>
      <c r="G1614" t="s">
        <v>377</v>
      </c>
      <c r="H1614" t="s">
        <v>378</v>
      </c>
      <c r="I1614" t="s">
        <v>5486</v>
      </c>
      <c r="J1614" t="s">
        <v>539</v>
      </c>
      <c r="K1614">
        <v>2024</v>
      </c>
      <c r="L1614">
        <v>2024</v>
      </c>
      <c r="M1614">
        <v>3.2</v>
      </c>
      <c r="N1614">
        <v>8.9</v>
      </c>
      <c r="O1614">
        <v>307.17</v>
      </c>
      <c r="P1614">
        <v>1.23</v>
      </c>
      <c r="Q1614">
        <v>0.72299999999999998</v>
      </c>
      <c r="R1614" t="s">
        <v>42</v>
      </c>
      <c r="S1614" t="s">
        <v>8835</v>
      </c>
      <c r="T1614" t="b">
        <v>1</v>
      </c>
      <c r="U1614" t="s">
        <v>8836</v>
      </c>
      <c r="V1614" t="s">
        <v>1577</v>
      </c>
      <c r="W1614" t="s">
        <v>8837</v>
      </c>
      <c r="X1614" t="s">
        <v>47</v>
      </c>
      <c r="AA1614" t="s">
        <v>8838</v>
      </c>
      <c r="AC1614" t="s">
        <v>63</v>
      </c>
      <c r="AD1614" t="b">
        <v>0</v>
      </c>
      <c r="AF1614">
        <v>11</v>
      </c>
      <c r="AG1614" t="s">
        <v>198</v>
      </c>
    </row>
    <row r="1615" spans="1:33" x14ac:dyDescent="0.2">
      <c r="A1615">
        <v>2072</v>
      </c>
      <c r="B1615" t="s">
        <v>8839</v>
      </c>
      <c r="C1615" t="s">
        <v>34</v>
      </c>
      <c r="D1615" t="s">
        <v>35</v>
      </c>
      <c r="E1615" t="s">
        <v>501</v>
      </c>
      <c r="F1615" t="s">
        <v>502</v>
      </c>
      <c r="G1615" t="s">
        <v>53</v>
      </c>
      <c r="H1615" t="s">
        <v>54</v>
      </c>
      <c r="I1615" t="s">
        <v>55</v>
      </c>
      <c r="J1615" t="s">
        <v>56</v>
      </c>
      <c r="K1615">
        <v>2022</v>
      </c>
      <c r="L1615">
        <v>2022</v>
      </c>
      <c r="M1615">
        <v>4.6399999999999997</v>
      </c>
      <c r="N1615">
        <v>13.24</v>
      </c>
      <c r="O1615">
        <v>484</v>
      </c>
      <c r="P1615">
        <v>1.1000000000000001</v>
      </c>
      <c r="Q1615">
        <v>1.1719999999999999</v>
      </c>
      <c r="R1615" t="s">
        <v>57</v>
      </c>
      <c r="S1615" t="s">
        <v>8840</v>
      </c>
      <c r="T1615" t="b">
        <v>1</v>
      </c>
      <c r="U1615" t="s">
        <v>8841</v>
      </c>
      <c r="V1615" t="s">
        <v>507</v>
      </c>
      <c r="W1615" t="s">
        <v>8842</v>
      </c>
      <c r="X1615" t="s">
        <v>47</v>
      </c>
      <c r="AA1615" t="s">
        <v>741</v>
      </c>
      <c r="AC1615" t="s">
        <v>742</v>
      </c>
      <c r="AD1615" t="b">
        <v>0</v>
      </c>
      <c r="AF1615">
        <v>6</v>
      </c>
      <c r="AG1615" t="s">
        <v>64</v>
      </c>
    </row>
    <row r="1616" spans="1:33" x14ac:dyDescent="0.2">
      <c r="A1616">
        <v>2181</v>
      </c>
      <c r="B1616" t="s">
        <v>8839</v>
      </c>
      <c r="C1616" t="s">
        <v>34</v>
      </c>
      <c r="D1616" t="s">
        <v>35</v>
      </c>
      <c r="E1616" t="s">
        <v>1200</v>
      </c>
      <c r="F1616" t="s">
        <v>1201</v>
      </c>
      <c r="G1616" t="s">
        <v>53</v>
      </c>
      <c r="H1616" t="s">
        <v>54</v>
      </c>
      <c r="I1616" t="s">
        <v>55</v>
      </c>
      <c r="J1616" t="s">
        <v>56</v>
      </c>
      <c r="K1616">
        <v>2025</v>
      </c>
      <c r="L1616">
        <v>2025</v>
      </c>
      <c r="M1616">
        <v>9.99</v>
      </c>
      <c r="N1616">
        <v>41.3</v>
      </c>
      <c r="O1616">
        <v>300.60000000000002</v>
      </c>
      <c r="P1616">
        <v>4.0999999999999996</v>
      </c>
      <c r="Q1616">
        <v>0.67700000000000005</v>
      </c>
      <c r="R1616" t="s">
        <v>57</v>
      </c>
      <c r="S1616" t="s">
        <v>8843</v>
      </c>
      <c r="T1616" t="b">
        <v>1</v>
      </c>
      <c r="U1616" t="s">
        <v>8844</v>
      </c>
      <c r="V1616" t="s">
        <v>1204</v>
      </c>
      <c r="W1616" t="s">
        <v>8845</v>
      </c>
      <c r="X1616" t="s">
        <v>47</v>
      </c>
      <c r="AA1616" t="s">
        <v>741</v>
      </c>
      <c r="AC1616" t="s">
        <v>742</v>
      </c>
      <c r="AD1616" t="b">
        <v>0</v>
      </c>
      <c r="AF1616">
        <v>6</v>
      </c>
      <c r="AG1616" t="s">
        <v>64</v>
      </c>
    </row>
    <row r="1617" spans="1:33" x14ac:dyDescent="0.2">
      <c r="A1617">
        <v>1812</v>
      </c>
      <c r="B1617" t="s">
        <v>8846</v>
      </c>
      <c r="C1617" t="s">
        <v>34</v>
      </c>
      <c r="D1617" t="s">
        <v>35</v>
      </c>
      <c r="E1617" t="s">
        <v>168</v>
      </c>
      <c r="F1617" t="s">
        <v>169</v>
      </c>
      <c r="G1617" t="s">
        <v>53</v>
      </c>
      <c r="H1617" t="s">
        <v>54</v>
      </c>
      <c r="I1617" t="s">
        <v>55</v>
      </c>
      <c r="J1617" t="s">
        <v>56</v>
      </c>
      <c r="K1617">
        <v>2016</v>
      </c>
      <c r="L1617">
        <v>2016</v>
      </c>
      <c r="M1617">
        <v>5.7</v>
      </c>
      <c r="N1617">
        <v>10.593999999999999</v>
      </c>
      <c r="O1617">
        <v>386.7</v>
      </c>
      <c r="P1617">
        <v>1.8</v>
      </c>
      <c r="Q1617">
        <v>0.88</v>
      </c>
      <c r="R1617" t="s">
        <v>57</v>
      </c>
      <c r="S1617" t="s">
        <v>2041</v>
      </c>
      <c r="T1617" t="b">
        <v>1</v>
      </c>
      <c r="U1617" t="s">
        <v>5599</v>
      </c>
      <c r="V1617" t="s">
        <v>174</v>
      </c>
      <c r="W1617" t="s">
        <v>8847</v>
      </c>
      <c r="X1617" t="s">
        <v>47</v>
      </c>
      <c r="AA1617" t="s">
        <v>741</v>
      </c>
      <c r="AC1617" t="s">
        <v>742</v>
      </c>
      <c r="AD1617" t="b">
        <v>0</v>
      </c>
      <c r="AF1617">
        <v>6</v>
      </c>
      <c r="AG1617" t="s">
        <v>64</v>
      </c>
    </row>
    <row r="1618" spans="1:33" x14ac:dyDescent="0.2">
      <c r="A1618">
        <v>463</v>
      </c>
      <c r="B1618" t="s">
        <v>8848</v>
      </c>
      <c r="C1618" t="s">
        <v>574</v>
      </c>
      <c r="D1618" t="s">
        <v>575</v>
      </c>
      <c r="E1618" t="s">
        <v>36</v>
      </c>
      <c r="F1618" t="s">
        <v>37</v>
      </c>
      <c r="G1618" t="s">
        <v>134</v>
      </c>
      <c r="H1618" t="s">
        <v>135</v>
      </c>
      <c r="I1618" t="s">
        <v>2074</v>
      </c>
      <c r="J1618" t="s">
        <v>225</v>
      </c>
      <c r="K1618">
        <v>1969</v>
      </c>
      <c r="L1618">
        <v>1969</v>
      </c>
      <c r="M1618">
        <v>-1.2</v>
      </c>
      <c r="N1618">
        <v>-3.6339999999999999</v>
      </c>
      <c r="O1618">
        <v>0</v>
      </c>
      <c r="P1618">
        <v>2.59</v>
      </c>
      <c r="Q1618">
        <v>-0.128</v>
      </c>
      <c r="R1618" t="s">
        <v>42</v>
      </c>
      <c r="S1618" t="s">
        <v>8849</v>
      </c>
      <c r="T1618" t="b">
        <v>1</v>
      </c>
      <c r="U1618" t="s">
        <v>4472</v>
      </c>
      <c r="V1618" t="s">
        <v>45</v>
      </c>
      <c r="W1618" t="s">
        <v>8850</v>
      </c>
      <c r="X1618" t="s">
        <v>47</v>
      </c>
      <c r="AA1618" t="s">
        <v>2652</v>
      </c>
      <c r="AB1618" t="s">
        <v>308</v>
      </c>
      <c r="AC1618" t="s">
        <v>4571</v>
      </c>
      <c r="AD1618" t="b">
        <v>0</v>
      </c>
      <c r="AF1618">
        <v>10</v>
      </c>
      <c r="AG1618" t="s">
        <v>143</v>
      </c>
    </row>
    <row r="1619" spans="1:33" x14ac:dyDescent="0.2">
      <c r="A1619">
        <v>1799</v>
      </c>
      <c r="B1619" t="s">
        <v>8851</v>
      </c>
      <c r="C1619" t="s">
        <v>34</v>
      </c>
      <c r="D1619" t="s">
        <v>35</v>
      </c>
      <c r="E1619" t="s">
        <v>8852</v>
      </c>
      <c r="F1619" t="s">
        <v>8853</v>
      </c>
      <c r="G1619" t="s">
        <v>242</v>
      </c>
      <c r="H1619" t="s">
        <v>243</v>
      </c>
      <c r="I1619" t="s">
        <v>1003</v>
      </c>
      <c r="J1619" t="s">
        <v>192</v>
      </c>
      <c r="K1619">
        <v>2015</v>
      </c>
      <c r="L1619">
        <v>2015</v>
      </c>
      <c r="M1619">
        <v>0.93</v>
      </c>
      <c r="N1619">
        <v>2.601</v>
      </c>
      <c r="O1619">
        <v>239</v>
      </c>
      <c r="P1619">
        <v>0.52</v>
      </c>
      <c r="Q1619">
        <v>0.497</v>
      </c>
      <c r="R1619" t="s">
        <v>72</v>
      </c>
      <c r="S1619" t="s">
        <v>8854</v>
      </c>
      <c r="T1619" t="b">
        <v>1</v>
      </c>
      <c r="U1619" t="s">
        <v>8855</v>
      </c>
      <c r="V1619" t="s">
        <v>8856</v>
      </c>
      <c r="W1619" t="s">
        <v>8857</v>
      </c>
      <c r="X1619" t="s">
        <v>47</v>
      </c>
      <c r="AA1619" t="s">
        <v>884</v>
      </c>
      <c r="AC1619" t="s">
        <v>885</v>
      </c>
      <c r="AD1619" t="b">
        <v>0</v>
      </c>
      <c r="AF1619">
        <v>9</v>
      </c>
      <c r="AG1619" t="s">
        <v>251</v>
      </c>
    </row>
    <row r="1620" spans="1:33" x14ac:dyDescent="0.2">
      <c r="A1620">
        <v>1855</v>
      </c>
      <c r="B1620" t="s">
        <v>8851</v>
      </c>
      <c r="C1620" t="s">
        <v>34</v>
      </c>
      <c r="D1620" t="s">
        <v>35</v>
      </c>
      <c r="E1620" t="s">
        <v>132</v>
      </c>
      <c r="F1620" t="s">
        <v>133</v>
      </c>
      <c r="G1620" t="s">
        <v>134</v>
      </c>
      <c r="H1620" t="s">
        <v>135</v>
      </c>
      <c r="I1620" t="s">
        <v>764</v>
      </c>
      <c r="J1620" t="s">
        <v>765</v>
      </c>
      <c r="K1620">
        <v>2018</v>
      </c>
      <c r="L1620">
        <v>2018</v>
      </c>
      <c r="M1620">
        <v>4.7</v>
      </c>
      <c r="N1620">
        <v>16.337</v>
      </c>
      <c r="O1620">
        <v>105</v>
      </c>
      <c r="P1620">
        <v>5.88</v>
      </c>
      <c r="Q1620">
        <v>0.222</v>
      </c>
      <c r="R1620" t="s">
        <v>42</v>
      </c>
      <c r="S1620" t="s">
        <v>8858</v>
      </c>
      <c r="T1620" t="b">
        <v>1</v>
      </c>
      <c r="U1620" t="s">
        <v>2027</v>
      </c>
      <c r="V1620" t="s">
        <v>139</v>
      </c>
      <c r="W1620" t="s">
        <v>8859</v>
      </c>
      <c r="X1620" t="s">
        <v>47</v>
      </c>
      <c r="AA1620" t="s">
        <v>479</v>
      </c>
      <c r="AB1620" t="s">
        <v>401</v>
      </c>
      <c r="AC1620" t="s">
        <v>7907</v>
      </c>
      <c r="AD1620" t="b">
        <v>0</v>
      </c>
      <c r="AF1620">
        <v>10</v>
      </c>
      <c r="AG1620" t="s">
        <v>143</v>
      </c>
    </row>
    <row r="1621" spans="1:33" x14ac:dyDescent="0.2">
      <c r="A1621">
        <v>1725</v>
      </c>
      <c r="B1621" t="s">
        <v>8860</v>
      </c>
      <c r="C1621" t="s">
        <v>34</v>
      </c>
      <c r="D1621" t="s">
        <v>35</v>
      </c>
      <c r="E1621" t="s">
        <v>168</v>
      </c>
      <c r="F1621" t="s">
        <v>169</v>
      </c>
      <c r="G1621" t="s">
        <v>134</v>
      </c>
      <c r="H1621" t="s">
        <v>135</v>
      </c>
      <c r="I1621" t="s">
        <v>641</v>
      </c>
      <c r="J1621" t="s">
        <v>109</v>
      </c>
      <c r="K1621">
        <v>2014</v>
      </c>
      <c r="L1621">
        <v>2014</v>
      </c>
      <c r="M1621">
        <v>2.9</v>
      </c>
      <c r="N1621">
        <v>8.5630000000000006</v>
      </c>
      <c r="O1621">
        <v>424</v>
      </c>
      <c r="P1621">
        <v>0.8</v>
      </c>
      <c r="Q1621">
        <v>1.0069999999999999</v>
      </c>
      <c r="R1621" t="s">
        <v>42</v>
      </c>
      <c r="S1621" t="s">
        <v>642</v>
      </c>
      <c r="T1621" t="b">
        <v>1</v>
      </c>
      <c r="U1621" t="s">
        <v>8861</v>
      </c>
      <c r="V1621" t="s">
        <v>174</v>
      </c>
      <c r="W1621" t="s">
        <v>8862</v>
      </c>
      <c r="X1621" t="s">
        <v>47</v>
      </c>
      <c r="AA1621" t="s">
        <v>645</v>
      </c>
      <c r="AB1621" t="s">
        <v>676</v>
      </c>
      <c r="AC1621" t="s">
        <v>3212</v>
      </c>
      <c r="AD1621" t="b">
        <v>0</v>
      </c>
      <c r="AF1621">
        <v>10</v>
      </c>
      <c r="AG1621" t="s">
        <v>143</v>
      </c>
    </row>
    <row r="1622" spans="1:33" x14ac:dyDescent="0.2">
      <c r="A1622">
        <v>1824</v>
      </c>
      <c r="B1622" t="s">
        <v>8863</v>
      </c>
      <c r="C1622" t="s">
        <v>34</v>
      </c>
      <c r="D1622" t="s">
        <v>35</v>
      </c>
      <c r="E1622" t="s">
        <v>8864</v>
      </c>
      <c r="F1622" t="s">
        <v>8865</v>
      </c>
      <c r="G1622" t="s">
        <v>213</v>
      </c>
      <c r="H1622" t="s">
        <v>83</v>
      </c>
      <c r="I1622" t="s">
        <v>1029</v>
      </c>
      <c r="J1622" t="s">
        <v>225</v>
      </c>
      <c r="K1622">
        <v>2016</v>
      </c>
      <c r="L1622">
        <v>2016</v>
      </c>
      <c r="M1622">
        <v>3.26</v>
      </c>
      <c r="N1622">
        <v>8.0920000000000005</v>
      </c>
      <c r="O1622">
        <v>335</v>
      </c>
      <c r="P1622">
        <v>1.1499999999999999</v>
      </c>
      <c r="Q1622">
        <v>0.78700000000000003</v>
      </c>
      <c r="R1622" t="s">
        <v>84</v>
      </c>
      <c r="S1622" t="s">
        <v>8866</v>
      </c>
      <c r="T1622" t="b">
        <v>1</v>
      </c>
      <c r="U1622" t="s">
        <v>8340</v>
      </c>
      <c r="V1622" t="s">
        <v>8867</v>
      </c>
      <c r="W1622" t="s">
        <v>8868</v>
      </c>
      <c r="X1622" t="s">
        <v>47</v>
      </c>
      <c r="AA1622" t="s">
        <v>1034</v>
      </c>
      <c r="AB1622" t="s">
        <v>227</v>
      </c>
      <c r="AC1622" t="s">
        <v>8683</v>
      </c>
      <c r="AD1622" t="b">
        <v>0</v>
      </c>
      <c r="AF1622">
        <v>4</v>
      </c>
      <c r="AG1622" t="s">
        <v>321</v>
      </c>
    </row>
    <row r="1623" spans="1:33" x14ac:dyDescent="0.2">
      <c r="A1623">
        <v>1843</v>
      </c>
      <c r="B1623" t="s">
        <v>8869</v>
      </c>
      <c r="C1623" t="s">
        <v>34</v>
      </c>
      <c r="D1623" t="s">
        <v>35</v>
      </c>
      <c r="E1623" t="s">
        <v>168</v>
      </c>
      <c r="F1623" t="s">
        <v>169</v>
      </c>
      <c r="G1623" t="s">
        <v>224</v>
      </c>
      <c r="H1623" t="s">
        <v>225</v>
      </c>
      <c r="I1623" t="s">
        <v>2137</v>
      </c>
      <c r="J1623" t="s">
        <v>676</v>
      </c>
      <c r="K1623">
        <v>2016</v>
      </c>
      <c r="L1623">
        <v>2016</v>
      </c>
      <c r="M1623">
        <v>3</v>
      </c>
      <c r="N1623">
        <v>5.117</v>
      </c>
      <c r="O1623">
        <v>307</v>
      </c>
      <c r="P1623">
        <v>1.2</v>
      </c>
      <c r="Q1623">
        <v>0.69399999999999995</v>
      </c>
      <c r="R1623" t="s">
        <v>57</v>
      </c>
      <c r="S1623" t="s">
        <v>8870</v>
      </c>
      <c r="T1623" t="b">
        <v>1</v>
      </c>
      <c r="U1623" t="s">
        <v>3840</v>
      </c>
      <c r="V1623" t="s">
        <v>174</v>
      </c>
      <c r="W1623" t="s">
        <v>8871</v>
      </c>
      <c r="X1623" t="s">
        <v>47</v>
      </c>
      <c r="AA1623" t="s">
        <v>102</v>
      </c>
      <c r="AC1623" t="s">
        <v>103</v>
      </c>
      <c r="AD1623" t="b">
        <v>0</v>
      </c>
      <c r="AF1623">
        <v>2</v>
      </c>
      <c r="AG1623" t="s">
        <v>287</v>
      </c>
    </row>
    <row r="1624" spans="1:33" x14ac:dyDescent="0.2">
      <c r="A1624">
        <v>919</v>
      </c>
      <c r="B1624" t="s">
        <v>8872</v>
      </c>
      <c r="C1624" t="s">
        <v>34</v>
      </c>
      <c r="D1624" t="s">
        <v>35</v>
      </c>
      <c r="E1624" t="s">
        <v>8873</v>
      </c>
      <c r="F1624" t="s">
        <v>8874</v>
      </c>
      <c r="G1624" t="s">
        <v>68</v>
      </c>
      <c r="H1624" t="s">
        <v>69</v>
      </c>
      <c r="I1624" t="s">
        <v>445</v>
      </c>
      <c r="J1624" t="s">
        <v>203</v>
      </c>
      <c r="K1624">
        <v>2004</v>
      </c>
      <c r="L1624">
        <v>2004</v>
      </c>
      <c r="M1624">
        <v>0.95599999999999996</v>
      </c>
      <c r="N1624">
        <v>3.9260000000000002</v>
      </c>
      <c r="O1624">
        <v>140</v>
      </c>
      <c r="R1624" t="s">
        <v>72</v>
      </c>
      <c r="S1624" t="s">
        <v>8875</v>
      </c>
      <c r="T1624" t="b">
        <v>1</v>
      </c>
      <c r="U1624" t="s">
        <v>637</v>
      </c>
      <c r="V1624" t="s">
        <v>8876</v>
      </c>
      <c r="W1624" t="s">
        <v>8877</v>
      </c>
      <c r="X1624" t="s">
        <v>47</v>
      </c>
      <c r="AA1624" t="s">
        <v>8878</v>
      </c>
      <c r="AB1624" t="s">
        <v>49</v>
      </c>
      <c r="AC1624" t="s">
        <v>8879</v>
      </c>
      <c r="AD1624" t="b">
        <v>0</v>
      </c>
      <c r="AF1624">
        <v>8</v>
      </c>
      <c r="AG1624" t="s">
        <v>78</v>
      </c>
    </row>
    <row r="1625" spans="1:33" x14ac:dyDescent="0.2">
      <c r="A1625">
        <v>465</v>
      </c>
      <c r="B1625" t="s">
        <v>8880</v>
      </c>
      <c r="C1625" t="s">
        <v>34</v>
      </c>
      <c r="D1625" t="s">
        <v>35</v>
      </c>
      <c r="E1625" t="s">
        <v>36</v>
      </c>
      <c r="F1625" t="s">
        <v>37</v>
      </c>
      <c r="G1625" t="s">
        <v>242</v>
      </c>
      <c r="H1625" t="s">
        <v>243</v>
      </c>
      <c r="I1625" t="s">
        <v>2348</v>
      </c>
      <c r="J1625" t="s">
        <v>225</v>
      </c>
      <c r="K1625">
        <v>1964</v>
      </c>
      <c r="L1625">
        <v>1964</v>
      </c>
      <c r="M1625">
        <v>32</v>
      </c>
      <c r="N1625">
        <v>159.857</v>
      </c>
      <c r="O1625">
        <v>200</v>
      </c>
      <c r="P1625">
        <v>20.02</v>
      </c>
      <c r="Q1625">
        <v>0.44400000000000001</v>
      </c>
      <c r="R1625" t="s">
        <v>72</v>
      </c>
      <c r="S1625" t="s">
        <v>6048</v>
      </c>
      <c r="T1625" t="b">
        <v>1</v>
      </c>
      <c r="U1625" t="s">
        <v>5899</v>
      </c>
      <c r="V1625" t="s">
        <v>45</v>
      </c>
      <c r="W1625" t="s">
        <v>8881</v>
      </c>
      <c r="X1625" t="s">
        <v>47</v>
      </c>
      <c r="AA1625" t="s">
        <v>982</v>
      </c>
      <c r="AB1625" t="s">
        <v>1697</v>
      </c>
      <c r="AC1625" t="s">
        <v>983</v>
      </c>
      <c r="AD1625" t="b">
        <v>0</v>
      </c>
      <c r="AF1625">
        <v>9</v>
      </c>
      <c r="AG1625" t="s">
        <v>251</v>
      </c>
    </row>
    <row r="1626" spans="1:33" x14ac:dyDescent="0.2">
      <c r="A1626">
        <v>815</v>
      </c>
      <c r="B1626" t="s">
        <v>8882</v>
      </c>
      <c r="C1626" t="s">
        <v>34</v>
      </c>
      <c r="D1626" t="s">
        <v>35</v>
      </c>
      <c r="E1626" t="s">
        <v>2170</v>
      </c>
      <c r="F1626" t="s">
        <v>2171</v>
      </c>
      <c r="G1626" t="s">
        <v>53</v>
      </c>
      <c r="H1626" t="s">
        <v>54</v>
      </c>
      <c r="I1626" t="s">
        <v>2383</v>
      </c>
      <c r="J1626" t="s">
        <v>1072</v>
      </c>
      <c r="K1626">
        <v>2004</v>
      </c>
      <c r="L1626">
        <v>2004</v>
      </c>
      <c r="M1626">
        <v>374</v>
      </c>
      <c r="N1626">
        <v>1462.3910000000001</v>
      </c>
      <c r="O1626">
        <v>1040</v>
      </c>
      <c r="P1626">
        <v>40</v>
      </c>
      <c r="Q1626">
        <v>2.597</v>
      </c>
      <c r="R1626" t="s">
        <v>57</v>
      </c>
      <c r="S1626" t="s">
        <v>8883</v>
      </c>
      <c r="T1626" t="b">
        <v>1</v>
      </c>
      <c r="U1626" t="s">
        <v>637</v>
      </c>
      <c r="V1626" t="s">
        <v>2174</v>
      </c>
      <c r="W1626" t="s">
        <v>8884</v>
      </c>
      <c r="X1626" t="s">
        <v>47</v>
      </c>
      <c r="AA1626" t="s">
        <v>2386</v>
      </c>
      <c r="AB1626" t="s">
        <v>49</v>
      </c>
      <c r="AC1626" t="s">
        <v>3849</v>
      </c>
      <c r="AD1626" t="b">
        <v>0</v>
      </c>
      <c r="AF1626">
        <v>7</v>
      </c>
      <c r="AG1626" t="s">
        <v>469</v>
      </c>
    </row>
    <row r="1627" spans="1:33" x14ac:dyDescent="0.2">
      <c r="A1627">
        <v>2065</v>
      </c>
      <c r="B1627" t="s">
        <v>8885</v>
      </c>
      <c r="C1627" t="s">
        <v>34</v>
      </c>
      <c r="D1627" t="s">
        <v>35</v>
      </c>
      <c r="E1627" t="s">
        <v>2421</v>
      </c>
      <c r="F1627" t="s">
        <v>2422</v>
      </c>
      <c r="G1627" t="s">
        <v>53</v>
      </c>
      <c r="H1627" t="s">
        <v>54</v>
      </c>
      <c r="I1627" t="s">
        <v>901</v>
      </c>
      <c r="J1627" t="s">
        <v>313</v>
      </c>
      <c r="K1627">
        <v>2022</v>
      </c>
      <c r="L1627">
        <v>2022</v>
      </c>
      <c r="M1627">
        <v>9.6</v>
      </c>
      <c r="N1627">
        <v>21.254999999999999</v>
      </c>
      <c r="O1627">
        <v>361</v>
      </c>
      <c r="P1627">
        <v>3.2</v>
      </c>
      <c r="Q1627">
        <v>0.83299999999999996</v>
      </c>
      <c r="R1627" t="s">
        <v>57</v>
      </c>
      <c r="S1627" t="s">
        <v>2423</v>
      </c>
      <c r="T1627" t="b">
        <v>1</v>
      </c>
      <c r="U1627" t="s">
        <v>8886</v>
      </c>
      <c r="V1627" t="s">
        <v>2425</v>
      </c>
      <c r="W1627" t="s">
        <v>8887</v>
      </c>
      <c r="X1627" t="s">
        <v>47</v>
      </c>
      <c r="AA1627" t="s">
        <v>906</v>
      </c>
      <c r="AC1627" t="s">
        <v>907</v>
      </c>
      <c r="AD1627" t="b">
        <v>0</v>
      </c>
      <c r="AF1627">
        <v>2</v>
      </c>
      <c r="AG1627" t="s">
        <v>287</v>
      </c>
    </row>
    <row r="1628" spans="1:33" x14ac:dyDescent="0.2">
      <c r="A1628">
        <v>1193</v>
      </c>
      <c r="B1628" t="s">
        <v>8888</v>
      </c>
      <c r="C1628" t="s">
        <v>34</v>
      </c>
      <c r="D1628" t="s">
        <v>35</v>
      </c>
      <c r="E1628" t="s">
        <v>8889</v>
      </c>
      <c r="F1628" t="s">
        <v>8890</v>
      </c>
      <c r="G1628" t="s">
        <v>242</v>
      </c>
      <c r="H1628" t="s">
        <v>243</v>
      </c>
      <c r="I1628" t="s">
        <v>1012</v>
      </c>
      <c r="J1628" t="s">
        <v>676</v>
      </c>
      <c r="K1628">
        <v>1913</v>
      </c>
      <c r="L1628">
        <v>1913</v>
      </c>
      <c r="M1628">
        <v>7.0000000000000007E-2</v>
      </c>
      <c r="N1628">
        <v>0.39500000000000002</v>
      </c>
      <c r="R1628" t="s">
        <v>72</v>
      </c>
      <c r="S1628" t="s">
        <v>8891</v>
      </c>
      <c r="T1628" t="b">
        <v>1</v>
      </c>
      <c r="U1628" t="s">
        <v>7746</v>
      </c>
      <c r="V1628" t="s">
        <v>8892</v>
      </c>
      <c r="W1628" t="s">
        <v>113</v>
      </c>
      <c r="X1628" t="s">
        <v>47</v>
      </c>
      <c r="AA1628" t="s">
        <v>1017</v>
      </c>
      <c r="AC1628" t="s">
        <v>1018</v>
      </c>
      <c r="AD1628" t="b">
        <v>0</v>
      </c>
      <c r="AF1628">
        <v>8</v>
      </c>
      <c r="AG1628" t="s">
        <v>78</v>
      </c>
    </row>
    <row r="1629" spans="1:33" x14ac:dyDescent="0.2">
      <c r="A1629">
        <v>467</v>
      </c>
      <c r="B1629" t="s">
        <v>8893</v>
      </c>
      <c r="C1629" t="s">
        <v>34</v>
      </c>
      <c r="D1629" t="s">
        <v>35</v>
      </c>
      <c r="E1629" t="s">
        <v>277</v>
      </c>
      <c r="F1629" t="s">
        <v>278</v>
      </c>
      <c r="G1629" t="s">
        <v>93</v>
      </c>
      <c r="H1629" t="s">
        <v>94</v>
      </c>
      <c r="I1629" t="s">
        <v>5754</v>
      </c>
      <c r="J1629" t="s">
        <v>83</v>
      </c>
      <c r="K1629">
        <v>1949</v>
      </c>
      <c r="L1629">
        <v>1949</v>
      </c>
      <c r="M1629">
        <v>3.3</v>
      </c>
      <c r="N1629">
        <v>19.890999999999998</v>
      </c>
      <c r="O1629">
        <v>176</v>
      </c>
      <c r="P1629">
        <v>2.4</v>
      </c>
      <c r="Q1629">
        <v>0.38100000000000001</v>
      </c>
      <c r="R1629" t="s">
        <v>97</v>
      </c>
      <c r="S1629" t="s">
        <v>8894</v>
      </c>
      <c r="T1629" t="b">
        <v>1</v>
      </c>
      <c r="U1629" t="s">
        <v>1869</v>
      </c>
      <c r="V1629" t="s">
        <v>389</v>
      </c>
      <c r="W1629" t="s">
        <v>8895</v>
      </c>
      <c r="X1629" t="s">
        <v>47</v>
      </c>
      <c r="AA1629" t="s">
        <v>340</v>
      </c>
      <c r="AB1629" t="s">
        <v>83</v>
      </c>
      <c r="AC1629" t="s">
        <v>1063</v>
      </c>
      <c r="AD1629" t="b">
        <v>0</v>
      </c>
      <c r="AF1629">
        <v>1</v>
      </c>
      <c r="AG1629" t="s">
        <v>104</v>
      </c>
    </row>
    <row r="1630" spans="1:33" x14ac:dyDescent="0.2">
      <c r="A1630">
        <v>468</v>
      </c>
      <c r="B1630" t="s">
        <v>8896</v>
      </c>
      <c r="C1630" t="s">
        <v>34</v>
      </c>
      <c r="D1630" t="s">
        <v>35</v>
      </c>
      <c r="E1630" t="s">
        <v>277</v>
      </c>
      <c r="F1630" t="s">
        <v>278</v>
      </c>
      <c r="G1630" t="s">
        <v>93</v>
      </c>
      <c r="H1630" t="s">
        <v>94</v>
      </c>
      <c r="I1630" t="s">
        <v>5754</v>
      </c>
      <c r="J1630" t="s">
        <v>83</v>
      </c>
      <c r="K1630">
        <v>1958</v>
      </c>
      <c r="L1630">
        <v>1958</v>
      </c>
      <c r="M1630">
        <v>2.2000000000000002</v>
      </c>
      <c r="N1630">
        <v>11.753</v>
      </c>
      <c r="O1630">
        <v>114</v>
      </c>
      <c r="P1630">
        <v>2.8</v>
      </c>
      <c r="Q1630">
        <v>0.23400000000000001</v>
      </c>
      <c r="R1630" t="s">
        <v>97</v>
      </c>
      <c r="S1630" t="s">
        <v>8897</v>
      </c>
      <c r="T1630" t="b">
        <v>1</v>
      </c>
      <c r="U1630" t="s">
        <v>566</v>
      </c>
      <c r="V1630" t="s">
        <v>389</v>
      </c>
      <c r="W1630" t="s">
        <v>8895</v>
      </c>
      <c r="X1630" t="s">
        <v>47</v>
      </c>
      <c r="AA1630" t="s">
        <v>340</v>
      </c>
      <c r="AB1630" t="s">
        <v>612</v>
      </c>
      <c r="AC1630" t="s">
        <v>1063</v>
      </c>
      <c r="AD1630" t="b">
        <v>0</v>
      </c>
      <c r="AF1630">
        <v>1</v>
      </c>
      <c r="AG1630" t="s">
        <v>104</v>
      </c>
    </row>
    <row r="1631" spans="1:33" x14ac:dyDescent="0.2">
      <c r="A1631">
        <v>1861</v>
      </c>
      <c r="B1631" t="s">
        <v>6536</v>
      </c>
      <c r="C1631" t="s">
        <v>34</v>
      </c>
      <c r="D1631" t="s">
        <v>35</v>
      </c>
      <c r="E1631" t="s">
        <v>1492</v>
      </c>
      <c r="F1631" t="s">
        <v>1493</v>
      </c>
      <c r="G1631" t="s">
        <v>213</v>
      </c>
      <c r="H1631" t="s">
        <v>83</v>
      </c>
      <c r="I1631" t="s">
        <v>635</v>
      </c>
      <c r="J1631" t="s">
        <v>94</v>
      </c>
      <c r="K1631">
        <v>2017</v>
      </c>
      <c r="L1631">
        <v>2017</v>
      </c>
      <c r="M1631">
        <v>5.55</v>
      </c>
      <c r="N1631">
        <v>13.772</v>
      </c>
      <c r="O1631">
        <v>347.85</v>
      </c>
      <c r="P1631">
        <v>1.93</v>
      </c>
      <c r="Q1631">
        <v>0.79900000000000004</v>
      </c>
      <c r="R1631" t="s">
        <v>84</v>
      </c>
      <c r="S1631" t="s">
        <v>8898</v>
      </c>
      <c r="T1631" t="b">
        <v>1</v>
      </c>
      <c r="U1631" t="s">
        <v>8899</v>
      </c>
      <c r="V1631" t="s">
        <v>1496</v>
      </c>
      <c r="W1631" t="s">
        <v>8900</v>
      </c>
      <c r="X1631" t="s">
        <v>47</v>
      </c>
      <c r="AA1631" t="s">
        <v>8901</v>
      </c>
      <c r="AB1631" t="s">
        <v>49</v>
      </c>
      <c r="AC1631" t="s">
        <v>8781</v>
      </c>
      <c r="AD1631" t="b">
        <v>0</v>
      </c>
      <c r="AF1631">
        <v>3</v>
      </c>
      <c r="AG1631" t="s">
        <v>332</v>
      </c>
    </row>
    <row r="1632" spans="1:33" x14ac:dyDescent="0.2">
      <c r="A1632">
        <v>976</v>
      </c>
      <c r="B1632" t="s">
        <v>8902</v>
      </c>
      <c r="C1632" t="s">
        <v>34</v>
      </c>
      <c r="D1632" t="s">
        <v>35</v>
      </c>
      <c r="E1632" t="s">
        <v>1200</v>
      </c>
      <c r="F1632" t="s">
        <v>1201</v>
      </c>
      <c r="G1632" t="s">
        <v>53</v>
      </c>
      <c r="H1632" t="s">
        <v>54</v>
      </c>
      <c r="I1632" t="s">
        <v>1723</v>
      </c>
      <c r="J1632" t="s">
        <v>1697</v>
      </c>
      <c r="K1632">
        <v>1941</v>
      </c>
      <c r="L1632">
        <v>1941</v>
      </c>
      <c r="M1632">
        <v>2.8</v>
      </c>
      <c r="N1632">
        <v>16.859000000000002</v>
      </c>
      <c r="O1632">
        <v>21</v>
      </c>
      <c r="P1632">
        <v>18</v>
      </c>
      <c r="Q1632">
        <v>4.2999999999999997E-2</v>
      </c>
      <c r="R1632" t="s">
        <v>57</v>
      </c>
      <c r="S1632" t="s">
        <v>2558</v>
      </c>
      <c r="T1632" t="b">
        <v>1</v>
      </c>
      <c r="U1632" t="s">
        <v>6630</v>
      </c>
      <c r="V1632" t="s">
        <v>1204</v>
      </c>
      <c r="W1632" t="s">
        <v>8903</v>
      </c>
      <c r="X1632" t="s">
        <v>47</v>
      </c>
      <c r="AA1632" t="s">
        <v>1727</v>
      </c>
      <c r="AB1632" t="s">
        <v>49</v>
      </c>
      <c r="AC1632" t="s">
        <v>1728</v>
      </c>
      <c r="AD1632" t="b">
        <v>0</v>
      </c>
      <c r="AF1632">
        <v>6</v>
      </c>
      <c r="AG1632" t="s">
        <v>64</v>
      </c>
    </row>
    <row r="1633" spans="1:33" x14ac:dyDescent="0.2">
      <c r="A1633">
        <v>1258</v>
      </c>
      <c r="B1633" t="s">
        <v>8904</v>
      </c>
      <c r="C1633" t="s">
        <v>574</v>
      </c>
      <c r="D1633" t="s">
        <v>575</v>
      </c>
      <c r="E1633" t="s">
        <v>36</v>
      </c>
      <c r="F1633" t="s">
        <v>37</v>
      </c>
      <c r="G1633" t="s">
        <v>53</v>
      </c>
      <c r="H1633" t="s">
        <v>54</v>
      </c>
      <c r="I1633" t="s">
        <v>325</v>
      </c>
      <c r="J1633" t="s">
        <v>135</v>
      </c>
      <c r="K1633">
        <v>2001</v>
      </c>
      <c r="L1633">
        <v>2001</v>
      </c>
      <c r="M1633">
        <v>-0.5</v>
      </c>
      <c r="N1633">
        <v>-0.26100000000000001</v>
      </c>
      <c r="O1633">
        <v>40</v>
      </c>
      <c r="P1633">
        <v>1</v>
      </c>
      <c r="R1633" t="s">
        <v>84</v>
      </c>
      <c r="S1633" t="s">
        <v>8905</v>
      </c>
      <c r="T1633" t="b">
        <v>1</v>
      </c>
      <c r="U1633" t="s">
        <v>1103</v>
      </c>
      <c r="V1633" t="s">
        <v>8906</v>
      </c>
      <c r="W1633" t="s">
        <v>113</v>
      </c>
      <c r="X1633" t="s">
        <v>47</v>
      </c>
      <c r="AA1633" t="s">
        <v>4161</v>
      </c>
      <c r="AB1633" t="s">
        <v>765</v>
      </c>
      <c r="AC1633" t="s">
        <v>4162</v>
      </c>
      <c r="AD1633" t="b">
        <v>0</v>
      </c>
      <c r="AF1633">
        <v>3</v>
      </c>
      <c r="AG1633" t="s">
        <v>332</v>
      </c>
    </row>
    <row r="1634" spans="1:33" x14ac:dyDescent="0.2">
      <c r="A1634">
        <v>789</v>
      </c>
      <c r="B1634" t="s">
        <v>8907</v>
      </c>
      <c r="C1634" t="s">
        <v>34</v>
      </c>
      <c r="D1634" t="s">
        <v>35</v>
      </c>
      <c r="E1634" t="s">
        <v>8908</v>
      </c>
      <c r="F1634" t="s">
        <v>8909</v>
      </c>
      <c r="G1634" t="s">
        <v>213</v>
      </c>
      <c r="H1634" t="s">
        <v>83</v>
      </c>
      <c r="I1634" t="s">
        <v>635</v>
      </c>
      <c r="J1634" t="s">
        <v>94</v>
      </c>
      <c r="K1634">
        <v>2002</v>
      </c>
      <c r="L1634">
        <v>2002</v>
      </c>
      <c r="M1634">
        <v>4.8</v>
      </c>
      <c r="N1634">
        <v>18.096</v>
      </c>
      <c r="O1634">
        <v>225</v>
      </c>
      <c r="P1634">
        <v>2.5</v>
      </c>
      <c r="Q1634">
        <v>0.52200000000000002</v>
      </c>
      <c r="R1634" t="s">
        <v>84</v>
      </c>
      <c r="S1634" t="s">
        <v>8910</v>
      </c>
      <c r="T1634" t="b">
        <v>1</v>
      </c>
      <c r="U1634" t="s">
        <v>247</v>
      </c>
      <c r="V1634" t="s">
        <v>8911</v>
      </c>
      <c r="W1634" t="s">
        <v>8912</v>
      </c>
      <c r="X1634" t="s">
        <v>47</v>
      </c>
      <c r="AA1634" t="s">
        <v>4416</v>
      </c>
      <c r="AB1634" t="s">
        <v>49</v>
      </c>
      <c r="AC1634" t="s">
        <v>4417</v>
      </c>
      <c r="AD1634" t="b">
        <v>0</v>
      </c>
      <c r="AF1634">
        <v>3</v>
      </c>
      <c r="AG1634" t="s">
        <v>332</v>
      </c>
    </row>
    <row r="1635" spans="1:33" x14ac:dyDescent="0.2">
      <c r="A1635">
        <v>470</v>
      </c>
      <c r="B1635" t="s">
        <v>8913</v>
      </c>
      <c r="C1635" t="s">
        <v>34</v>
      </c>
      <c r="D1635" t="s">
        <v>35</v>
      </c>
      <c r="E1635" t="s">
        <v>36</v>
      </c>
      <c r="F1635" t="s">
        <v>37</v>
      </c>
      <c r="G1635" t="s">
        <v>53</v>
      </c>
      <c r="H1635" t="s">
        <v>54</v>
      </c>
      <c r="I1635" t="s">
        <v>325</v>
      </c>
      <c r="J1635" t="s">
        <v>135</v>
      </c>
      <c r="K1635">
        <v>1967</v>
      </c>
      <c r="L1635">
        <v>1967</v>
      </c>
      <c r="M1635">
        <v>224</v>
      </c>
      <c r="N1635">
        <v>1117.5909999999999</v>
      </c>
      <c r="O1635">
        <v>725</v>
      </c>
      <c r="P1635">
        <v>37</v>
      </c>
      <c r="Q1635">
        <v>1.6819999999999999</v>
      </c>
      <c r="R1635" t="s">
        <v>84</v>
      </c>
      <c r="S1635" t="s">
        <v>8914</v>
      </c>
      <c r="T1635" t="b">
        <v>1</v>
      </c>
      <c r="U1635" t="s">
        <v>8915</v>
      </c>
      <c r="V1635" t="s">
        <v>8906</v>
      </c>
      <c r="W1635" t="s">
        <v>8916</v>
      </c>
      <c r="X1635" t="s">
        <v>47</v>
      </c>
      <c r="AA1635" t="s">
        <v>4161</v>
      </c>
      <c r="AB1635" t="s">
        <v>192</v>
      </c>
      <c r="AC1635" t="s">
        <v>4162</v>
      </c>
      <c r="AD1635" t="b">
        <v>0</v>
      </c>
      <c r="AF1635">
        <v>3</v>
      </c>
      <c r="AG1635" t="s">
        <v>332</v>
      </c>
    </row>
    <row r="1636" spans="1:33" x14ac:dyDescent="0.2">
      <c r="A1636">
        <v>1718</v>
      </c>
      <c r="B1636" t="s">
        <v>8917</v>
      </c>
      <c r="C1636" t="s">
        <v>34</v>
      </c>
      <c r="D1636" t="s">
        <v>35</v>
      </c>
      <c r="E1636" t="s">
        <v>168</v>
      </c>
      <c r="F1636" t="s">
        <v>169</v>
      </c>
      <c r="G1636" t="s">
        <v>377</v>
      </c>
      <c r="H1636" t="s">
        <v>378</v>
      </c>
      <c r="I1636" t="s">
        <v>2746</v>
      </c>
      <c r="J1636" t="s">
        <v>485</v>
      </c>
      <c r="K1636">
        <v>2014</v>
      </c>
      <c r="L1636">
        <v>2014</v>
      </c>
      <c r="M1636">
        <v>1.46</v>
      </c>
      <c r="N1636">
        <v>2.6309999999999998</v>
      </c>
      <c r="O1636">
        <v>107</v>
      </c>
      <c r="P1636">
        <v>1.64</v>
      </c>
      <c r="Q1636">
        <v>0.247</v>
      </c>
      <c r="R1636" t="s">
        <v>42</v>
      </c>
      <c r="S1636" t="s">
        <v>8918</v>
      </c>
      <c r="T1636" t="b">
        <v>1</v>
      </c>
      <c r="U1636" t="s">
        <v>8919</v>
      </c>
      <c r="V1636" t="s">
        <v>174</v>
      </c>
      <c r="W1636" t="s">
        <v>8920</v>
      </c>
      <c r="X1636" t="s">
        <v>47</v>
      </c>
      <c r="AA1636" t="s">
        <v>114</v>
      </c>
      <c r="AC1636" t="s">
        <v>63</v>
      </c>
      <c r="AD1636" t="b">
        <v>0</v>
      </c>
      <c r="AF1636">
        <v>11</v>
      </c>
      <c r="AG1636" t="s">
        <v>198</v>
      </c>
    </row>
    <row r="1637" spans="1:33" x14ac:dyDescent="0.2">
      <c r="A1637">
        <v>1203</v>
      </c>
      <c r="B1637" t="s">
        <v>8921</v>
      </c>
      <c r="C1637" t="s">
        <v>34</v>
      </c>
      <c r="D1637" t="s">
        <v>35</v>
      </c>
      <c r="E1637" t="s">
        <v>168</v>
      </c>
      <c r="F1637" t="s">
        <v>169</v>
      </c>
      <c r="G1637" t="s">
        <v>242</v>
      </c>
      <c r="H1637" t="s">
        <v>243</v>
      </c>
      <c r="I1637" t="s">
        <v>799</v>
      </c>
      <c r="J1637" t="s">
        <v>96</v>
      </c>
      <c r="K1637">
        <v>2002</v>
      </c>
      <c r="L1637">
        <v>2002</v>
      </c>
      <c r="M1637">
        <v>0.99</v>
      </c>
      <c r="N1637">
        <v>0.94599999999999995</v>
      </c>
      <c r="R1637" t="s">
        <v>72</v>
      </c>
      <c r="S1637" t="s">
        <v>8922</v>
      </c>
      <c r="T1637" t="b">
        <v>1</v>
      </c>
      <c r="U1637" t="s">
        <v>8923</v>
      </c>
      <c r="V1637" t="s">
        <v>174</v>
      </c>
      <c r="W1637" t="s">
        <v>8924</v>
      </c>
      <c r="X1637" t="s">
        <v>47</v>
      </c>
      <c r="AA1637" t="s">
        <v>8925</v>
      </c>
      <c r="AB1637" t="s">
        <v>49</v>
      </c>
      <c r="AC1637" t="s">
        <v>8926</v>
      </c>
      <c r="AD1637" t="b">
        <v>0</v>
      </c>
      <c r="AF1637">
        <v>9</v>
      </c>
      <c r="AG1637" t="s">
        <v>251</v>
      </c>
    </row>
    <row r="1638" spans="1:33" x14ac:dyDescent="0.2">
      <c r="A1638">
        <v>1106</v>
      </c>
      <c r="B1638" t="s">
        <v>8927</v>
      </c>
      <c r="C1638" t="s">
        <v>34</v>
      </c>
      <c r="D1638" t="s">
        <v>35</v>
      </c>
      <c r="E1638" t="s">
        <v>8928</v>
      </c>
      <c r="F1638" t="s">
        <v>8929</v>
      </c>
      <c r="G1638" t="s">
        <v>134</v>
      </c>
      <c r="H1638" t="s">
        <v>135</v>
      </c>
      <c r="I1638" t="s">
        <v>2074</v>
      </c>
      <c r="J1638" t="s">
        <v>225</v>
      </c>
      <c r="K1638">
        <v>2010</v>
      </c>
      <c r="L1638">
        <v>2010</v>
      </c>
      <c r="M1638">
        <v>0.7</v>
      </c>
      <c r="N1638">
        <v>1.407</v>
      </c>
      <c r="O1638">
        <v>265</v>
      </c>
      <c r="P1638">
        <v>0.3</v>
      </c>
      <c r="Q1638">
        <v>0.64800000000000002</v>
      </c>
      <c r="R1638" t="s">
        <v>42</v>
      </c>
      <c r="S1638" t="s">
        <v>4859</v>
      </c>
      <c r="T1638" t="b">
        <v>1</v>
      </c>
      <c r="U1638" t="s">
        <v>6598</v>
      </c>
      <c r="V1638" t="s">
        <v>8930</v>
      </c>
      <c r="W1638" t="s">
        <v>8931</v>
      </c>
      <c r="X1638" t="s">
        <v>47</v>
      </c>
      <c r="AA1638" t="s">
        <v>2652</v>
      </c>
      <c r="AC1638" t="s">
        <v>2653</v>
      </c>
      <c r="AD1638" t="b">
        <v>0</v>
      </c>
      <c r="AF1638">
        <v>10</v>
      </c>
      <c r="AG1638" t="s">
        <v>143</v>
      </c>
    </row>
    <row r="1639" spans="1:33" x14ac:dyDescent="0.2">
      <c r="A1639">
        <v>2036</v>
      </c>
      <c r="B1639" t="s">
        <v>8932</v>
      </c>
      <c r="C1639" t="s">
        <v>34</v>
      </c>
      <c r="D1639" t="s">
        <v>35</v>
      </c>
      <c r="E1639" t="s">
        <v>8933</v>
      </c>
      <c r="F1639" t="s">
        <v>8934</v>
      </c>
      <c r="G1639" t="s">
        <v>53</v>
      </c>
      <c r="H1639" t="s">
        <v>54</v>
      </c>
      <c r="I1639" t="s">
        <v>532</v>
      </c>
      <c r="J1639" t="s">
        <v>533</v>
      </c>
      <c r="K1639">
        <v>2020</v>
      </c>
      <c r="L1639">
        <v>2020</v>
      </c>
      <c r="M1639">
        <v>0.08</v>
      </c>
      <c r="N1639">
        <v>0.317</v>
      </c>
      <c r="O1639">
        <v>130</v>
      </c>
      <c r="P1639">
        <v>0.1</v>
      </c>
      <c r="Q1639">
        <v>0.222</v>
      </c>
      <c r="R1639" t="s">
        <v>57</v>
      </c>
      <c r="S1639" t="s">
        <v>5577</v>
      </c>
      <c r="T1639" t="b">
        <v>1</v>
      </c>
      <c r="U1639" t="s">
        <v>6197</v>
      </c>
      <c r="V1639" t="s">
        <v>8935</v>
      </c>
      <c r="W1639" t="s">
        <v>8936</v>
      </c>
      <c r="X1639" t="s">
        <v>47</v>
      </c>
      <c r="AA1639" t="s">
        <v>5579</v>
      </c>
      <c r="AC1639" t="s">
        <v>63</v>
      </c>
      <c r="AD1639" t="b">
        <v>0</v>
      </c>
      <c r="AF1639">
        <v>7</v>
      </c>
      <c r="AG1639" t="s">
        <v>469</v>
      </c>
    </row>
    <row r="1640" spans="1:33" x14ac:dyDescent="0.2">
      <c r="A1640">
        <v>471</v>
      </c>
      <c r="B1640" t="s">
        <v>8937</v>
      </c>
      <c r="C1640" t="s">
        <v>34</v>
      </c>
      <c r="D1640" t="s">
        <v>35</v>
      </c>
      <c r="E1640" t="s">
        <v>168</v>
      </c>
      <c r="F1640" t="s">
        <v>169</v>
      </c>
      <c r="G1640" t="s">
        <v>53</v>
      </c>
      <c r="H1640" t="s">
        <v>54</v>
      </c>
      <c r="I1640" t="s">
        <v>3644</v>
      </c>
      <c r="J1640" t="s">
        <v>515</v>
      </c>
      <c r="K1640">
        <v>1981</v>
      </c>
      <c r="L1640">
        <v>1981</v>
      </c>
      <c r="M1640">
        <v>3.5</v>
      </c>
      <c r="N1640">
        <v>12.782999999999999</v>
      </c>
      <c r="O1640">
        <v>70.91</v>
      </c>
      <c r="P1640">
        <v>5.9</v>
      </c>
      <c r="Q1640">
        <v>0.16500000000000001</v>
      </c>
      <c r="R1640" t="s">
        <v>57</v>
      </c>
      <c r="S1640" t="s">
        <v>8938</v>
      </c>
      <c r="T1640" t="b">
        <v>1</v>
      </c>
      <c r="U1640" t="s">
        <v>8939</v>
      </c>
      <c r="V1640" t="s">
        <v>174</v>
      </c>
      <c r="W1640" t="s">
        <v>8940</v>
      </c>
      <c r="X1640" t="s">
        <v>47</v>
      </c>
      <c r="AA1640" t="s">
        <v>6536</v>
      </c>
      <c r="AB1640" t="s">
        <v>49</v>
      </c>
      <c r="AC1640" t="s">
        <v>6537</v>
      </c>
      <c r="AD1640" t="b">
        <v>0</v>
      </c>
      <c r="AF1640">
        <v>6</v>
      </c>
      <c r="AG1640" t="s">
        <v>64</v>
      </c>
    </row>
    <row r="1641" spans="1:33" x14ac:dyDescent="0.2">
      <c r="A1641">
        <v>1229</v>
      </c>
      <c r="B1641" t="s">
        <v>8941</v>
      </c>
      <c r="C1641" t="s">
        <v>34</v>
      </c>
      <c r="D1641" t="s">
        <v>35</v>
      </c>
      <c r="E1641" t="s">
        <v>8942</v>
      </c>
      <c r="F1641" t="s">
        <v>8943</v>
      </c>
      <c r="G1641" t="s">
        <v>224</v>
      </c>
      <c r="H1641" t="s">
        <v>225</v>
      </c>
      <c r="I1641" t="s">
        <v>3775</v>
      </c>
      <c r="J1641" t="s">
        <v>515</v>
      </c>
      <c r="K1641">
        <v>2005</v>
      </c>
      <c r="L1641">
        <v>2005</v>
      </c>
      <c r="M1641">
        <v>1.5</v>
      </c>
      <c r="N1641">
        <v>5.2130000000000001</v>
      </c>
      <c r="O1641">
        <v>163</v>
      </c>
      <c r="P1641">
        <v>1.2</v>
      </c>
      <c r="Q1641">
        <v>0.34699999999999998</v>
      </c>
      <c r="R1641" t="s">
        <v>57</v>
      </c>
      <c r="S1641" t="s">
        <v>8944</v>
      </c>
      <c r="T1641" t="b">
        <v>1</v>
      </c>
      <c r="U1641" t="s">
        <v>8945</v>
      </c>
      <c r="V1641" t="s">
        <v>8946</v>
      </c>
      <c r="W1641" t="s">
        <v>8947</v>
      </c>
      <c r="X1641" t="s">
        <v>47</v>
      </c>
      <c r="AA1641" t="s">
        <v>1548</v>
      </c>
      <c r="AB1641" t="s">
        <v>2436</v>
      </c>
      <c r="AC1641" t="s">
        <v>1549</v>
      </c>
      <c r="AD1641" t="b">
        <v>0</v>
      </c>
      <c r="AF1641">
        <v>2</v>
      </c>
      <c r="AG1641" t="s">
        <v>287</v>
      </c>
    </row>
    <row r="1642" spans="1:33" x14ac:dyDescent="0.2">
      <c r="A1642">
        <v>1530</v>
      </c>
      <c r="B1642" t="s">
        <v>8948</v>
      </c>
      <c r="C1642" t="s">
        <v>34</v>
      </c>
      <c r="D1642" t="s">
        <v>35</v>
      </c>
      <c r="E1642" t="s">
        <v>8949</v>
      </c>
      <c r="F1642" t="s">
        <v>8950</v>
      </c>
      <c r="G1642" t="s">
        <v>242</v>
      </c>
      <c r="H1642" t="s">
        <v>243</v>
      </c>
      <c r="I1642" t="s">
        <v>436</v>
      </c>
      <c r="J1642" t="s">
        <v>437</v>
      </c>
      <c r="K1642">
        <v>2006</v>
      </c>
      <c r="L1642">
        <v>2006</v>
      </c>
      <c r="M1642">
        <v>0.54</v>
      </c>
      <c r="N1642">
        <v>1.4319999999999999</v>
      </c>
      <c r="O1642">
        <v>108</v>
      </c>
      <c r="P1642">
        <v>0.68</v>
      </c>
      <c r="Q1642">
        <v>0.221</v>
      </c>
      <c r="R1642" t="s">
        <v>72</v>
      </c>
      <c r="S1642" t="s">
        <v>8951</v>
      </c>
      <c r="T1642" t="b">
        <v>1</v>
      </c>
      <c r="U1642" t="s">
        <v>8952</v>
      </c>
      <c r="V1642" t="s">
        <v>8953</v>
      </c>
      <c r="W1642" t="s">
        <v>8954</v>
      </c>
      <c r="X1642" t="s">
        <v>47</v>
      </c>
      <c r="AA1642" t="s">
        <v>441</v>
      </c>
      <c r="AC1642" t="s">
        <v>63</v>
      </c>
      <c r="AD1642" t="b">
        <v>0</v>
      </c>
      <c r="AF1642">
        <v>9</v>
      </c>
      <c r="AG1642" t="s">
        <v>251</v>
      </c>
    </row>
    <row r="1643" spans="1:33" x14ac:dyDescent="0.2">
      <c r="A1643">
        <v>848</v>
      </c>
      <c r="B1643" t="s">
        <v>8955</v>
      </c>
      <c r="C1643" t="s">
        <v>34</v>
      </c>
      <c r="D1643" t="s">
        <v>35</v>
      </c>
      <c r="E1643" t="s">
        <v>404</v>
      </c>
      <c r="F1643" t="s">
        <v>405</v>
      </c>
      <c r="G1643" t="s">
        <v>312</v>
      </c>
      <c r="H1643" t="s">
        <v>313</v>
      </c>
      <c r="I1643" t="s">
        <v>2125</v>
      </c>
      <c r="J1643" t="s">
        <v>973</v>
      </c>
      <c r="K1643">
        <v>2006</v>
      </c>
      <c r="L1643">
        <v>2006</v>
      </c>
      <c r="M1643">
        <v>9.4</v>
      </c>
      <c r="N1643">
        <v>40.811999999999998</v>
      </c>
      <c r="O1643">
        <v>179.5</v>
      </c>
      <c r="P1643">
        <v>6.15</v>
      </c>
      <c r="Q1643">
        <v>0.42499999999999999</v>
      </c>
      <c r="R1643" t="s">
        <v>84</v>
      </c>
      <c r="S1643" t="s">
        <v>8956</v>
      </c>
      <c r="T1643" t="b">
        <v>1</v>
      </c>
      <c r="U1643" t="s">
        <v>8957</v>
      </c>
      <c r="V1643" t="s">
        <v>408</v>
      </c>
      <c r="W1643" t="s">
        <v>8958</v>
      </c>
      <c r="X1643" t="s">
        <v>47</v>
      </c>
      <c r="AA1643" t="s">
        <v>319</v>
      </c>
      <c r="AB1643" t="s">
        <v>1198</v>
      </c>
      <c r="AC1643" t="s">
        <v>320</v>
      </c>
      <c r="AD1643" t="b">
        <v>0</v>
      </c>
      <c r="AF1643">
        <v>4</v>
      </c>
      <c r="AG1643" t="s">
        <v>321</v>
      </c>
    </row>
    <row r="1644" spans="1:33" x14ac:dyDescent="0.2">
      <c r="A1644">
        <v>472</v>
      </c>
      <c r="B1644" t="s">
        <v>8959</v>
      </c>
      <c r="C1644" t="s">
        <v>34</v>
      </c>
      <c r="D1644" t="s">
        <v>35</v>
      </c>
      <c r="E1644" t="s">
        <v>5279</v>
      </c>
      <c r="F1644" t="s">
        <v>5280</v>
      </c>
      <c r="G1644" t="s">
        <v>242</v>
      </c>
      <c r="H1644" t="s">
        <v>243</v>
      </c>
      <c r="I1644" t="s">
        <v>5281</v>
      </c>
      <c r="J1644" t="s">
        <v>215</v>
      </c>
      <c r="K1644">
        <v>1931</v>
      </c>
      <c r="L1644">
        <v>1931</v>
      </c>
      <c r="M1644">
        <v>2.1</v>
      </c>
      <c r="N1644">
        <v>12.573</v>
      </c>
      <c r="O1644">
        <v>29</v>
      </c>
      <c r="P1644">
        <v>9.3000000000000007</v>
      </c>
      <c r="Q1644">
        <v>6.2700000000000006E-2</v>
      </c>
      <c r="R1644" t="s">
        <v>72</v>
      </c>
      <c r="S1644" t="s">
        <v>5282</v>
      </c>
      <c r="T1644" t="b">
        <v>1</v>
      </c>
      <c r="U1644" t="s">
        <v>685</v>
      </c>
      <c r="V1644" t="s">
        <v>5283</v>
      </c>
      <c r="W1644" t="s">
        <v>113</v>
      </c>
      <c r="X1644" t="s">
        <v>47</v>
      </c>
      <c r="AA1644" t="s">
        <v>5284</v>
      </c>
      <c r="AB1644" t="s">
        <v>177</v>
      </c>
      <c r="AC1644" t="s">
        <v>5285</v>
      </c>
      <c r="AD1644" t="b">
        <v>0</v>
      </c>
      <c r="AF1644">
        <v>9</v>
      </c>
      <c r="AG1644" t="s">
        <v>251</v>
      </c>
    </row>
    <row r="1645" spans="1:33" x14ac:dyDescent="0.2">
      <c r="A1645">
        <v>473</v>
      </c>
      <c r="B1645" t="s">
        <v>8959</v>
      </c>
      <c r="C1645" t="s">
        <v>34</v>
      </c>
      <c r="D1645" t="s">
        <v>35</v>
      </c>
      <c r="E1645" t="s">
        <v>8960</v>
      </c>
      <c r="F1645" t="s">
        <v>8961</v>
      </c>
      <c r="G1645" t="s">
        <v>503</v>
      </c>
      <c r="H1645" t="s">
        <v>462</v>
      </c>
      <c r="I1645" t="s">
        <v>1846</v>
      </c>
      <c r="J1645" t="s">
        <v>135</v>
      </c>
      <c r="K1645">
        <v>1963</v>
      </c>
      <c r="L1645">
        <v>1963</v>
      </c>
      <c r="M1645">
        <v>6.4</v>
      </c>
      <c r="N1645">
        <v>45.539000000000001</v>
      </c>
      <c r="O1645">
        <v>10</v>
      </c>
      <c r="P1645">
        <v>74</v>
      </c>
      <c r="Q1645">
        <v>2.4E-2</v>
      </c>
      <c r="R1645" t="s">
        <v>84</v>
      </c>
      <c r="S1645" t="s">
        <v>8962</v>
      </c>
      <c r="T1645" t="b">
        <v>1</v>
      </c>
      <c r="U1645" t="s">
        <v>8963</v>
      </c>
      <c r="V1645" t="s">
        <v>8964</v>
      </c>
      <c r="W1645" t="s">
        <v>113</v>
      </c>
      <c r="X1645" t="s">
        <v>47</v>
      </c>
      <c r="AA1645" t="s">
        <v>583</v>
      </c>
      <c r="AB1645" t="s">
        <v>414</v>
      </c>
      <c r="AC1645" t="s">
        <v>585</v>
      </c>
      <c r="AD1645" t="b">
        <v>0</v>
      </c>
      <c r="AF1645">
        <v>3</v>
      </c>
      <c r="AG1645" t="s">
        <v>332</v>
      </c>
    </row>
    <row r="1646" spans="1:33" x14ac:dyDescent="0.2">
      <c r="A1646">
        <v>1823</v>
      </c>
      <c r="B1646" t="s">
        <v>8965</v>
      </c>
      <c r="C1646" t="s">
        <v>34</v>
      </c>
      <c r="D1646" t="s">
        <v>35</v>
      </c>
      <c r="E1646" t="s">
        <v>8864</v>
      </c>
      <c r="F1646" t="s">
        <v>8865</v>
      </c>
      <c r="G1646" t="s">
        <v>213</v>
      </c>
      <c r="H1646" t="s">
        <v>83</v>
      </c>
      <c r="I1646" t="s">
        <v>1029</v>
      </c>
      <c r="J1646" t="s">
        <v>225</v>
      </c>
      <c r="K1646">
        <v>2016</v>
      </c>
      <c r="L1646">
        <v>2016</v>
      </c>
      <c r="M1646">
        <v>5.42</v>
      </c>
      <c r="N1646">
        <v>16.588000000000001</v>
      </c>
      <c r="O1646">
        <v>214</v>
      </c>
      <c r="P1646">
        <v>2.95</v>
      </c>
      <c r="Q1646">
        <v>0.51</v>
      </c>
      <c r="R1646" t="s">
        <v>84</v>
      </c>
      <c r="S1646" t="s">
        <v>8866</v>
      </c>
      <c r="T1646" t="b">
        <v>1</v>
      </c>
      <c r="U1646" t="s">
        <v>8966</v>
      </c>
      <c r="V1646" t="s">
        <v>8867</v>
      </c>
      <c r="W1646" t="s">
        <v>8967</v>
      </c>
      <c r="X1646" t="s">
        <v>47</v>
      </c>
      <c r="AA1646" t="s">
        <v>1034</v>
      </c>
      <c r="AB1646" t="s">
        <v>192</v>
      </c>
      <c r="AC1646" t="s">
        <v>8683</v>
      </c>
      <c r="AD1646" t="b">
        <v>0</v>
      </c>
      <c r="AF1646">
        <v>4</v>
      </c>
      <c r="AG1646" t="s">
        <v>321</v>
      </c>
    </row>
    <row r="1647" spans="1:33" x14ac:dyDescent="0.2">
      <c r="A1647">
        <v>474</v>
      </c>
      <c r="B1647" t="s">
        <v>8968</v>
      </c>
      <c r="C1647" t="s">
        <v>34</v>
      </c>
      <c r="D1647" t="s">
        <v>35</v>
      </c>
      <c r="E1647" t="s">
        <v>1010</v>
      </c>
      <c r="F1647" t="s">
        <v>1011</v>
      </c>
      <c r="G1647" t="s">
        <v>93</v>
      </c>
      <c r="H1647" t="s">
        <v>94</v>
      </c>
      <c r="I1647" t="s">
        <v>5347</v>
      </c>
      <c r="J1647" t="s">
        <v>409</v>
      </c>
      <c r="K1647">
        <v>1985</v>
      </c>
      <c r="L1647">
        <v>1985</v>
      </c>
      <c r="M1647">
        <v>35</v>
      </c>
      <c r="N1647">
        <v>130.14099999999999</v>
      </c>
      <c r="O1647">
        <v>320</v>
      </c>
      <c r="P1647">
        <v>12</v>
      </c>
      <c r="Q1647">
        <v>0.81</v>
      </c>
      <c r="R1647" t="s">
        <v>72</v>
      </c>
      <c r="S1647" t="s">
        <v>8969</v>
      </c>
      <c r="T1647" t="b">
        <v>1</v>
      </c>
      <c r="U1647" t="s">
        <v>7859</v>
      </c>
      <c r="V1647" t="s">
        <v>1015</v>
      </c>
      <c r="W1647" t="s">
        <v>8970</v>
      </c>
      <c r="X1647" t="s">
        <v>47</v>
      </c>
      <c r="AA1647" t="s">
        <v>1017</v>
      </c>
      <c r="AB1647" t="s">
        <v>337</v>
      </c>
      <c r="AC1647" t="s">
        <v>1018</v>
      </c>
      <c r="AD1647" t="b">
        <v>0</v>
      </c>
      <c r="AF1647">
        <v>8</v>
      </c>
      <c r="AG1647" t="s">
        <v>78</v>
      </c>
    </row>
    <row r="1648" spans="1:33" x14ac:dyDescent="0.2">
      <c r="A1648">
        <v>475</v>
      </c>
      <c r="B1648" t="s">
        <v>8971</v>
      </c>
      <c r="C1648" t="s">
        <v>34</v>
      </c>
      <c r="D1648" t="s">
        <v>35</v>
      </c>
      <c r="E1648" t="s">
        <v>682</v>
      </c>
      <c r="F1648" t="s">
        <v>683</v>
      </c>
      <c r="G1648" t="s">
        <v>68</v>
      </c>
      <c r="H1648" t="s">
        <v>69</v>
      </c>
      <c r="I1648" t="s">
        <v>8972</v>
      </c>
      <c r="J1648" t="s">
        <v>1077</v>
      </c>
      <c r="K1648">
        <v>1917</v>
      </c>
      <c r="L1648">
        <v>2001</v>
      </c>
      <c r="M1648">
        <v>1.3</v>
      </c>
      <c r="N1648">
        <v>4.7320000000000002</v>
      </c>
      <c r="O1648">
        <v>195</v>
      </c>
      <c r="P1648">
        <v>0.8</v>
      </c>
      <c r="Q1648">
        <v>0.45100000000000001</v>
      </c>
      <c r="R1648" t="s">
        <v>72</v>
      </c>
      <c r="S1648" t="s">
        <v>8973</v>
      </c>
      <c r="T1648" t="b">
        <v>1</v>
      </c>
      <c r="U1648" t="s">
        <v>1103</v>
      </c>
      <c r="V1648" t="s">
        <v>686</v>
      </c>
      <c r="W1648" t="s">
        <v>8974</v>
      </c>
      <c r="X1648" t="s">
        <v>47</v>
      </c>
      <c r="AA1648" t="s">
        <v>8975</v>
      </c>
      <c r="AB1648" t="s">
        <v>49</v>
      </c>
      <c r="AC1648" t="s">
        <v>8976</v>
      </c>
      <c r="AD1648" t="b">
        <v>0</v>
      </c>
      <c r="AF1648">
        <v>8</v>
      </c>
      <c r="AG1648" t="s">
        <v>78</v>
      </c>
    </row>
    <row r="1649" spans="1:33" x14ac:dyDescent="0.2">
      <c r="A1649">
        <v>476</v>
      </c>
      <c r="B1649" t="s">
        <v>8977</v>
      </c>
      <c r="C1649" t="s">
        <v>34</v>
      </c>
      <c r="D1649" t="s">
        <v>35</v>
      </c>
      <c r="E1649" t="s">
        <v>1821</v>
      </c>
      <c r="F1649" t="s">
        <v>1822</v>
      </c>
      <c r="G1649" t="s">
        <v>53</v>
      </c>
      <c r="H1649" t="s">
        <v>54</v>
      </c>
      <c r="I1649" t="s">
        <v>2860</v>
      </c>
      <c r="J1649" t="s">
        <v>71</v>
      </c>
      <c r="K1649">
        <v>1921</v>
      </c>
      <c r="L1649">
        <v>1921</v>
      </c>
      <c r="M1649">
        <v>1.3998999999999999</v>
      </c>
      <c r="N1649">
        <v>5.2560000000000002</v>
      </c>
      <c r="O1649">
        <v>60</v>
      </c>
      <c r="P1649">
        <v>3.19</v>
      </c>
      <c r="Q1649">
        <v>0.122</v>
      </c>
      <c r="R1649" t="s">
        <v>57</v>
      </c>
      <c r="S1649" t="s">
        <v>8978</v>
      </c>
      <c r="T1649" t="b">
        <v>1</v>
      </c>
      <c r="U1649" t="s">
        <v>7339</v>
      </c>
      <c r="V1649" t="s">
        <v>1824</v>
      </c>
      <c r="W1649" t="s">
        <v>113</v>
      </c>
      <c r="X1649" t="s">
        <v>47</v>
      </c>
      <c r="AA1649" t="s">
        <v>4161</v>
      </c>
      <c r="AB1649" t="s">
        <v>49</v>
      </c>
      <c r="AC1649" t="s">
        <v>8979</v>
      </c>
      <c r="AD1649" t="b">
        <v>0</v>
      </c>
      <c r="AF1649">
        <v>2</v>
      </c>
      <c r="AG1649" t="s">
        <v>287</v>
      </c>
    </row>
    <row r="1650" spans="1:33" x14ac:dyDescent="0.2">
      <c r="A1650">
        <v>477</v>
      </c>
      <c r="B1650" t="s">
        <v>8980</v>
      </c>
      <c r="C1650" t="s">
        <v>34</v>
      </c>
      <c r="D1650" t="s">
        <v>35</v>
      </c>
      <c r="E1650" t="s">
        <v>1200</v>
      </c>
      <c r="F1650" t="s">
        <v>1201</v>
      </c>
      <c r="G1650" t="s">
        <v>53</v>
      </c>
      <c r="H1650" t="s">
        <v>54</v>
      </c>
      <c r="I1650" t="s">
        <v>2860</v>
      </c>
      <c r="J1650" t="s">
        <v>71</v>
      </c>
      <c r="K1650">
        <v>1974</v>
      </c>
      <c r="L1650">
        <v>1974</v>
      </c>
      <c r="M1650">
        <v>20</v>
      </c>
      <c r="N1650">
        <v>110.215</v>
      </c>
      <c r="O1650">
        <v>380.6</v>
      </c>
      <c r="P1650">
        <v>5.8</v>
      </c>
      <c r="Q1650">
        <v>0.95799999999999996</v>
      </c>
      <c r="R1650" t="s">
        <v>57</v>
      </c>
      <c r="S1650" t="s">
        <v>8981</v>
      </c>
      <c r="T1650" t="b">
        <v>1</v>
      </c>
      <c r="U1650" t="s">
        <v>8982</v>
      </c>
      <c r="V1650" t="s">
        <v>1204</v>
      </c>
      <c r="W1650" t="s">
        <v>8983</v>
      </c>
      <c r="X1650" t="s">
        <v>47</v>
      </c>
      <c r="AA1650" t="s">
        <v>4161</v>
      </c>
      <c r="AB1650" t="s">
        <v>177</v>
      </c>
      <c r="AC1650" t="s">
        <v>8979</v>
      </c>
      <c r="AD1650" t="b">
        <v>0</v>
      </c>
      <c r="AF1650">
        <v>2</v>
      </c>
      <c r="AG1650" t="s">
        <v>287</v>
      </c>
    </row>
    <row r="1651" spans="1:33" x14ac:dyDescent="0.2">
      <c r="A1651">
        <v>627</v>
      </c>
      <c r="B1651" t="s">
        <v>8984</v>
      </c>
      <c r="C1651" t="s">
        <v>34</v>
      </c>
      <c r="D1651" t="s">
        <v>35</v>
      </c>
      <c r="E1651" t="s">
        <v>501</v>
      </c>
      <c r="F1651" t="s">
        <v>502</v>
      </c>
      <c r="G1651" t="s">
        <v>242</v>
      </c>
      <c r="H1651" t="s">
        <v>243</v>
      </c>
      <c r="I1651" t="s">
        <v>8985</v>
      </c>
      <c r="J1651" t="s">
        <v>426</v>
      </c>
      <c r="K1651">
        <v>1989</v>
      </c>
      <c r="L1651">
        <v>1989</v>
      </c>
      <c r="M1651">
        <v>1.1000000000000001</v>
      </c>
      <c r="N1651">
        <v>4.3220000000000001</v>
      </c>
      <c r="O1651">
        <v>84.5</v>
      </c>
      <c r="P1651">
        <v>1.5</v>
      </c>
      <c r="Q1651">
        <v>0.20300000000000001</v>
      </c>
      <c r="R1651" t="s">
        <v>72</v>
      </c>
      <c r="S1651" t="s">
        <v>8986</v>
      </c>
      <c r="T1651" t="b">
        <v>1</v>
      </c>
      <c r="U1651" t="s">
        <v>8987</v>
      </c>
      <c r="V1651" t="s">
        <v>507</v>
      </c>
      <c r="W1651" t="s">
        <v>113</v>
      </c>
      <c r="X1651" t="s">
        <v>47</v>
      </c>
      <c r="AA1651" t="s">
        <v>8988</v>
      </c>
      <c r="AB1651" t="s">
        <v>567</v>
      </c>
      <c r="AC1651" t="s">
        <v>8989</v>
      </c>
      <c r="AD1651" t="b">
        <v>0</v>
      </c>
      <c r="AF1651">
        <v>9</v>
      </c>
      <c r="AG1651" t="s">
        <v>251</v>
      </c>
    </row>
    <row r="1652" spans="1:33" x14ac:dyDescent="0.2">
      <c r="A1652">
        <v>478</v>
      </c>
      <c r="B1652" t="s">
        <v>8990</v>
      </c>
      <c r="C1652" t="s">
        <v>34</v>
      </c>
      <c r="D1652" t="s">
        <v>35</v>
      </c>
      <c r="E1652" t="s">
        <v>3032</v>
      </c>
      <c r="F1652" t="s">
        <v>3033</v>
      </c>
      <c r="G1652" t="s">
        <v>68</v>
      </c>
      <c r="H1652" t="s">
        <v>69</v>
      </c>
      <c r="I1652" t="s">
        <v>265</v>
      </c>
      <c r="J1652" t="s">
        <v>266</v>
      </c>
      <c r="K1652">
        <v>1939</v>
      </c>
      <c r="L1652">
        <v>1939</v>
      </c>
      <c r="M1652">
        <v>19.5</v>
      </c>
      <c r="N1652">
        <v>57.83</v>
      </c>
      <c r="O1652">
        <v>85</v>
      </c>
      <c r="P1652">
        <v>30</v>
      </c>
      <c r="Q1652">
        <v>0.18099999999999999</v>
      </c>
      <c r="R1652" t="s">
        <v>72</v>
      </c>
      <c r="S1652" t="s">
        <v>8991</v>
      </c>
      <c r="T1652" t="b">
        <v>1</v>
      </c>
      <c r="U1652" t="s">
        <v>8992</v>
      </c>
      <c r="V1652" t="s">
        <v>3036</v>
      </c>
      <c r="W1652" t="s">
        <v>8993</v>
      </c>
      <c r="X1652" t="s">
        <v>47</v>
      </c>
      <c r="AA1652" t="s">
        <v>6673</v>
      </c>
      <c r="AB1652" t="s">
        <v>49</v>
      </c>
      <c r="AC1652" t="s">
        <v>6674</v>
      </c>
      <c r="AD1652" t="b">
        <v>0</v>
      </c>
      <c r="AF1652">
        <v>8</v>
      </c>
      <c r="AG1652" t="s">
        <v>78</v>
      </c>
    </row>
    <row r="1653" spans="1:33" x14ac:dyDescent="0.2">
      <c r="A1653">
        <v>1205</v>
      </c>
      <c r="B1653" t="s">
        <v>8994</v>
      </c>
      <c r="C1653" t="s">
        <v>34</v>
      </c>
      <c r="D1653" t="s">
        <v>35</v>
      </c>
      <c r="E1653" t="s">
        <v>1085</v>
      </c>
      <c r="F1653" t="s">
        <v>1086</v>
      </c>
      <c r="G1653" t="s">
        <v>134</v>
      </c>
      <c r="H1653" t="s">
        <v>135</v>
      </c>
      <c r="I1653" t="s">
        <v>3432</v>
      </c>
      <c r="J1653" t="s">
        <v>401</v>
      </c>
      <c r="K1653">
        <v>1953</v>
      </c>
      <c r="L1653">
        <v>1995</v>
      </c>
      <c r="M1653">
        <v>0.84</v>
      </c>
      <c r="N1653">
        <v>3.871</v>
      </c>
      <c r="O1653">
        <v>160</v>
      </c>
      <c r="R1653" t="s">
        <v>42</v>
      </c>
      <c r="S1653" t="s">
        <v>8995</v>
      </c>
      <c r="T1653" t="b">
        <v>1</v>
      </c>
      <c r="U1653" t="s">
        <v>8996</v>
      </c>
      <c r="V1653" t="s">
        <v>1089</v>
      </c>
      <c r="W1653" t="s">
        <v>8997</v>
      </c>
      <c r="X1653" t="s">
        <v>47</v>
      </c>
      <c r="AA1653" t="s">
        <v>8998</v>
      </c>
      <c r="AC1653" t="s">
        <v>63</v>
      </c>
      <c r="AD1653" t="b">
        <v>0</v>
      </c>
      <c r="AF1653">
        <v>10</v>
      </c>
      <c r="AG1653" t="s">
        <v>143</v>
      </c>
    </row>
    <row r="1654" spans="1:33" x14ac:dyDescent="0.2">
      <c r="A1654">
        <v>918</v>
      </c>
      <c r="B1654" t="s">
        <v>8999</v>
      </c>
      <c r="C1654" t="s">
        <v>34</v>
      </c>
      <c r="D1654" t="s">
        <v>35</v>
      </c>
      <c r="E1654" t="s">
        <v>1492</v>
      </c>
      <c r="F1654" t="s">
        <v>1493</v>
      </c>
      <c r="G1654" t="s">
        <v>68</v>
      </c>
      <c r="H1654" t="s">
        <v>69</v>
      </c>
      <c r="I1654" t="s">
        <v>445</v>
      </c>
      <c r="J1654" t="s">
        <v>203</v>
      </c>
      <c r="K1654">
        <v>2004</v>
      </c>
      <c r="L1654">
        <v>2004</v>
      </c>
      <c r="M1654">
        <v>0.9</v>
      </c>
      <c r="N1654">
        <v>3.754</v>
      </c>
      <c r="O1654">
        <v>370</v>
      </c>
      <c r="R1654" t="s">
        <v>72</v>
      </c>
      <c r="S1654" t="s">
        <v>9000</v>
      </c>
      <c r="T1654" t="b">
        <v>1</v>
      </c>
      <c r="U1654" t="s">
        <v>9001</v>
      </c>
      <c r="V1654" t="s">
        <v>1496</v>
      </c>
      <c r="W1654" t="s">
        <v>9002</v>
      </c>
      <c r="X1654" t="s">
        <v>47</v>
      </c>
      <c r="AA1654" t="s">
        <v>2827</v>
      </c>
      <c r="AC1654" t="s">
        <v>2828</v>
      </c>
      <c r="AD1654" t="b">
        <v>0</v>
      </c>
      <c r="AF1654">
        <v>8</v>
      </c>
      <c r="AG1654" t="s">
        <v>78</v>
      </c>
    </row>
    <row r="1655" spans="1:33" x14ac:dyDescent="0.2">
      <c r="A1655">
        <v>1645</v>
      </c>
      <c r="B1655" t="s">
        <v>9003</v>
      </c>
      <c r="C1655" t="s">
        <v>34</v>
      </c>
      <c r="D1655" t="s">
        <v>35</v>
      </c>
      <c r="E1655" t="s">
        <v>9004</v>
      </c>
      <c r="F1655" t="s">
        <v>9005</v>
      </c>
      <c r="G1655" t="s">
        <v>134</v>
      </c>
      <c r="H1655" t="s">
        <v>135</v>
      </c>
      <c r="I1655" t="s">
        <v>4790</v>
      </c>
      <c r="J1655" t="s">
        <v>262</v>
      </c>
      <c r="K1655">
        <v>2008</v>
      </c>
      <c r="L1655">
        <v>2008</v>
      </c>
      <c r="M1655">
        <v>0.21</v>
      </c>
      <c r="N1655">
        <v>0.66800000000000004</v>
      </c>
      <c r="O1655">
        <v>86</v>
      </c>
      <c r="P1655">
        <v>0.33</v>
      </c>
      <c r="R1655" t="s">
        <v>42</v>
      </c>
      <c r="S1655" t="s">
        <v>9006</v>
      </c>
      <c r="T1655" t="b">
        <v>1</v>
      </c>
      <c r="U1655" t="s">
        <v>9007</v>
      </c>
      <c r="V1655" t="s">
        <v>9008</v>
      </c>
      <c r="W1655" t="s">
        <v>9009</v>
      </c>
      <c r="X1655" t="s">
        <v>47</v>
      </c>
      <c r="AA1655" t="s">
        <v>141</v>
      </c>
      <c r="AC1655" t="s">
        <v>63</v>
      </c>
      <c r="AD1655" t="b">
        <v>0</v>
      </c>
      <c r="AF1655">
        <v>10</v>
      </c>
      <c r="AG1655" t="s">
        <v>143</v>
      </c>
    </row>
    <row r="1656" spans="1:33" x14ac:dyDescent="0.2">
      <c r="A1656">
        <v>1508</v>
      </c>
      <c r="B1656" t="s">
        <v>9010</v>
      </c>
      <c r="C1656" t="s">
        <v>34</v>
      </c>
      <c r="D1656" t="s">
        <v>35</v>
      </c>
      <c r="E1656" t="s">
        <v>168</v>
      </c>
      <c r="F1656" t="s">
        <v>169</v>
      </c>
      <c r="G1656" t="s">
        <v>134</v>
      </c>
      <c r="H1656" t="s">
        <v>135</v>
      </c>
      <c r="I1656" t="s">
        <v>136</v>
      </c>
      <c r="J1656" t="s">
        <v>41</v>
      </c>
      <c r="K1656">
        <v>2012</v>
      </c>
      <c r="L1656">
        <v>2012</v>
      </c>
      <c r="M1656">
        <v>2.8</v>
      </c>
      <c r="N1656">
        <v>5.7759999999999998</v>
      </c>
      <c r="O1656">
        <v>193</v>
      </c>
      <c r="P1656">
        <v>1.9</v>
      </c>
      <c r="Q1656">
        <v>0.40899999999999997</v>
      </c>
      <c r="R1656" t="s">
        <v>42</v>
      </c>
      <c r="S1656" t="s">
        <v>9011</v>
      </c>
      <c r="T1656" t="b">
        <v>1</v>
      </c>
      <c r="U1656" t="s">
        <v>9012</v>
      </c>
      <c r="V1656" t="s">
        <v>174</v>
      </c>
      <c r="W1656" t="s">
        <v>9013</v>
      </c>
      <c r="X1656" t="s">
        <v>47</v>
      </c>
      <c r="AA1656" t="s">
        <v>114</v>
      </c>
      <c r="AB1656" t="s">
        <v>49</v>
      </c>
      <c r="AC1656" t="s">
        <v>9014</v>
      </c>
      <c r="AD1656" t="b">
        <v>0</v>
      </c>
      <c r="AF1656">
        <v>10</v>
      </c>
      <c r="AG1656" t="s">
        <v>143</v>
      </c>
    </row>
    <row r="1657" spans="1:33" x14ac:dyDescent="0.2">
      <c r="A1657">
        <v>1352</v>
      </c>
      <c r="B1657" t="s">
        <v>9015</v>
      </c>
      <c r="C1657" t="s">
        <v>34</v>
      </c>
      <c r="D1657" t="s">
        <v>35</v>
      </c>
      <c r="E1657" t="s">
        <v>682</v>
      </c>
      <c r="F1657" t="s">
        <v>683</v>
      </c>
      <c r="G1657" t="s">
        <v>68</v>
      </c>
      <c r="H1657" t="s">
        <v>69</v>
      </c>
      <c r="I1657" t="s">
        <v>70</v>
      </c>
      <c r="J1657" t="s">
        <v>71</v>
      </c>
      <c r="K1657">
        <v>2008</v>
      </c>
      <c r="L1657">
        <v>2008</v>
      </c>
      <c r="M1657">
        <v>8</v>
      </c>
      <c r="N1657">
        <v>17.233000000000001</v>
      </c>
      <c r="O1657">
        <v>353.5</v>
      </c>
      <c r="P1657">
        <v>3</v>
      </c>
      <c r="Q1657">
        <v>0.74099999999999999</v>
      </c>
      <c r="R1657" t="s">
        <v>72</v>
      </c>
      <c r="S1657" t="s">
        <v>9016</v>
      </c>
      <c r="T1657" t="b">
        <v>1</v>
      </c>
      <c r="U1657" t="s">
        <v>9017</v>
      </c>
      <c r="V1657" t="s">
        <v>686</v>
      </c>
      <c r="W1657" t="s">
        <v>9018</v>
      </c>
      <c r="X1657" t="s">
        <v>47</v>
      </c>
      <c r="AA1657" t="s">
        <v>9019</v>
      </c>
      <c r="AB1657" t="s">
        <v>49</v>
      </c>
      <c r="AC1657" t="s">
        <v>9020</v>
      </c>
      <c r="AD1657" t="b">
        <v>0</v>
      </c>
      <c r="AF1657">
        <v>8</v>
      </c>
      <c r="AG1657" t="s">
        <v>78</v>
      </c>
    </row>
    <row r="1658" spans="1:33" x14ac:dyDescent="0.2">
      <c r="A1658">
        <v>837</v>
      </c>
      <c r="B1658" t="s">
        <v>9021</v>
      </c>
      <c r="C1658" t="s">
        <v>34</v>
      </c>
      <c r="D1658" t="s">
        <v>35</v>
      </c>
      <c r="E1658" t="s">
        <v>168</v>
      </c>
      <c r="F1658" t="s">
        <v>169</v>
      </c>
      <c r="G1658" t="s">
        <v>134</v>
      </c>
      <c r="H1658" t="s">
        <v>135</v>
      </c>
      <c r="I1658" t="s">
        <v>641</v>
      </c>
      <c r="J1658" t="s">
        <v>109</v>
      </c>
      <c r="K1658">
        <v>2005</v>
      </c>
      <c r="L1658">
        <v>2005</v>
      </c>
      <c r="M1658">
        <v>1.6</v>
      </c>
      <c r="N1658">
        <v>4.7679999999999998</v>
      </c>
      <c r="O1658">
        <v>240</v>
      </c>
      <c r="P1658">
        <v>0.75</v>
      </c>
      <c r="Q1658">
        <v>0.59199999999999997</v>
      </c>
      <c r="R1658" t="s">
        <v>42</v>
      </c>
      <c r="S1658" t="s">
        <v>9022</v>
      </c>
      <c r="T1658" t="b">
        <v>1</v>
      </c>
      <c r="U1658" t="s">
        <v>9023</v>
      </c>
      <c r="V1658" t="s">
        <v>174</v>
      </c>
      <c r="W1658" t="s">
        <v>9024</v>
      </c>
      <c r="X1658" t="s">
        <v>47</v>
      </c>
      <c r="AA1658" t="s">
        <v>9025</v>
      </c>
      <c r="AB1658" t="s">
        <v>49</v>
      </c>
      <c r="AC1658" t="s">
        <v>9026</v>
      </c>
      <c r="AD1658" t="b">
        <v>0</v>
      </c>
      <c r="AF1658">
        <v>10</v>
      </c>
      <c r="AG1658" t="s">
        <v>143</v>
      </c>
    </row>
    <row r="1659" spans="1:33" x14ac:dyDescent="0.2">
      <c r="A1659">
        <v>1448</v>
      </c>
      <c r="B1659" t="s">
        <v>2659</v>
      </c>
      <c r="C1659" t="s">
        <v>34</v>
      </c>
      <c r="D1659" t="s">
        <v>35</v>
      </c>
      <c r="E1659" t="s">
        <v>168</v>
      </c>
      <c r="F1659" t="s">
        <v>169</v>
      </c>
      <c r="G1659" t="s">
        <v>68</v>
      </c>
      <c r="H1659" t="s">
        <v>69</v>
      </c>
      <c r="I1659" t="s">
        <v>265</v>
      </c>
      <c r="J1659" t="s">
        <v>266</v>
      </c>
      <c r="K1659">
        <v>2010</v>
      </c>
      <c r="L1659">
        <v>2010</v>
      </c>
      <c r="M1659">
        <v>5.49</v>
      </c>
      <c r="N1659">
        <v>9.641</v>
      </c>
      <c r="O1659">
        <v>125</v>
      </c>
      <c r="P1659">
        <v>5</v>
      </c>
      <c r="Q1659">
        <v>0.30499999999999999</v>
      </c>
      <c r="R1659" t="s">
        <v>72</v>
      </c>
      <c r="S1659" t="s">
        <v>9027</v>
      </c>
      <c r="T1659" t="b">
        <v>1</v>
      </c>
      <c r="U1659" t="s">
        <v>1515</v>
      </c>
      <c r="V1659" t="s">
        <v>174</v>
      </c>
      <c r="W1659" t="s">
        <v>9028</v>
      </c>
      <c r="X1659" t="s">
        <v>47</v>
      </c>
      <c r="AA1659" t="s">
        <v>2659</v>
      </c>
      <c r="AB1659" t="s">
        <v>177</v>
      </c>
      <c r="AC1659" t="s">
        <v>2660</v>
      </c>
      <c r="AD1659" t="b">
        <v>0</v>
      </c>
      <c r="AF1659">
        <v>8</v>
      </c>
      <c r="AG1659" t="s">
        <v>78</v>
      </c>
    </row>
    <row r="1660" spans="1:33" x14ac:dyDescent="0.2">
      <c r="A1660">
        <v>1734</v>
      </c>
      <c r="B1660" t="s">
        <v>2659</v>
      </c>
      <c r="C1660" t="s">
        <v>34</v>
      </c>
      <c r="D1660" t="s">
        <v>35</v>
      </c>
      <c r="E1660" t="s">
        <v>180</v>
      </c>
      <c r="F1660" t="s">
        <v>181</v>
      </c>
      <c r="G1660" t="s">
        <v>242</v>
      </c>
      <c r="H1660" t="s">
        <v>243</v>
      </c>
      <c r="I1660" t="s">
        <v>3245</v>
      </c>
      <c r="J1660" t="s">
        <v>109</v>
      </c>
      <c r="K1660">
        <v>2013</v>
      </c>
      <c r="L1660">
        <v>2013</v>
      </c>
      <c r="M1660">
        <v>9.98</v>
      </c>
      <c r="N1660">
        <v>27.638999999999999</v>
      </c>
      <c r="O1660">
        <v>286</v>
      </c>
      <c r="P1660">
        <v>4.4000000000000004</v>
      </c>
      <c r="Q1660">
        <v>0.63</v>
      </c>
      <c r="R1660" t="s">
        <v>72</v>
      </c>
      <c r="S1660" t="s">
        <v>9029</v>
      </c>
      <c r="T1660" t="b">
        <v>1</v>
      </c>
      <c r="U1660" t="s">
        <v>9030</v>
      </c>
      <c r="V1660" t="s">
        <v>185</v>
      </c>
      <c r="W1660" t="s">
        <v>9031</v>
      </c>
      <c r="X1660" t="s">
        <v>47</v>
      </c>
      <c r="AA1660" t="s">
        <v>982</v>
      </c>
      <c r="AB1660" t="s">
        <v>337</v>
      </c>
      <c r="AC1660" t="s">
        <v>983</v>
      </c>
      <c r="AD1660" t="b">
        <v>0</v>
      </c>
      <c r="AF1660">
        <v>9</v>
      </c>
      <c r="AG1660" t="s">
        <v>251</v>
      </c>
    </row>
    <row r="1661" spans="1:33" x14ac:dyDescent="0.2">
      <c r="A1661">
        <v>480</v>
      </c>
      <c r="B1661" t="s">
        <v>9032</v>
      </c>
      <c r="C1661" t="s">
        <v>34</v>
      </c>
      <c r="D1661" t="s">
        <v>35</v>
      </c>
      <c r="E1661" t="s">
        <v>277</v>
      </c>
      <c r="F1661" t="s">
        <v>278</v>
      </c>
      <c r="G1661" t="s">
        <v>224</v>
      </c>
      <c r="H1661" t="s">
        <v>225</v>
      </c>
      <c r="I1661" t="s">
        <v>4804</v>
      </c>
      <c r="J1661" t="s">
        <v>171</v>
      </c>
      <c r="K1661">
        <v>1965</v>
      </c>
      <c r="L1661">
        <v>1965</v>
      </c>
      <c r="M1661">
        <v>205.22</v>
      </c>
      <c r="N1661">
        <v>896.91300000000001</v>
      </c>
      <c r="O1661">
        <v>540</v>
      </c>
      <c r="P1661">
        <v>42.5</v>
      </c>
      <c r="Q1661">
        <v>1.2809999999999999</v>
      </c>
      <c r="R1661" t="s">
        <v>57</v>
      </c>
      <c r="S1661" t="s">
        <v>9033</v>
      </c>
      <c r="T1661" t="b">
        <v>1</v>
      </c>
      <c r="U1661" t="s">
        <v>9034</v>
      </c>
      <c r="V1661" t="s">
        <v>6173</v>
      </c>
      <c r="W1661" t="s">
        <v>9035</v>
      </c>
      <c r="X1661" t="s">
        <v>47</v>
      </c>
      <c r="AA1661" t="s">
        <v>102</v>
      </c>
      <c r="AB1661" t="s">
        <v>8346</v>
      </c>
      <c r="AC1661" t="s">
        <v>103</v>
      </c>
      <c r="AD1661" t="b">
        <v>0</v>
      </c>
      <c r="AF1661">
        <v>2</v>
      </c>
      <c r="AG1661" t="s">
        <v>287</v>
      </c>
    </row>
    <row r="1662" spans="1:33" x14ac:dyDescent="0.2">
      <c r="A1662">
        <v>481</v>
      </c>
      <c r="B1662" t="s">
        <v>9036</v>
      </c>
      <c r="C1662" t="s">
        <v>34</v>
      </c>
      <c r="D1662" t="s">
        <v>35</v>
      </c>
      <c r="E1662" t="s">
        <v>9037</v>
      </c>
      <c r="F1662" t="s">
        <v>9038</v>
      </c>
      <c r="G1662" t="s">
        <v>224</v>
      </c>
      <c r="H1662" t="s">
        <v>225</v>
      </c>
      <c r="I1662" t="s">
        <v>3775</v>
      </c>
      <c r="J1662" t="s">
        <v>515</v>
      </c>
      <c r="K1662">
        <v>1983</v>
      </c>
      <c r="L1662">
        <v>1983</v>
      </c>
      <c r="M1662">
        <v>36.5</v>
      </c>
      <c r="N1662">
        <v>81.966999999999999</v>
      </c>
      <c r="O1662">
        <v>113</v>
      </c>
      <c r="P1662">
        <v>38.54</v>
      </c>
      <c r="Q1662">
        <v>0.26300000000000001</v>
      </c>
      <c r="R1662" t="s">
        <v>57</v>
      </c>
      <c r="S1662" t="s">
        <v>9039</v>
      </c>
      <c r="T1662" t="b">
        <v>1</v>
      </c>
      <c r="U1662" t="s">
        <v>9040</v>
      </c>
      <c r="V1662" t="s">
        <v>9041</v>
      </c>
      <c r="W1662" t="s">
        <v>9042</v>
      </c>
      <c r="X1662" t="s">
        <v>47</v>
      </c>
      <c r="AA1662" t="s">
        <v>102</v>
      </c>
      <c r="AB1662" t="s">
        <v>9043</v>
      </c>
      <c r="AC1662" t="s">
        <v>103</v>
      </c>
      <c r="AD1662" t="b">
        <v>0</v>
      </c>
      <c r="AF1662">
        <v>2</v>
      </c>
      <c r="AG1662" t="s">
        <v>287</v>
      </c>
    </row>
    <row r="1663" spans="1:33" x14ac:dyDescent="0.2">
      <c r="A1663">
        <v>958</v>
      </c>
      <c r="B1663" t="s">
        <v>9044</v>
      </c>
      <c r="C1663" t="s">
        <v>34</v>
      </c>
      <c r="D1663" t="s">
        <v>35</v>
      </c>
      <c r="E1663" t="s">
        <v>9045</v>
      </c>
      <c r="F1663" t="s">
        <v>9046</v>
      </c>
      <c r="G1663" t="s">
        <v>53</v>
      </c>
      <c r="H1663" t="s">
        <v>54</v>
      </c>
      <c r="I1663" t="s">
        <v>1165</v>
      </c>
      <c r="J1663" t="s">
        <v>1166</v>
      </c>
      <c r="K1663">
        <v>2005</v>
      </c>
      <c r="L1663">
        <v>2005</v>
      </c>
      <c r="M1663">
        <v>0.1</v>
      </c>
      <c r="N1663">
        <v>0.21199999999999999</v>
      </c>
      <c r="R1663" t="s">
        <v>72</v>
      </c>
      <c r="S1663" t="s">
        <v>9047</v>
      </c>
      <c r="T1663" t="b">
        <v>1</v>
      </c>
      <c r="U1663" t="s">
        <v>9048</v>
      </c>
      <c r="V1663" t="s">
        <v>9049</v>
      </c>
      <c r="W1663" t="s">
        <v>9050</v>
      </c>
      <c r="X1663" t="s">
        <v>47</v>
      </c>
      <c r="AA1663" t="s">
        <v>114</v>
      </c>
      <c r="AC1663" t="s">
        <v>63</v>
      </c>
      <c r="AD1663" t="b">
        <v>0</v>
      </c>
      <c r="AF1663">
        <v>13</v>
      </c>
      <c r="AG1663" t="s">
        <v>155</v>
      </c>
    </row>
    <row r="1664" spans="1:33" x14ac:dyDescent="0.2">
      <c r="A1664">
        <v>1118</v>
      </c>
      <c r="B1664" t="s">
        <v>9051</v>
      </c>
      <c r="C1664" t="s">
        <v>34</v>
      </c>
      <c r="D1664" t="s">
        <v>35</v>
      </c>
      <c r="G1664" t="s">
        <v>242</v>
      </c>
      <c r="H1664" t="s">
        <v>243</v>
      </c>
      <c r="I1664" t="s">
        <v>799</v>
      </c>
      <c r="J1664" t="s">
        <v>96</v>
      </c>
      <c r="K1664">
        <v>1995</v>
      </c>
      <c r="L1664">
        <v>1995</v>
      </c>
      <c r="M1664">
        <v>2.5000000000000001E-2</v>
      </c>
      <c r="N1664">
        <v>5.8000000000000003E-2</v>
      </c>
      <c r="R1664" t="s">
        <v>72</v>
      </c>
      <c r="S1664" t="s">
        <v>9052</v>
      </c>
      <c r="T1664" t="b">
        <v>1</v>
      </c>
      <c r="U1664" t="s">
        <v>2566</v>
      </c>
      <c r="V1664" t="s">
        <v>274</v>
      </c>
      <c r="W1664" t="s">
        <v>9053</v>
      </c>
      <c r="X1664" t="s">
        <v>47</v>
      </c>
      <c r="AA1664" t="s">
        <v>114</v>
      </c>
      <c r="AC1664" t="s">
        <v>63</v>
      </c>
      <c r="AD1664" t="b">
        <v>0</v>
      </c>
      <c r="AF1664">
        <v>9</v>
      </c>
      <c r="AG1664" t="s">
        <v>251</v>
      </c>
    </row>
    <row r="1665" spans="1:33" x14ac:dyDescent="0.2">
      <c r="A1665">
        <v>1636</v>
      </c>
      <c r="B1665" t="s">
        <v>9054</v>
      </c>
      <c r="C1665" t="s">
        <v>34</v>
      </c>
      <c r="D1665" t="s">
        <v>35</v>
      </c>
      <c r="E1665" t="s">
        <v>9055</v>
      </c>
      <c r="F1665" t="s">
        <v>9056</v>
      </c>
      <c r="G1665" t="s">
        <v>53</v>
      </c>
      <c r="H1665" t="s">
        <v>54</v>
      </c>
      <c r="I1665" t="s">
        <v>325</v>
      </c>
      <c r="J1665" t="s">
        <v>135</v>
      </c>
      <c r="K1665">
        <v>2008</v>
      </c>
      <c r="L1665">
        <v>2008</v>
      </c>
      <c r="M1665">
        <v>0.4</v>
      </c>
      <c r="N1665">
        <v>1.133</v>
      </c>
      <c r="O1665">
        <v>80</v>
      </c>
      <c r="R1665" t="s">
        <v>57</v>
      </c>
      <c r="S1665" t="s">
        <v>5416</v>
      </c>
      <c r="T1665" t="b">
        <v>1</v>
      </c>
      <c r="U1665" t="s">
        <v>9057</v>
      </c>
      <c r="V1665" t="s">
        <v>9058</v>
      </c>
      <c r="W1665" t="s">
        <v>9059</v>
      </c>
      <c r="X1665" t="s">
        <v>47</v>
      </c>
      <c r="AA1665" t="s">
        <v>114</v>
      </c>
      <c r="AC1665" t="s">
        <v>63</v>
      </c>
      <c r="AD1665" t="b">
        <v>0</v>
      </c>
      <c r="AF1665">
        <v>6</v>
      </c>
      <c r="AG1665" t="s">
        <v>64</v>
      </c>
    </row>
    <row r="1666" spans="1:33" x14ac:dyDescent="0.2">
      <c r="A1666">
        <v>2014</v>
      </c>
      <c r="B1666" t="s">
        <v>9060</v>
      </c>
      <c r="C1666" t="s">
        <v>34</v>
      </c>
      <c r="D1666" t="s">
        <v>35</v>
      </c>
      <c r="E1666" t="s">
        <v>9061</v>
      </c>
      <c r="F1666" t="s">
        <v>9062</v>
      </c>
      <c r="G1666" t="s">
        <v>53</v>
      </c>
      <c r="H1666" t="s">
        <v>54</v>
      </c>
      <c r="I1666" t="s">
        <v>1165</v>
      </c>
      <c r="J1666" t="s">
        <v>1166</v>
      </c>
      <c r="K1666">
        <v>1914</v>
      </c>
      <c r="L1666">
        <v>2021</v>
      </c>
      <c r="M1666">
        <v>5.8</v>
      </c>
      <c r="N1666">
        <v>17.992000000000001</v>
      </c>
      <c r="O1666">
        <v>266.45</v>
      </c>
      <c r="P1666">
        <v>2.5499999999999998</v>
      </c>
      <c r="Q1666">
        <v>0.63200000000000001</v>
      </c>
      <c r="R1666" t="s">
        <v>72</v>
      </c>
      <c r="S1666" t="s">
        <v>9063</v>
      </c>
      <c r="T1666" t="b">
        <v>1</v>
      </c>
      <c r="U1666" t="s">
        <v>9064</v>
      </c>
      <c r="V1666" t="s">
        <v>9065</v>
      </c>
      <c r="W1666" t="s">
        <v>9066</v>
      </c>
      <c r="X1666" t="s">
        <v>47</v>
      </c>
      <c r="AA1666" t="s">
        <v>479</v>
      </c>
      <c r="AC1666" t="s">
        <v>63</v>
      </c>
      <c r="AD1666" t="b">
        <v>0</v>
      </c>
      <c r="AF1666">
        <v>13</v>
      </c>
      <c r="AG1666" t="s">
        <v>155</v>
      </c>
    </row>
    <row r="1667" spans="1:33" x14ac:dyDescent="0.2">
      <c r="A1667">
        <v>861</v>
      </c>
      <c r="B1667" t="s">
        <v>9067</v>
      </c>
      <c r="C1667" t="s">
        <v>34</v>
      </c>
      <c r="D1667" t="s">
        <v>35</v>
      </c>
      <c r="G1667" t="s">
        <v>503</v>
      </c>
      <c r="H1667" t="s">
        <v>462</v>
      </c>
      <c r="I1667" t="s">
        <v>5012</v>
      </c>
      <c r="J1667" t="s">
        <v>71</v>
      </c>
      <c r="K1667">
        <v>1993</v>
      </c>
      <c r="L1667">
        <v>1993</v>
      </c>
      <c r="M1667">
        <v>3.6999999999999998E-2</v>
      </c>
      <c r="N1667">
        <v>0.121</v>
      </c>
      <c r="R1667" t="s">
        <v>84</v>
      </c>
      <c r="S1667" t="s">
        <v>9068</v>
      </c>
      <c r="T1667" t="b">
        <v>1</v>
      </c>
      <c r="U1667" t="s">
        <v>1379</v>
      </c>
      <c r="V1667" t="s">
        <v>274</v>
      </c>
      <c r="W1667" t="s">
        <v>113</v>
      </c>
      <c r="X1667" t="s">
        <v>47</v>
      </c>
      <c r="AA1667" t="s">
        <v>583</v>
      </c>
      <c r="AC1667" t="s">
        <v>585</v>
      </c>
      <c r="AD1667" t="b">
        <v>0</v>
      </c>
      <c r="AF1667">
        <v>3</v>
      </c>
      <c r="AG1667" t="s">
        <v>332</v>
      </c>
    </row>
    <row r="1668" spans="1:33" x14ac:dyDescent="0.2">
      <c r="A1668">
        <v>482</v>
      </c>
      <c r="B1668" t="s">
        <v>9069</v>
      </c>
      <c r="C1668" t="s">
        <v>34</v>
      </c>
      <c r="D1668" t="s">
        <v>35</v>
      </c>
      <c r="E1668" t="s">
        <v>91</v>
      </c>
      <c r="F1668" t="s">
        <v>92</v>
      </c>
      <c r="G1668" t="s">
        <v>224</v>
      </c>
      <c r="H1668" t="s">
        <v>225</v>
      </c>
      <c r="I1668" t="s">
        <v>1544</v>
      </c>
      <c r="J1668" t="s">
        <v>426</v>
      </c>
      <c r="K1668">
        <v>1967</v>
      </c>
      <c r="L1668">
        <v>1967</v>
      </c>
      <c r="M1668">
        <v>90</v>
      </c>
      <c r="N1668">
        <v>303.71300000000002</v>
      </c>
      <c r="O1668">
        <v>595</v>
      </c>
      <c r="P1668">
        <v>19</v>
      </c>
      <c r="Q1668">
        <v>1.3149999999999999</v>
      </c>
      <c r="R1668" t="s">
        <v>57</v>
      </c>
      <c r="S1668" t="s">
        <v>9070</v>
      </c>
      <c r="T1668" t="b">
        <v>1</v>
      </c>
      <c r="U1668" t="s">
        <v>9071</v>
      </c>
      <c r="V1668" t="s">
        <v>9072</v>
      </c>
      <c r="W1668" t="s">
        <v>9073</v>
      </c>
      <c r="X1668" t="s">
        <v>47</v>
      </c>
      <c r="AA1668" t="s">
        <v>1548</v>
      </c>
      <c r="AB1668" t="s">
        <v>94</v>
      </c>
      <c r="AC1668" t="s">
        <v>1549</v>
      </c>
      <c r="AD1668" t="b">
        <v>0</v>
      </c>
      <c r="AF1668">
        <v>2</v>
      </c>
      <c r="AG1668" t="s">
        <v>287</v>
      </c>
    </row>
    <row r="1669" spans="1:33" x14ac:dyDescent="0.2">
      <c r="A1669">
        <v>483</v>
      </c>
      <c r="B1669" t="s">
        <v>9074</v>
      </c>
      <c r="C1669" t="s">
        <v>34</v>
      </c>
      <c r="D1669" t="s">
        <v>35</v>
      </c>
      <c r="E1669" t="s">
        <v>91</v>
      </c>
      <c r="F1669" t="s">
        <v>92</v>
      </c>
      <c r="G1669" t="s">
        <v>224</v>
      </c>
      <c r="H1669" t="s">
        <v>225</v>
      </c>
      <c r="I1669" t="s">
        <v>1544</v>
      </c>
      <c r="J1669" t="s">
        <v>426</v>
      </c>
      <c r="K1669">
        <v>1967</v>
      </c>
      <c r="L1669">
        <v>1967</v>
      </c>
      <c r="M1669">
        <v>40</v>
      </c>
      <c r="N1669">
        <v>183.584</v>
      </c>
      <c r="O1669">
        <v>193</v>
      </c>
      <c r="P1669">
        <v>25.03</v>
      </c>
      <c r="Q1669">
        <v>0.44400000000000001</v>
      </c>
      <c r="R1669" t="s">
        <v>57</v>
      </c>
      <c r="S1669" t="s">
        <v>9075</v>
      </c>
      <c r="T1669" t="b">
        <v>1</v>
      </c>
      <c r="U1669" t="s">
        <v>9071</v>
      </c>
      <c r="V1669" t="s">
        <v>9072</v>
      </c>
      <c r="W1669" t="s">
        <v>9076</v>
      </c>
      <c r="X1669" t="s">
        <v>47</v>
      </c>
      <c r="AA1669" t="s">
        <v>1548</v>
      </c>
      <c r="AB1669" t="s">
        <v>567</v>
      </c>
      <c r="AC1669" t="s">
        <v>1549</v>
      </c>
      <c r="AD1669" t="b">
        <v>0</v>
      </c>
      <c r="AF1669">
        <v>2</v>
      </c>
      <c r="AG1669" t="s">
        <v>287</v>
      </c>
    </row>
    <row r="1670" spans="1:33" x14ac:dyDescent="0.2">
      <c r="A1670">
        <v>1219</v>
      </c>
      <c r="B1670" t="s">
        <v>9077</v>
      </c>
      <c r="C1670" t="s">
        <v>34</v>
      </c>
      <c r="D1670" t="s">
        <v>35</v>
      </c>
      <c r="E1670" t="s">
        <v>9078</v>
      </c>
      <c r="F1670" t="s">
        <v>9079</v>
      </c>
      <c r="G1670" t="s">
        <v>242</v>
      </c>
      <c r="H1670" t="s">
        <v>243</v>
      </c>
      <c r="I1670" t="s">
        <v>1003</v>
      </c>
      <c r="J1670" t="s">
        <v>192</v>
      </c>
      <c r="K1670">
        <v>2003</v>
      </c>
      <c r="L1670">
        <v>2003</v>
      </c>
      <c r="M1670">
        <v>0.35</v>
      </c>
      <c r="N1670">
        <v>0.91200000000000003</v>
      </c>
      <c r="O1670">
        <v>127.5</v>
      </c>
      <c r="R1670" t="s">
        <v>72</v>
      </c>
      <c r="S1670" t="s">
        <v>9080</v>
      </c>
      <c r="T1670" t="b">
        <v>1</v>
      </c>
      <c r="U1670" t="s">
        <v>2246</v>
      </c>
      <c r="V1670" t="s">
        <v>9081</v>
      </c>
      <c r="W1670" t="s">
        <v>9082</v>
      </c>
      <c r="X1670" t="s">
        <v>47</v>
      </c>
      <c r="AA1670" t="s">
        <v>114</v>
      </c>
      <c r="AC1670" t="s">
        <v>63</v>
      </c>
      <c r="AD1670" t="b">
        <v>0</v>
      </c>
      <c r="AF1670">
        <v>9</v>
      </c>
      <c r="AG1670" t="s">
        <v>251</v>
      </c>
    </row>
    <row r="1671" spans="1:33" x14ac:dyDescent="0.2">
      <c r="A1671">
        <v>484</v>
      </c>
      <c r="B1671" t="s">
        <v>9083</v>
      </c>
      <c r="C1671" t="s">
        <v>34</v>
      </c>
      <c r="D1671" t="s">
        <v>35</v>
      </c>
      <c r="E1671" t="s">
        <v>91</v>
      </c>
      <c r="F1671" t="s">
        <v>92</v>
      </c>
      <c r="G1671" t="s">
        <v>503</v>
      </c>
      <c r="H1671" t="s">
        <v>462</v>
      </c>
      <c r="I1671" t="s">
        <v>1520</v>
      </c>
      <c r="J1671" t="s">
        <v>337</v>
      </c>
      <c r="K1671">
        <v>1954</v>
      </c>
      <c r="L1671">
        <v>2008</v>
      </c>
      <c r="M1671">
        <v>4.8899999999999997</v>
      </c>
      <c r="N1671">
        <v>24.018000000000001</v>
      </c>
      <c r="O1671">
        <v>13.19</v>
      </c>
      <c r="P1671">
        <v>40</v>
      </c>
      <c r="Q1671">
        <v>3.2000000000000001E-2</v>
      </c>
      <c r="R1671" t="s">
        <v>84</v>
      </c>
      <c r="S1671" t="s">
        <v>4444</v>
      </c>
      <c r="T1671" t="b">
        <v>1</v>
      </c>
      <c r="U1671" t="s">
        <v>74</v>
      </c>
      <c r="V1671" t="s">
        <v>100</v>
      </c>
      <c r="W1671" t="s">
        <v>9084</v>
      </c>
      <c r="X1671" t="s">
        <v>47</v>
      </c>
      <c r="AA1671" t="s">
        <v>1297</v>
      </c>
      <c r="AB1671" t="s">
        <v>177</v>
      </c>
      <c r="AC1671" t="s">
        <v>1298</v>
      </c>
      <c r="AD1671" t="b">
        <v>0</v>
      </c>
      <c r="AF1671">
        <v>3</v>
      </c>
      <c r="AG1671" t="s">
        <v>332</v>
      </c>
    </row>
    <row r="1672" spans="1:33" x14ac:dyDescent="0.2">
      <c r="A1672">
        <v>1773</v>
      </c>
      <c r="B1672" t="s">
        <v>9085</v>
      </c>
      <c r="C1672" t="s">
        <v>34</v>
      </c>
      <c r="D1672" t="s">
        <v>35</v>
      </c>
      <c r="E1672" t="s">
        <v>9086</v>
      </c>
      <c r="F1672" t="s">
        <v>9087</v>
      </c>
      <c r="G1672" t="s">
        <v>213</v>
      </c>
      <c r="H1672" t="s">
        <v>83</v>
      </c>
      <c r="I1672" t="s">
        <v>214</v>
      </c>
      <c r="J1672" t="s">
        <v>215</v>
      </c>
      <c r="K1672">
        <v>2014</v>
      </c>
      <c r="L1672">
        <v>2014</v>
      </c>
      <c r="M1672">
        <v>1.1000000000000001</v>
      </c>
      <c r="N1672">
        <v>3.996</v>
      </c>
      <c r="O1672">
        <v>258.66000000000003</v>
      </c>
      <c r="P1672">
        <v>0.48799999999999999</v>
      </c>
      <c r="Q1672">
        <v>0.626</v>
      </c>
      <c r="R1672" t="s">
        <v>84</v>
      </c>
      <c r="S1672" t="s">
        <v>9088</v>
      </c>
      <c r="T1672" t="b">
        <v>1</v>
      </c>
      <c r="U1672" t="s">
        <v>9089</v>
      </c>
      <c r="V1672" t="s">
        <v>9090</v>
      </c>
      <c r="W1672" t="s">
        <v>9091</v>
      </c>
      <c r="X1672" t="s">
        <v>47</v>
      </c>
      <c r="AA1672" t="s">
        <v>114</v>
      </c>
      <c r="AC1672" t="s">
        <v>63</v>
      </c>
      <c r="AD1672" t="b">
        <v>0</v>
      </c>
      <c r="AF1672">
        <v>5</v>
      </c>
      <c r="AG1672" t="s">
        <v>89</v>
      </c>
    </row>
    <row r="1673" spans="1:33" x14ac:dyDescent="0.2">
      <c r="A1673">
        <v>2087</v>
      </c>
      <c r="B1673" t="s">
        <v>9092</v>
      </c>
      <c r="C1673" t="s">
        <v>574</v>
      </c>
      <c r="D1673" t="s">
        <v>575</v>
      </c>
      <c r="E1673" t="s">
        <v>7681</v>
      </c>
      <c r="F1673" t="s">
        <v>7682</v>
      </c>
      <c r="G1673" t="s">
        <v>134</v>
      </c>
      <c r="H1673" t="s">
        <v>135</v>
      </c>
      <c r="I1673" t="s">
        <v>4520</v>
      </c>
      <c r="J1673" t="s">
        <v>485</v>
      </c>
      <c r="K1673">
        <v>2022</v>
      </c>
      <c r="L1673">
        <v>2022</v>
      </c>
      <c r="M1673">
        <v>-1.6</v>
      </c>
      <c r="N1673">
        <v>-1E-3</v>
      </c>
      <c r="O1673">
        <v>0</v>
      </c>
      <c r="P1673">
        <v>1</v>
      </c>
      <c r="Q1673">
        <v>-0.44400000000000001</v>
      </c>
      <c r="R1673" t="s">
        <v>42</v>
      </c>
      <c r="S1673" t="s">
        <v>7683</v>
      </c>
      <c r="T1673" t="b">
        <v>1</v>
      </c>
      <c r="U1673" t="s">
        <v>7684</v>
      </c>
      <c r="V1673" t="s">
        <v>7685</v>
      </c>
      <c r="W1673" t="s">
        <v>7686</v>
      </c>
      <c r="X1673" t="s">
        <v>47</v>
      </c>
      <c r="AA1673" t="s">
        <v>114</v>
      </c>
      <c r="AB1673" t="s">
        <v>177</v>
      </c>
      <c r="AC1673" t="s">
        <v>351</v>
      </c>
      <c r="AD1673" t="b">
        <v>0</v>
      </c>
      <c r="AF1673">
        <v>10</v>
      </c>
      <c r="AG1673" t="s">
        <v>143</v>
      </c>
    </row>
    <row r="1674" spans="1:33" x14ac:dyDescent="0.2">
      <c r="A1674">
        <v>1958</v>
      </c>
      <c r="B1674" t="s">
        <v>9093</v>
      </c>
      <c r="C1674" t="s">
        <v>34</v>
      </c>
      <c r="D1674" t="s">
        <v>35</v>
      </c>
      <c r="E1674" t="s">
        <v>9094</v>
      </c>
      <c r="F1674" t="s">
        <v>9095</v>
      </c>
      <c r="G1674" t="s">
        <v>68</v>
      </c>
      <c r="H1674" t="s">
        <v>69</v>
      </c>
      <c r="I1674" t="s">
        <v>7744</v>
      </c>
      <c r="J1674" t="s">
        <v>231</v>
      </c>
      <c r="K1674">
        <v>2019</v>
      </c>
      <c r="L1674">
        <v>2019</v>
      </c>
      <c r="M1674">
        <v>7.74</v>
      </c>
      <c r="N1674">
        <v>21.44</v>
      </c>
      <c r="O1674">
        <v>189</v>
      </c>
      <c r="P1674">
        <v>5.2</v>
      </c>
      <c r="Q1674">
        <v>0.41299999999999998</v>
      </c>
      <c r="R1674" t="s">
        <v>72</v>
      </c>
      <c r="S1674" t="s">
        <v>9096</v>
      </c>
      <c r="T1674" t="b">
        <v>1</v>
      </c>
      <c r="U1674" t="s">
        <v>9097</v>
      </c>
      <c r="V1674" t="s">
        <v>9098</v>
      </c>
      <c r="W1674" t="s">
        <v>9099</v>
      </c>
      <c r="X1674" t="s">
        <v>47</v>
      </c>
      <c r="AA1674" t="s">
        <v>9100</v>
      </c>
      <c r="AC1674" t="s">
        <v>63</v>
      </c>
      <c r="AD1674" t="b">
        <v>0</v>
      </c>
      <c r="AF1674">
        <v>8</v>
      </c>
      <c r="AG1674" t="s">
        <v>78</v>
      </c>
    </row>
    <row r="1675" spans="1:33" x14ac:dyDescent="0.2">
      <c r="A1675">
        <v>2013</v>
      </c>
      <c r="B1675" t="s">
        <v>9101</v>
      </c>
      <c r="C1675" t="s">
        <v>34</v>
      </c>
      <c r="D1675" t="s">
        <v>35</v>
      </c>
      <c r="E1675" t="s">
        <v>892</v>
      </c>
      <c r="F1675" t="s">
        <v>893</v>
      </c>
      <c r="G1675" t="s">
        <v>53</v>
      </c>
      <c r="H1675" t="s">
        <v>54</v>
      </c>
      <c r="I1675" t="s">
        <v>82</v>
      </c>
      <c r="J1675" t="s">
        <v>83</v>
      </c>
      <c r="K1675">
        <v>2020</v>
      </c>
      <c r="L1675">
        <v>2020</v>
      </c>
      <c r="M1675">
        <v>3.5</v>
      </c>
      <c r="N1675">
        <v>9.44</v>
      </c>
      <c r="O1675">
        <v>280.3</v>
      </c>
      <c r="P1675">
        <v>1.5</v>
      </c>
      <c r="Q1675">
        <v>0.64800000000000002</v>
      </c>
      <c r="R1675" t="s">
        <v>84</v>
      </c>
      <c r="S1675" t="s">
        <v>9102</v>
      </c>
      <c r="T1675" t="b">
        <v>1</v>
      </c>
      <c r="U1675" t="s">
        <v>9103</v>
      </c>
      <c r="V1675" t="s">
        <v>896</v>
      </c>
      <c r="W1675" t="s">
        <v>9104</v>
      </c>
      <c r="X1675" t="s">
        <v>47</v>
      </c>
      <c r="AA1675" t="s">
        <v>9105</v>
      </c>
      <c r="AC1675" t="s">
        <v>63</v>
      </c>
      <c r="AD1675" t="b">
        <v>0</v>
      </c>
      <c r="AF1675">
        <v>5</v>
      </c>
      <c r="AG1675" t="s">
        <v>89</v>
      </c>
    </row>
    <row r="1676" spans="1:33" x14ac:dyDescent="0.2">
      <c r="A1676">
        <v>2051</v>
      </c>
      <c r="B1676" t="s">
        <v>9106</v>
      </c>
      <c r="C1676" t="s">
        <v>34</v>
      </c>
      <c r="D1676" t="s">
        <v>35</v>
      </c>
      <c r="E1676" t="s">
        <v>9107</v>
      </c>
      <c r="F1676" t="s">
        <v>9108</v>
      </c>
      <c r="G1676" t="s">
        <v>53</v>
      </c>
      <c r="H1676" t="s">
        <v>54</v>
      </c>
      <c r="I1676" t="s">
        <v>118</v>
      </c>
      <c r="J1676" t="s">
        <v>119</v>
      </c>
      <c r="K1676">
        <v>2021</v>
      </c>
      <c r="L1676">
        <v>2021</v>
      </c>
      <c r="M1676">
        <v>1.2</v>
      </c>
      <c r="N1676">
        <v>5.4</v>
      </c>
      <c r="O1676">
        <v>107</v>
      </c>
      <c r="P1676">
        <v>1.3</v>
      </c>
      <c r="Q1676">
        <v>0.25600000000000001</v>
      </c>
      <c r="R1676" t="s">
        <v>84</v>
      </c>
      <c r="S1676" t="s">
        <v>9109</v>
      </c>
      <c r="T1676" t="b">
        <v>1</v>
      </c>
      <c r="U1676" t="s">
        <v>9110</v>
      </c>
      <c r="V1676" t="s">
        <v>9111</v>
      </c>
      <c r="W1676" t="s">
        <v>9112</v>
      </c>
      <c r="X1676" t="s">
        <v>47</v>
      </c>
      <c r="AA1676" t="s">
        <v>9113</v>
      </c>
      <c r="AB1676" t="s">
        <v>177</v>
      </c>
      <c r="AC1676" t="s">
        <v>9114</v>
      </c>
      <c r="AD1676" t="b">
        <v>0</v>
      </c>
      <c r="AF1676">
        <v>5</v>
      </c>
      <c r="AG1676" t="s">
        <v>89</v>
      </c>
    </row>
    <row r="1677" spans="1:33" x14ac:dyDescent="0.2">
      <c r="A1677">
        <v>486</v>
      </c>
      <c r="B1677" t="s">
        <v>9115</v>
      </c>
      <c r="C1677" t="s">
        <v>34</v>
      </c>
      <c r="D1677" t="s">
        <v>35</v>
      </c>
      <c r="E1677" t="s">
        <v>9107</v>
      </c>
      <c r="F1677" t="s">
        <v>9108</v>
      </c>
      <c r="G1677" t="s">
        <v>53</v>
      </c>
      <c r="H1677" t="s">
        <v>54</v>
      </c>
      <c r="I1677" t="s">
        <v>118</v>
      </c>
      <c r="J1677" t="s">
        <v>119</v>
      </c>
      <c r="K1677">
        <v>1939</v>
      </c>
      <c r="L1677">
        <v>2008</v>
      </c>
      <c r="M1677">
        <v>3.8</v>
      </c>
      <c r="N1677">
        <v>17.940000000000001</v>
      </c>
      <c r="O1677">
        <v>304.2</v>
      </c>
      <c r="P1677">
        <v>1.5</v>
      </c>
      <c r="Q1677">
        <v>0.70399999999999996</v>
      </c>
      <c r="R1677" t="s">
        <v>84</v>
      </c>
      <c r="S1677" t="s">
        <v>9116</v>
      </c>
      <c r="T1677" t="b">
        <v>1</v>
      </c>
      <c r="U1677" t="s">
        <v>9117</v>
      </c>
      <c r="V1677" t="s">
        <v>9111</v>
      </c>
      <c r="W1677" t="s">
        <v>9118</v>
      </c>
      <c r="X1677" t="s">
        <v>47</v>
      </c>
      <c r="AA1677" t="s">
        <v>9119</v>
      </c>
      <c r="AB1677" t="s">
        <v>49</v>
      </c>
      <c r="AC1677" t="s">
        <v>9114</v>
      </c>
      <c r="AD1677" t="b">
        <v>0</v>
      </c>
      <c r="AF1677">
        <v>5</v>
      </c>
      <c r="AG1677" t="s">
        <v>89</v>
      </c>
    </row>
    <row r="1678" spans="1:33" x14ac:dyDescent="0.2">
      <c r="A1678">
        <v>1496</v>
      </c>
      <c r="B1678" t="s">
        <v>9120</v>
      </c>
      <c r="C1678" t="s">
        <v>34</v>
      </c>
      <c r="D1678" t="s">
        <v>35</v>
      </c>
      <c r="E1678" t="s">
        <v>9121</v>
      </c>
      <c r="F1678" t="s">
        <v>9122</v>
      </c>
      <c r="G1678" t="s">
        <v>68</v>
      </c>
      <c r="H1678" t="s">
        <v>69</v>
      </c>
      <c r="I1678" t="s">
        <v>7744</v>
      </c>
      <c r="J1678" t="s">
        <v>231</v>
      </c>
      <c r="K1678">
        <v>2010</v>
      </c>
      <c r="L1678">
        <v>2010</v>
      </c>
      <c r="M1678">
        <v>0.98</v>
      </c>
      <c r="N1678">
        <v>2.6160000000000001</v>
      </c>
      <c r="O1678">
        <v>26</v>
      </c>
      <c r="P1678">
        <v>4.5</v>
      </c>
      <c r="R1678" t="s">
        <v>72</v>
      </c>
      <c r="S1678" t="s">
        <v>9123</v>
      </c>
      <c r="T1678" t="b">
        <v>1</v>
      </c>
      <c r="U1678" t="s">
        <v>9124</v>
      </c>
      <c r="V1678" t="s">
        <v>9125</v>
      </c>
      <c r="W1678" t="s">
        <v>9126</v>
      </c>
      <c r="X1678" t="s">
        <v>47</v>
      </c>
      <c r="AA1678" t="s">
        <v>9127</v>
      </c>
      <c r="AC1678" t="s">
        <v>63</v>
      </c>
      <c r="AD1678" t="b">
        <v>0</v>
      </c>
      <c r="AF1678">
        <v>8</v>
      </c>
      <c r="AG1678" t="s">
        <v>78</v>
      </c>
    </row>
    <row r="1679" spans="1:33" x14ac:dyDescent="0.2">
      <c r="A1679">
        <v>1778</v>
      </c>
      <c r="B1679" t="s">
        <v>9128</v>
      </c>
      <c r="C1679" t="s">
        <v>34</v>
      </c>
      <c r="D1679" t="s">
        <v>35</v>
      </c>
      <c r="E1679" t="s">
        <v>7131</v>
      </c>
      <c r="F1679" t="s">
        <v>7132</v>
      </c>
      <c r="G1679" t="s">
        <v>134</v>
      </c>
      <c r="H1679" t="s">
        <v>135</v>
      </c>
      <c r="I1679" t="s">
        <v>1616</v>
      </c>
      <c r="J1679" t="s">
        <v>462</v>
      </c>
      <c r="K1679">
        <v>2015</v>
      </c>
      <c r="L1679">
        <v>2015</v>
      </c>
      <c r="M1679">
        <v>9.1999999999999993</v>
      </c>
      <c r="N1679">
        <v>25.696999999999999</v>
      </c>
      <c r="O1679">
        <v>208.5</v>
      </c>
      <c r="P1679">
        <v>5.3</v>
      </c>
      <c r="Q1679">
        <v>0.48199999999999998</v>
      </c>
      <c r="R1679" t="s">
        <v>42</v>
      </c>
      <c r="S1679" t="s">
        <v>7133</v>
      </c>
      <c r="T1679" t="b">
        <v>1</v>
      </c>
      <c r="U1679" t="s">
        <v>9129</v>
      </c>
      <c r="V1679" t="s">
        <v>7135</v>
      </c>
      <c r="W1679" t="s">
        <v>9130</v>
      </c>
      <c r="X1679" t="s">
        <v>47</v>
      </c>
      <c r="AA1679" t="s">
        <v>7137</v>
      </c>
      <c r="AB1679" t="s">
        <v>177</v>
      </c>
      <c r="AC1679" t="s">
        <v>7138</v>
      </c>
      <c r="AD1679" t="b">
        <v>0</v>
      </c>
      <c r="AF1679">
        <v>10</v>
      </c>
      <c r="AG1679" t="s">
        <v>143</v>
      </c>
    </row>
    <row r="1680" spans="1:33" x14ac:dyDescent="0.2">
      <c r="A1680">
        <v>1466</v>
      </c>
      <c r="B1680" t="s">
        <v>9131</v>
      </c>
      <c r="C1680" t="s">
        <v>34</v>
      </c>
      <c r="D1680" t="s">
        <v>35</v>
      </c>
      <c r="E1680" t="s">
        <v>9132</v>
      </c>
      <c r="F1680" t="s">
        <v>9133</v>
      </c>
      <c r="G1680" t="s">
        <v>53</v>
      </c>
      <c r="H1680" t="s">
        <v>54</v>
      </c>
      <c r="I1680" t="s">
        <v>147</v>
      </c>
      <c r="J1680" t="s">
        <v>148</v>
      </c>
      <c r="K1680">
        <v>2006</v>
      </c>
      <c r="L1680">
        <v>2006</v>
      </c>
      <c r="M1680">
        <v>0.92</v>
      </c>
      <c r="N1680">
        <v>7.3079999999999998</v>
      </c>
      <c r="O1680">
        <v>56</v>
      </c>
      <c r="P1680">
        <v>2</v>
      </c>
      <c r="R1680" t="s">
        <v>72</v>
      </c>
      <c r="S1680" t="s">
        <v>9134</v>
      </c>
      <c r="T1680" t="b">
        <v>1</v>
      </c>
      <c r="U1680" t="s">
        <v>1305</v>
      </c>
      <c r="V1680" t="s">
        <v>9135</v>
      </c>
      <c r="W1680" t="s">
        <v>9136</v>
      </c>
      <c r="X1680" t="s">
        <v>47</v>
      </c>
      <c r="AA1680" t="s">
        <v>374</v>
      </c>
      <c r="AC1680" t="s">
        <v>375</v>
      </c>
      <c r="AD1680" t="b">
        <v>0</v>
      </c>
      <c r="AF1680">
        <v>13</v>
      </c>
      <c r="AG1680" t="s">
        <v>155</v>
      </c>
    </row>
    <row r="1681" spans="1:33" x14ac:dyDescent="0.2">
      <c r="A1681">
        <v>487</v>
      </c>
      <c r="B1681" t="s">
        <v>9137</v>
      </c>
      <c r="C1681" t="s">
        <v>34</v>
      </c>
      <c r="D1681" t="s">
        <v>35</v>
      </c>
      <c r="E1681" t="s">
        <v>961</v>
      </c>
      <c r="F1681" t="s">
        <v>962</v>
      </c>
      <c r="G1681" t="s">
        <v>242</v>
      </c>
      <c r="H1681" t="s">
        <v>243</v>
      </c>
      <c r="I1681" t="s">
        <v>2193</v>
      </c>
      <c r="J1681" t="s">
        <v>378</v>
      </c>
      <c r="K1681">
        <v>1942</v>
      </c>
      <c r="L1681">
        <v>1942</v>
      </c>
      <c r="M1681">
        <v>4.2770000000000001</v>
      </c>
      <c r="N1681">
        <v>17.282</v>
      </c>
      <c r="O1681">
        <v>187</v>
      </c>
      <c r="P1681">
        <v>3</v>
      </c>
      <c r="Q1681">
        <v>0.39600000000000002</v>
      </c>
      <c r="R1681" t="s">
        <v>72</v>
      </c>
      <c r="S1681" t="s">
        <v>9138</v>
      </c>
      <c r="T1681" t="b">
        <v>1</v>
      </c>
      <c r="U1681" t="s">
        <v>4530</v>
      </c>
      <c r="V1681" t="s">
        <v>967</v>
      </c>
      <c r="W1681" t="s">
        <v>9139</v>
      </c>
      <c r="X1681" t="s">
        <v>47</v>
      </c>
      <c r="AA1681" t="s">
        <v>9140</v>
      </c>
      <c r="AB1681" t="s">
        <v>49</v>
      </c>
      <c r="AC1681" t="s">
        <v>2944</v>
      </c>
      <c r="AD1681" t="b">
        <v>0</v>
      </c>
      <c r="AF1681">
        <v>8</v>
      </c>
      <c r="AG1681" t="s">
        <v>78</v>
      </c>
    </row>
    <row r="1682" spans="1:33" x14ac:dyDescent="0.2">
      <c r="A1682">
        <v>1573</v>
      </c>
      <c r="B1682" t="s">
        <v>9141</v>
      </c>
      <c r="C1682" t="s">
        <v>34</v>
      </c>
      <c r="D1682" t="s">
        <v>35</v>
      </c>
      <c r="E1682" t="s">
        <v>4711</v>
      </c>
      <c r="F1682" t="s">
        <v>4712</v>
      </c>
      <c r="G1682" t="s">
        <v>38</v>
      </c>
      <c r="H1682" t="s">
        <v>39</v>
      </c>
      <c r="I1682" t="s">
        <v>4713</v>
      </c>
      <c r="J1682" t="s">
        <v>227</v>
      </c>
      <c r="K1682">
        <v>2010</v>
      </c>
      <c r="L1682">
        <v>2010</v>
      </c>
      <c r="M1682">
        <v>1</v>
      </c>
      <c r="N1682">
        <v>4.1639999999999997</v>
      </c>
      <c r="O1682">
        <v>43.15</v>
      </c>
      <c r="P1682">
        <v>2.8</v>
      </c>
      <c r="Q1682">
        <v>9.9000000000000005E-2</v>
      </c>
      <c r="R1682" t="s">
        <v>42</v>
      </c>
      <c r="S1682" t="s">
        <v>9142</v>
      </c>
      <c r="T1682" t="b">
        <v>1</v>
      </c>
      <c r="U1682" t="s">
        <v>9143</v>
      </c>
      <c r="V1682" t="s">
        <v>4716</v>
      </c>
      <c r="W1682" t="s">
        <v>4717</v>
      </c>
      <c r="X1682" t="s">
        <v>47</v>
      </c>
      <c r="AA1682" t="s">
        <v>4718</v>
      </c>
      <c r="AB1682" t="s">
        <v>177</v>
      </c>
      <c r="AC1682" t="s">
        <v>4719</v>
      </c>
      <c r="AD1682" t="b">
        <v>0</v>
      </c>
      <c r="AF1682">
        <v>12</v>
      </c>
      <c r="AG1682" t="s">
        <v>51</v>
      </c>
    </row>
    <row r="1683" spans="1:33" x14ac:dyDescent="0.2">
      <c r="A1683">
        <v>1769</v>
      </c>
      <c r="B1683" t="s">
        <v>9144</v>
      </c>
      <c r="C1683" t="s">
        <v>34</v>
      </c>
      <c r="D1683" t="s">
        <v>35</v>
      </c>
      <c r="E1683" t="s">
        <v>168</v>
      </c>
      <c r="F1683" t="s">
        <v>169</v>
      </c>
      <c r="G1683" t="s">
        <v>93</v>
      </c>
      <c r="H1683" t="s">
        <v>94</v>
      </c>
      <c r="I1683" t="s">
        <v>4970</v>
      </c>
      <c r="J1683" t="s">
        <v>109</v>
      </c>
      <c r="K1683">
        <v>2014</v>
      </c>
      <c r="L1683">
        <v>2014</v>
      </c>
      <c r="M1683">
        <v>1.93</v>
      </c>
      <c r="N1683">
        <v>3.8780000000000001</v>
      </c>
      <c r="O1683">
        <v>248</v>
      </c>
      <c r="P1683">
        <v>0.85</v>
      </c>
      <c r="Q1683">
        <v>0.63100000000000001</v>
      </c>
      <c r="R1683" t="s">
        <v>72</v>
      </c>
      <c r="S1683" t="s">
        <v>9145</v>
      </c>
      <c r="T1683" t="b">
        <v>1</v>
      </c>
      <c r="U1683" t="s">
        <v>9146</v>
      </c>
      <c r="V1683" t="s">
        <v>174</v>
      </c>
      <c r="W1683" t="s">
        <v>9147</v>
      </c>
      <c r="X1683" t="s">
        <v>47</v>
      </c>
      <c r="AA1683" t="s">
        <v>340</v>
      </c>
      <c r="AB1683" t="s">
        <v>567</v>
      </c>
      <c r="AC1683" t="s">
        <v>1063</v>
      </c>
      <c r="AD1683" t="b">
        <v>0</v>
      </c>
      <c r="AF1683">
        <v>8</v>
      </c>
      <c r="AG1683" t="s">
        <v>78</v>
      </c>
    </row>
    <row r="1684" spans="1:33" x14ac:dyDescent="0.2">
      <c r="A1684">
        <v>488</v>
      </c>
      <c r="B1684" t="s">
        <v>9148</v>
      </c>
      <c r="C1684" t="s">
        <v>34</v>
      </c>
      <c r="D1684" t="s">
        <v>35</v>
      </c>
      <c r="E1684" t="s">
        <v>277</v>
      </c>
      <c r="F1684" t="s">
        <v>278</v>
      </c>
      <c r="G1684" t="s">
        <v>916</v>
      </c>
      <c r="H1684" t="s">
        <v>567</v>
      </c>
      <c r="I1684" t="s">
        <v>2112</v>
      </c>
      <c r="J1684" t="s">
        <v>135</v>
      </c>
      <c r="K1684">
        <v>1915</v>
      </c>
      <c r="L1684">
        <v>1915</v>
      </c>
      <c r="M1684">
        <v>344</v>
      </c>
      <c r="N1684">
        <v>1565.42</v>
      </c>
      <c r="O1684">
        <v>27.5</v>
      </c>
      <c r="P1684">
        <v>1450</v>
      </c>
      <c r="Q1684">
        <v>6.7000000000000004E-2</v>
      </c>
      <c r="R1684" t="s">
        <v>97</v>
      </c>
      <c r="S1684" t="s">
        <v>2113</v>
      </c>
      <c r="T1684" t="b">
        <v>1</v>
      </c>
      <c r="U1684" t="s">
        <v>9149</v>
      </c>
      <c r="V1684" t="s">
        <v>2115</v>
      </c>
      <c r="W1684" t="s">
        <v>9150</v>
      </c>
      <c r="X1684" t="s">
        <v>47</v>
      </c>
      <c r="AA1684" t="s">
        <v>340</v>
      </c>
      <c r="AB1684" t="s">
        <v>69</v>
      </c>
      <c r="AC1684" t="s">
        <v>341</v>
      </c>
      <c r="AD1684" t="b">
        <v>0</v>
      </c>
      <c r="AF1684">
        <v>1</v>
      </c>
      <c r="AG1684" t="s">
        <v>104</v>
      </c>
    </row>
    <row r="1685" spans="1:33" x14ac:dyDescent="0.2">
      <c r="A1685">
        <v>1821</v>
      </c>
      <c r="B1685" t="s">
        <v>9151</v>
      </c>
      <c r="C1685" t="s">
        <v>34</v>
      </c>
      <c r="D1685" t="s">
        <v>35</v>
      </c>
      <c r="E1685" t="s">
        <v>9152</v>
      </c>
      <c r="F1685" t="s">
        <v>9153</v>
      </c>
      <c r="G1685" t="s">
        <v>53</v>
      </c>
      <c r="H1685" t="s">
        <v>54</v>
      </c>
      <c r="I1685" t="s">
        <v>55</v>
      </c>
      <c r="J1685" t="s">
        <v>56</v>
      </c>
      <c r="K1685">
        <v>2018</v>
      </c>
      <c r="L1685">
        <v>2018</v>
      </c>
      <c r="M1685">
        <v>9.5</v>
      </c>
      <c r="N1685">
        <v>12.811</v>
      </c>
      <c r="O1685">
        <v>481.55</v>
      </c>
      <c r="P1685">
        <v>2.23</v>
      </c>
      <c r="Q1685">
        <v>1.1830000000000001</v>
      </c>
      <c r="R1685" t="s">
        <v>57</v>
      </c>
      <c r="S1685" t="s">
        <v>9154</v>
      </c>
      <c r="T1685" t="b">
        <v>1</v>
      </c>
      <c r="U1685" t="s">
        <v>9155</v>
      </c>
      <c r="V1685" t="s">
        <v>9156</v>
      </c>
      <c r="W1685" t="s">
        <v>9157</v>
      </c>
      <c r="X1685" t="s">
        <v>47</v>
      </c>
      <c r="AA1685" t="s">
        <v>741</v>
      </c>
      <c r="AB1685" t="s">
        <v>401</v>
      </c>
      <c r="AC1685" t="s">
        <v>742</v>
      </c>
      <c r="AD1685" t="b">
        <v>0</v>
      </c>
      <c r="AF1685">
        <v>6</v>
      </c>
      <c r="AG1685" t="s">
        <v>64</v>
      </c>
    </row>
    <row r="1686" spans="1:33" x14ac:dyDescent="0.2">
      <c r="A1686">
        <v>490</v>
      </c>
      <c r="B1686" t="s">
        <v>9158</v>
      </c>
      <c r="C1686" t="s">
        <v>34</v>
      </c>
      <c r="D1686" t="s">
        <v>35</v>
      </c>
      <c r="E1686" t="s">
        <v>1574</v>
      </c>
      <c r="F1686" t="s">
        <v>1575</v>
      </c>
      <c r="G1686" t="s">
        <v>134</v>
      </c>
      <c r="H1686" t="s">
        <v>135</v>
      </c>
      <c r="I1686" t="s">
        <v>804</v>
      </c>
      <c r="J1686" t="s">
        <v>805</v>
      </c>
      <c r="K1686">
        <v>1942</v>
      </c>
      <c r="L1686">
        <v>1942</v>
      </c>
      <c r="M1686">
        <v>3.5</v>
      </c>
      <c r="N1686">
        <v>12.192</v>
      </c>
      <c r="O1686">
        <v>313</v>
      </c>
      <c r="P1686">
        <v>1.4</v>
      </c>
      <c r="Q1686">
        <v>0.69399999999999995</v>
      </c>
      <c r="R1686" t="s">
        <v>42</v>
      </c>
      <c r="S1686" t="s">
        <v>9159</v>
      </c>
      <c r="T1686" t="b">
        <v>1</v>
      </c>
      <c r="U1686" t="s">
        <v>4530</v>
      </c>
      <c r="V1686" t="s">
        <v>1577</v>
      </c>
      <c r="W1686" t="s">
        <v>9160</v>
      </c>
      <c r="X1686" t="s">
        <v>47</v>
      </c>
      <c r="AA1686" t="s">
        <v>9161</v>
      </c>
      <c r="AB1686" t="s">
        <v>49</v>
      </c>
      <c r="AC1686" t="s">
        <v>9162</v>
      </c>
      <c r="AD1686" t="b">
        <v>0</v>
      </c>
      <c r="AF1686">
        <v>11</v>
      </c>
      <c r="AG1686" t="s">
        <v>198</v>
      </c>
    </row>
    <row r="1687" spans="1:33" x14ac:dyDescent="0.2">
      <c r="A1687">
        <v>1410</v>
      </c>
      <c r="B1687" t="s">
        <v>9163</v>
      </c>
      <c r="C1687" t="s">
        <v>34</v>
      </c>
      <c r="D1687" t="s">
        <v>35</v>
      </c>
      <c r="E1687" t="s">
        <v>3805</v>
      </c>
      <c r="F1687" t="s">
        <v>3806</v>
      </c>
      <c r="G1687" t="s">
        <v>53</v>
      </c>
      <c r="H1687" t="s">
        <v>54</v>
      </c>
      <c r="I1687" t="s">
        <v>532</v>
      </c>
      <c r="J1687" t="s">
        <v>533</v>
      </c>
      <c r="K1687">
        <v>2008</v>
      </c>
      <c r="L1687">
        <v>2008</v>
      </c>
      <c r="M1687">
        <v>3.8</v>
      </c>
      <c r="N1687">
        <v>9.3140000000000001</v>
      </c>
      <c r="O1687">
        <v>510</v>
      </c>
      <c r="P1687">
        <v>0.93</v>
      </c>
      <c r="Q1687">
        <v>1.135</v>
      </c>
      <c r="R1687" t="s">
        <v>57</v>
      </c>
      <c r="S1687" t="s">
        <v>9164</v>
      </c>
      <c r="T1687" t="b">
        <v>1</v>
      </c>
      <c r="U1687" t="s">
        <v>9165</v>
      </c>
      <c r="V1687" t="s">
        <v>3809</v>
      </c>
      <c r="W1687" t="s">
        <v>9166</v>
      </c>
      <c r="X1687" t="s">
        <v>47</v>
      </c>
      <c r="AA1687" t="s">
        <v>2689</v>
      </c>
      <c r="AB1687" t="s">
        <v>539</v>
      </c>
      <c r="AC1687" t="s">
        <v>2690</v>
      </c>
      <c r="AD1687" t="b">
        <v>0</v>
      </c>
      <c r="AF1687">
        <v>7</v>
      </c>
      <c r="AG1687" t="s">
        <v>469</v>
      </c>
    </row>
    <row r="1688" spans="1:33" x14ac:dyDescent="0.2">
      <c r="A1688">
        <v>1397</v>
      </c>
      <c r="B1688" t="s">
        <v>9167</v>
      </c>
      <c r="C1688" t="s">
        <v>34</v>
      </c>
      <c r="D1688" t="s">
        <v>35</v>
      </c>
      <c r="E1688" t="s">
        <v>501</v>
      </c>
      <c r="F1688" t="s">
        <v>502</v>
      </c>
      <c r="G1688" t="s">
        <v>242</v>
      </c>
      <c r="H1688" t="s">
        <v>243</v>
      </c>
      <c r="I1688" t="s">
        <v>9168</v>
      </c>
      <c r="J1688" t="s">
        <v>148</v>
      </c>
      <c r="K1688">
        <v>1914</v>
      </c>
      <c r="L1688">
        <v>1914</v>
      </c>
      <c r="M1688">
        <v>0.78500000000000003</v>
      </c>
      <c r="N1688">
        <v>3.8359999999999999</v>
      </c>
      <c r="R1688" t="s">
        <v>72</v>
      </c>
      <c r="S1688" t="s">
        <v>9169</v>
      </c>
      <c r="T1688" t="b">
        <v>1</v>
      </c>
      <c r="U1688" t="s">
        <v>9170</v>
      </c>
      <c r="V1688" t="s">
        <v>507</v>
      </c>
      <c r="W1688" t="s">
        <v>113</v>
      </c>
      <c r="X1688" t="s">
        <v>47</v>
      </c>
      <c r="AA1688" t="s">
        <v>261</v>
      </c>
      <c r="AC1688" t="s">
        <v>63</v>
      </c>
      <c r="AD1688" t="b">
        <v>0</v>
      </c>
      <c r="AF1688">
        <v>9</v>
      </c>
      <c r="AG1688" t="s">
        <v>251</v>
      </c>
    </row>
    <row r="1689" spans="1:33" x14ac:dyDescent="0.2">
      <c r="A1689">
        <v>1013</v>
      </c>
      <c r="B1689" t="s">
        <v>9171</v>
      </c>
      <c r="C1689" t="s">
        <v>34</v>
      </c>
      <c r="D1689" t="s">
        <v>35</v>
      </c>
      <c r="E1689" t="s">
        <v>9172</v>
      </c>
      <c r="F1689" t="s">
        <v>9173</v>
      </c>
      <c r="G1689" t="s">
        <v>213</v>
      </c>
      <c r="H1689" t="s">
        <v>83</v>
      </c>
      <c r="I1689" t="s">
        <v>635</v>
      </c>
      <c r="J1689" t="s">
        <v>94</v>
      </c>
      <c r="K1689">
        <v>2003</v>
      </c>
      <c r="L1689">
        <v>2003</v>
      </c>
      <c r="M1689">
        <v>0.27</v>
      </c>
      <c r="N1689">
        <v>1.095</v>
      </c>
      <c r="R1689" t="s">
        <v>84</v>
      </c>
      <c r="S1689" t="s">
        <v>636</v>
      </c>
      <c r="T1689" t="b">
        <v>1</v>
      </c>
      <c r="U1689" t="s">
        <v>2246</v>
      </c>
      <c r="V1689" t="s">
        <v>9174</v>
      </c>
      <c r="W1689" t="s">
        <v>9175</v>
      </c>
      <c r="X1689" t="s">
        <v>47</v>
      </c>
      <c r="AA1689" t="s">
        <v>114</v>
      </c>
      <c r="AC1689" t="s">
        <v>63</v>
      </c>
      <c r="AD1689" t="b">
        <v>0</v>
      </c>
      <c r="AF1689">
        <v>3</v>
      </c>
      <c r="AG1689" t="s">
        <v>332</v>
      </c>
    </row>
    <row r="1690" spans="1:33" x14ac:dyDescent="0.2">
      <c r="A1690">
        <v>1169</v>
      </c>
      <c r="B1690" t="s">
        <v>9176</v>
      </c>
      <c r="C1690" t="s">
        <v>34</v>
      </c>
      <c r="D1690" t="s">
        <v>35</v>
      </c>
      <c r="E1690" t="s">
        <v>277</v>
      </c>
      <c r="F1690" t="s">
        <v>278</v>
      </c>
      <c r="G1690" t="s">
        <v>93</v>
      </c>
      <c r="H1690" t="s">
        <v>94</v>
      </c>
      <c r="I1690" t="s">
        <v>386</v>
      </c>
      <c r="J1690" t="s">
        <v>49</v>
      </c>
      <c r="K1690">
        <v>1985</v>
      </c>
      <c r="L1690">
        <v>1985</v>
      </c>
      <c r="M1690">
        <v>0.6</v>
      </c>
      <c r="N1690">
        <v>0.97899999999999998</v>
      </c>
      <c r="R1690" t="s">
        <v>97</v>
      </c>
      <c r="S1690" t="s">
        <v>9177</v>
      </c>
      <c r="T1690" t="b">
        <v>1</v>
      </c>
      <c r="U1690" t="s">
        <v>9178</v>
      </c>
      <c r="V1690" t="s">
        <v>389</v>
      </c>
      <c r="W1690" t="s">
        <v>390</v>
      </c>
      <c r="X1690" t="s">
        <v>47</v>
      </c>
      <c r="AA1690" t="s">
        <v>391</v>
      </c>
      <c r="AC1690" t="s">
        <v>392</v>
      </c>
      <c r="AD1690" t="b">
        <v>0</v>
      </c>
      <c r="AF1690">
        <v>1</v>
      </c>
      <c r="AG1690" t="s">
        <v>104</v>
      </c>
    </row>
    <row r="1691" spans="1:33" x14ac:dyDescent="0.2">
      <c r="A1691">
        <v>928</v>
      </c>
      <c r="B1691" t="s">
        <v>9179</v>
      </c>
      <c r="C1691" t="s">
        <v>34</v>
      </c>
      <c r="D1691" t="s">
        <v>35</v>
      </c>
      <c r="E1691" t="s">
        <v>682</v>
      </c>
      <c r="F1691" t="s">
        <v>683</v>
      </c>
      <c r="G1691" t="s">
        <v>68</v>
      </c>
      <c r="H1691" t="s">
        <v>69</v>
      </c>
      <c r="I1691" t="s">
        <v>70</v>
      </c>
      <c r="J1691" t="s">
        <v>71</v>
      </c>
      <c r="K1691">
        <v>1934</v>
      </c>
      <c r="L1691">
        <v>1934</v>
      </c>
      <c r="M1691">
        <v>0.46</v>
      </c>
      <c r="N1691">
        <v>3.4670000000000001</v>
      </c>
      <c r="O1691">
        <v>393.75</v>
      </c>
      <c r="P1691">
        <v>0.22500000000000001</v>
      </c>
      <c r="Q1691">
        <v>0.56799999999999995</v>
      </c>
      <c r="R1691" t="s">
        <v>72</v>
      </c>
      <c r="S1691" t="s">
        <v>9180</v>
      </c>
      <c r="T1691" t="b">
        <v>1</v>
      </c>
      <c r="U1691" t="s">
        <v>5438</v>
      </c>
      <c r="V1691" t="s">
        <v>686</v>
      </c>
      <c r="W1691" t="s">
        <v>9181</v>
      </c>
      <c r="X1691" t="s">
        <v>47</v>
      </c>
      <c r="AA1691" t="s">
        <v>479</v>
      </c>
      <c r="AC1691" t="s">
        <v>63</v>
      </c>
      <c r="AD1691" t="b">
        <v>0</v>
      </c>
      <c r="AF1691">
        <v>8</v>
      </c>
      <c r="AG1691" t="s">
        <v>78</v>
      </c>
    </row>
    <row r="1692" spans="1:33" x14ac:dyDescent="0.2">
      <c r="A1692">
        <v>2027</v>
      </c>
      <c r="B1692" t="s">
        <v>9182</v>
      </c>
      <c r="C1692" t="s">
        <v>34</v>
      </c>
      <c r="D1692" t="s">
        <v>35</v>
      </c>
      <c r="E1692" t="s">
        <v>9183</v>
      </c>
      <c r="F1692" t="s">
        <v>9184</v>
      </c>
      <c r="G1692" t="s">
        <v>53</v>
      </c>
      <c r="H1692" t="s">
        <v>54</v>
      </c>
      <c r="I1692" t="s">
        <v>147</v>
      </c>
      <c r="J1692" t="s">
        <v>148</v>
      </c>
      <c r="K1692">
        <v>2021</v>
      </c>
      <c r="L1692">
        <v>2021</v>
      </c>
      <c r="M1692">
        <v>6.8</v>
      </c>
      <c r="N1692">
        <v>21.399000000000001</v>
      </c>
      <c r="O1692">
        <v>162</v>
      </c>
      <c r="P1692">
        <v>5</v>
      </c>
      <c r="Q1692">
        <v>0.315</v>
      </c>
      <c r="R1692" t="s">
        <v>72</v>
      </c>
      <c r="S1692" t="s">
        <v>9185</v>
      </c>
      <c r="T1692" t="b">
        <v>1</v>
      </c>
      <c r="U1692" t="s">
        <v>7121</v>
      </c>
      <c r="V1692" t="s">
        <v>9186</v>
      </c>
      <c r="W1692" t="s">
        <v>9187</v>
      </c>
      <c r="X1692" t="s">
        <v>47</v>
      </c>
      <c r="AA1692" t="s">
        <v>153</v>
      </c>
      <c r="AC1692" t="s">
        <v>154</v>
      </c>
      <c r="AD1692" t="b">
        <v>0</v>
      </c>
      <c r="AF1692">
        <v>13</v>
      </c>
      <c r="AG1692" t="s">
        <v>155</v>
      </c>
    </row>
    <row r="1693" spans="1:33" x14ac:dyDescent="0.2">
      <c r="A1693">
        <v>1503</v>
      </c>
      <c r="B1693" t="s">
        <v>9188</v>
      </c>
      <c r="C1693" t="s">
        <v>34</v>
      </c>
      <c r="D1693" t="s">
        <v>35</v>
      </c>
      <c r="E1693" t="s">
        <v>9189</v>
      </c>
      <c r="F1693" t="s">
        <v>9190</v>
      </c>
      <c r="G1693" t="s">
        <v>53</v>
      </c>
      <c r="H1693" t="s">
        <v>54</v>
      </c>
      <c r="I1693" t="s">
        <v>2058</v>
      </c>
      <c r="J1693" t="s">
        <v>354</v>
      </c>
      <c r="K1693">
        <v>2008</v>
      </c>
      <c r="L1693">
        <v>2008</v>
      </c>
      <c r="M1693">
        <v>0.32</v>
      </c>
      <c r="N1693">
        <v>1.3560000000000001</v>
      </c>
      <c r="O1693">
        <v>76</v>
      </c>
      <c r="P1693">
        <v>0.5</v>
      </c>
      <c r="R1693" t="s">
        <v>72</v>
      </c>
      <c r="S1693" t="s">
        <v>9191</v>
      </c>
      <c r="T1693" t="b">
        <v>1</v>
      </c>
      <c r="U1693" t="s">
        <v>9192</v>
      </c>
      <c r="V1693" t="s">
        <v>9193</v>
      </c>
      <c r="W1693" t="s">
        <v>9194</v>
      </c>
      <c r="X1693" t="s">
        <v>47</v>
      </c>
      <c r="AA1693" t="s">
        <v>9195</v>
      </c>
      <c r="AC1693" t="s">
        <v>63</v>
      </c>
      <c r="AD1693" t="b">
        <v>0</v>
      </c>
      <c r="AF1693">
        <v>13</v>
      </c>
      <c r="AG1693" t="s">
        <v>155</v>
      </c>
    </row>
    <row r="1694" spans="1:33" x14ac:dyDescent="0.2">
      <c r="A1694">
        <v>1950</v>
      </c>
      <c r="B1694" t="s">
        <v>9196</v>
      </c>
      <c r="C1694" t="s">
        <v>34</v>
      </c>
      <c r="D1694" t="s">
        <v>35</v>
      </c>
      <c r="E1694" t="s">
        <v>132</v>
      </c>
      <c r="F1694" t="s">
        <v>133</v>
      </c>
      <c r="G1694" t="s">
        <v>134</v>
      </c>
      <c r="H1694" t="s">
        <v>135</v>
      </c>
      <c r="I1694" t="s">
        <v>1418</v>
      </c>
      <c r="J1694" t="s">
        <v>676</v>
      </c>
      <c r="K1694">
        <v>2019</v>
      </c>
      <c r="L1694">
        <v>2019</v>
      </c>
      <c r="M1694">
        <v>8.56</v>
      </c>
      <c r="N1694">
        <v>37.792999999999999</v>
      </c>
      <c r="O1694">
        <v>416.7</v>
      </c>
      <c r="P1694">
        <v>2.7</v>
      </c>
      <c r="Q1694">
        <v>0.88100000000000001</v>
      </c>
      <c r="R1694" t="s">
        <v>42</v>
      </c>
      <c r="S1694" t="s">
        <v>9197</v>
      </c>
      <c r="T1694" t="b">
        <v>1</v>
      </c>
      <c r="U1694" t="s">
        <v>9198</v>
      </c>
      <c r="V1694" t="s">
        <v>139</v>
      </c>
      <c r="W1694" t="s">
        <v>9199</v>
      </c>
      <c r="X1694" t="s">
        <v>47</v>
      </c>
      <c r="AA1694" t="s">
        <v>5245</v>
      </c>
      <c r="AB1694" t="s">
        <v>49</v>
      </c>
      <c r="AC1694" t="s">
        <v>9200</v>
      </c>
      <c r="AD1694" t="b">
        <v>0</v>
      </c>
      <c r="AF1694">
        <v>10</v>
      </c>
      <c r="AG1694" t="s">
        <v>143</v>
      </c>
    </row>
    <row r="1695" spans="1:33" x14ac:dyDescent="0.2">
      <c r="A1695">
        <v>1379</v>
      </c>
      <c r="B1695" t="s">
        <v>9201</v>
      </c>
      <c r="C1695" t="s">
        <v>34</v>
      </c>
      <c r="D1695" t="s">
        <v>35</v>
      </c>
      <c r="E1695" t="s">
        <v>9202</v>
      </c>
      <c r="F1695" t="s">
        <v>9203</v>
      </c>
      <c r="G1695" t="s">
        <v>312</v>
      </c>
      <c r="H1695" t="s">
        <v>313</v>
      </c>
      <c r="I1695" t="s">
        <v>1385</v>
      </c>
      <c r="J1695" t="s">
        <v>337</v>
      </c>
      <c r="K1695">
        <v>2008</v>
      </c>
      <c r="L1695">
        <v>2008</v>
      </c>
      <c r="M1695">
        <v>5.5</v>
      </c>
      <c r="N1695">
        <v>25.460999999999999</v>
      </c>
      <c r="O1695">
        <v>134</v>
      </c>
      <c r="P1695">
        <v>4.5</v>
      </c>
      <c r="Q1695">
        <v>0.34</v>
      </c>
      <c r="R1695" t="s">
        <v>84</v>
      </c>
      <c r="S1695" t="s">
        <v>9204</v>
      </c>
      <c r="T1695" t="b">
        <v>1</v>
      </c>
      <c r="U1695" t="s">
        <v>5460</v>
      </c>
      <c r="V1695" t="s">
        <v>9205</v>
      </c>
      <c r="W1695" t="s">
        <v>9206</v>
      </c>
      <c r="X1695" t="s">
        <v>47</v>
      </c>
      <c r="AA1695" t="s">
        <v>860</v>
      </c>
      <c r="AB1695" t="s">
        <v>1077</v>
      </c>
      <c r="AC1695" t="s">
        <v>861</v>
      </c>
      <c r="AD1695" t="b">
        <v>0</v>
      </c>
      <c r="AF1695">
        <v>4</v>
      </c>
      <c r="AG1695" t="s">
        <v>321</v>
      </c>
    </row>
    <row r="1696" spans="1:33" x14ac:dyDescent="0.2">
      <c r="A1696">
        <v>491</v>
      </c>
      <c r="B1696" t="s">
        <v>9207</v>
      </c>
      <c r="C1696" t="s">
        <v>574</v>
      </c>
      <c r="D1696" t="s">
        <v>575</v>
      </c>
      <c r="E1696" t="s">
        <v>1639</v>
      </c>
      <c r="F1696" t="s">
        <v>1640</v>
      </c>
      <c r="G1696" t="s">
        <v>242</v>
      </c>
      <c r="H1696" t="s">
        <v>243</v>
      </c>
      <c r="I1696" t="s">
        <v>2718</v>
      </c>
      <c r="J1696" t="s">
        <v>56</v>
      </c>
      <c r="K1696">
        <v>1973</v>
      </c>
      <c r="L1696">
        <v>1973</v>
      </c>
      <c r="M1696">
        <v>-10</v>
      </c>
      <c r="N1696">
        <v>-20.853000000000002</v>
      </c>
      <c r="O1696">
        <v>0</v>
      </c>
      <c r="P1696">
        <v>9.98</v>
      </c>
      <c r="Q1696">
        <v>-0.27700000000000002</v>
      </c>
      <c r="R1696" t="s">
        <v>72</v>
      </c>
      <c r="S1696" t="s">
        <v>9208</v>
      </c>
      <c r="T1696" t="b">
        <v>1</v>
      </c>
      <c r="U1696" t="s">
        <v>44</v>
      </c>
      <c r="V1696" t="s">
        <v>1643</v>
      </c>
      <c r="W1696" t="s">
        <v>9209</v>
      </c>
      <c r="X1696" t="s">
        <v>47</v>
      </c>
      <c r="AA1696" t="s">
        <v>1638</v>
      </c>
      <c r="AB1696" t="s">
        <v>313</v>
      </c>
      <c r="AC1696" t="s">
        <v>1645</v>
      </c>
      <c r="AD1696" t="b">
        <v>0</v>
      </c>
      <c r="AF1696">
        <v>8</v>
      </c>
      <c r="AG1696" t="s">
        <v>78</v>
      </c>
    </row>
    <row r="1697" spans="1:33" x14ac:dyDescent="0.2">
      <c r="A1697">
        <v>956</v>
      </c>
      <c r="B1697" t="s">
        <v>9210</v>
      </c>
      <c r="C1697" t="s">
        <v>34</v>
      </c>
      <c r="D1697" t="s">
        <v>35</v>
      </c>
      <c r="E1697" t="s">
        <v>9211</v>
      </c>
      <c r="F1697" t="s">
        <v>9212</v>
      </c>
      <c r="G1697" t="s">
        <v>53</v>
      </c>
      <c r="H1697" t="s">
        <v>54</v>
      </c>
      <c r="I1697" t="s">
        <v>1165</v>
      </c>
      <c r="J1697" t="s">
        <v>1166</v>
      </c>
      <c r="K1697">
        <v>2000</v>
      </c>
      <c r="L1697">
        <v>2000</v>
      </c>
      <c r="M1697">
        <v>0.65</v>
      </c>
      <c r="N1697">
        <v>3.0110000000000001</v>
      </c>
      <c r="R1697" t="s">
        <v>72</v>
      </c>
      <c r="S1697" t="s">
        <v>9213</v>
      </c>
      <c r="T1697" t="b">
        <v>1</v>
      </c>
      <c r="U1697" t="s">
        <v>9214</v>
      </c>
      <c r="V1697" t="s">
        <v>9215</v>
      </c>
      <c r="W1697" t="s">
        <v>9216</v>
      </c>
      <c r="X1697" t="s">
        <v>47</v>
      </c>
      <c r="AA1697" t="s">
        <v>9217</v>
      </c>
      <c r="AC1697" t="s">
        <v>63</v>
      </c>
      <c r="AD1697" t="b">
        <v>0</v>
      </c>
      <c r="AF1697">
        <v>13</v>
      </c>
      <c r="AG1697" t="s">
        <v>155</v>
      </c>
    </row>
    <row r="1698" spans="1:33" x14ac:dyDescent="0.2">
      <c r="A1698">
        <v>1646</v>
      </c>
      <c r="B1698" t="s">
        <v>9218</v>
      </c>
      <c r="C1698" t="s">
        <v>34</v>
      </c>
      <c r="D1698" t="s">
        <v>35</v>
      </c>
      <c r="E1698" t="s">
        <v>1027</v>
      </c>
      <c r="F1698" t="s">
        <v>1028</v>
      </c>
      <c r="G1698" t="s">
        <v>213</v>
      </c>
      <c r="H1698" t="s">
        <v>83</v>
      </c>
      <c r="I1698" t="s">
        <v>635</v>
      </c>
      <c r="J1698" t="s">
        <v>94</v>
      </c>
      <c r="K1698">
        <v>2012</v>
      </c>
      <c r="L1698">
        <v>2012</v>
      </c>
      <c r="M1698">
        <v>4.8499999999999996</v>
      </c>
      <c r="N1698">
        <v>26.911000000000001</v>
      </c>
      <c r="O1698">
        <v>149</v>
      </c>
      <c r="P1698">
        <v>4</v>
      </c>
      <c r="Q1698">
        <v>0.33700000000000002</v>
      </c>
      <c r="R1698" t="s">
        <v>84</v>
      </c>
      <c r="S1698" t="s">
        <v>9219</v>
      </c>
      <c r="T1698" t="b">
        <v>1</v>
      </c>
      <c r="U1698" t="s">
        <v>3888</v>
      </c>
      <c r="V1698" t="s">
        <v>4854</v>
      </c>
      <c r="W1698" t="s">
        <v>9220</v>
      </c>
      <c r="X1698" t="s">
        <v>47</v>
      </c>
      <c r="AA1698" t="s">
        <v>958</v>
      </c>
      <c r="AB1698" t="s">
        <v>313</v>
      </c>
      <c r="AC1698" t="s">
        <v>959</v>
      </c>
      <c r="AD1698" t="b">
        <v>0</v>
      </c>
      <c r="AF1698">
        <v>3</v>
      </c>
      <c r="AG1698" t="s">
        <v>332</v>
      </c>
    </row>
    <row r="1699" spans="1:33" x14ac:dyDescent="0.2">
      <c r="A1699">
        <v>1767</v>
      </c>
      <c r="B1699" t="s">
        <v>9221</v>
      </c>
      <c r="C1699" t="s">
        <v>34</v>
      </c>
      <c r="D1699" t="s">
        <v>35</v>
      </c>
      <c r="E1699" t="s">
        <v>168</v>
      </c>
      <c r="F1699" t="s">
        <v>169</v>
      </c>
      <c r="G1699" t="s">
        <v>53</v>
      </c>
      <c r="H1699" t="s">
        <v>54</v>
      </c>
      <c r="I1699" t="s">
        <v>325</v>
      </c>
      <c r="J1699" t="s">
        <v>135</v>
      </c>
      <c r="K1699">
        <v>2015</v>
      </c>
      <c r="L1699">
        <v>2015</v>
      </c>
      <c r="M1699">
        <v>2.77</v>
      </c>
      <c r="N1699">
        <v>5.9139999999999997</v>
      </c>
      <c r="O1699">
        <v>268.60000000000002</v>
      </c>
      <c r="P1699">
        <v>1.2</v>
      </c>
      <c r="Q1699">
        <v>0.64100000000000001</v>
      </c>
      <c r="R1699" t="s">
        <v>84</v>
      </c>
      <c r="S1699" t="s">
        <v>9222</v>
      </c>
      <c r="T1699" t="b">
        <v>1</v>
      </c>
      <c r="U1699" t="s">
        <v>9223</v>
      </c>
      <c r="V1699" t="s">
        <v>174</v>
      </c>
      <c r="W1699" t="s">
        <v>9224</v>
      </c>
      <c r="X1699" t="s">
        <v>47</v>
      </c>
      <c r="AA1699" t="s">
        <v>554</v>
      </c>
      <c r="AB1699" t="s">
        <v>83</v>
      </c>
      <c r="AC1699" t="s">
        <v>555</v>
      </c>
      <c r="AD1699" t="b">
        <v>0</v>
      </c>
      <c r="AF1699">
        <v>3</v>
      </c>
      <c r="AG1699" t="s">
        <v>332</v>
      </c>
    </row>
    <row r="1700" spans="1:33" x14ac:dyDescent="0.2">
      <c r="A1700">
        <v>824</v>
      </c>
      <c r="B1700" t="s">
        <v>9225</v>
      </c>
      <c r="C1700" t="s">
        <v>574</v>
      </c>
      <c r="D1700" t="s">
        <v>575</v>
      </c>
      <c r="E1700" t="s">
        <v>36</v>
      </c>
      <c r="F1700" t="s">
        <v>37</v>
      </c>
      <c r="G1700" t="s">
        <v>213</v>
      </c>
      <c r="H1700" t="s">
        <v>83</v>
      </c>
      <c r="I1700" t="s">
        <v>635</v>
      </c>
      <c r="J1700" t="s">
        <v>94</v>
      </c>
      <c r="K1700">
        <v>2004</v>
      </c>
      <c r="L1700">
        <v>2004</v>
      </c>
      <c r="M1700">
        <v>-0.56000000000000005</v>
      </c>
      <c r="N1700">
        <v>-1.327</v>
      </c>
      <c r="O1700">
        <v>0</v>
      </c>
      <c r="P1700">
        <v>0.83</v>
      </c>
      <c r="R1700" t="s">
        <v>84</v>
      </c>
      <c r="S1700" t="s">
        <v>9226</v>
      </c>
      <c r="T1700" t="b">
        <v>1</v>
      </c>
      <c r="U1700" t="s">
        <v>637</v>
      </c>
      <c r="V1700" t="s">
        <v>3731</v>
      </c>
      <c r="W1700" t="s">
        <v>9227</v>
      </c>
      <c r="X1700" t="s">
        <v>47</v>
      </c>
      <c r="AA1700" t="s">
        <v>3733</v>
      </c>
      <c r="AB1700" t="s">
        <v>135</v>
      </c>
      <c r="AC1700" t="s">
        <v>959</v>
      </c>
      <c r="AD1700" t="b">
        <v>0</v>
      </c>
      <c r="AF1700">
        <v>3</v>
      </c>
      <c r="AG1700" t="s">
        <v>332</v>
      </c>
    </row>
    <row r="1701" spans="1:33" x14ac:dyDescent="0.2">
      <c r="A1701">
        <v>758</v>
      </c>
      <c r="B1701" t="s">
        <v>9228</v>
      </c>
      <c r="C1701" t="s">
        <v>574</v>
      </c>
      <c r="D1701" t="s">
        <v>575</v>
      </c>
      <c r="E1701" t="s">
        <v>9229</v>
      </c>
      <c r="F1701" t="s">
        <v>9230</v>
      </c>
      <c r="G1701" t="s">
        <v>53</v>
      </c>
      <c r="H1701" t="s">
        <v>54</v>
      </c>
      <c r="I1701" t="s">
        <v>730</v>
      </c>
      <c r="J1701" t="s">
        <v>731</v>
      </c>
      <c r="K1701">
        <v>1996</v>
      </c>
      <c r="L1701">
        <v>1996</v>
      </c>
      <c r="M1701">
        <v>-0.3</v>
      </c>
      <c r="N1701">
        <v>-0.57899999999999996</v>
      </c>
      <c r="O1701">
        <v>0</v>
      </c>
      <c r="P1701">
        <v>0.6</v>
      </c>
      <c r="Q1701">
        <v>-0.13800000000000001</v>
      </c>
      <c r="R1701" t="s">
        <v>72</v>
      </c>
      <c r="S1701" t="s">
        <v>8220</v>
      </c>
      <c r="T1701" t="b">
        <v>1</v>
      </c>
      <c r="U1701" t="s">
        <v>439</v>
      </c>
      <c r="V1701" t="s">
        <v>9231</v>
      </c>
      <c r="W1701" t="s">
        <v>8221</v>
      </c>
      <c r="X1701" t="s">
        <v>47</v>
      </c>
      <c r="AA1701" t="s">
        <v>8222</v>
      </c>
      <c r="AB1701" t="s">
        <v>177</v>
      </c>
      <c r="AC1701" t="s">
        <v>8223</v>
      </c>
      <c r="AD1701" t="b">
        <v>0</v>
      </c>
      <c r="AF1701">
        <v>13</v>
      </c>
      <c r="AG1701" t="s">
        <v>155</v>
      </c>
    </row>
    <row r="1702" spans="1:33" x14ac:dyDescent="0.2">
      <c r="A1702">
        <v>492</v>
      </c>
      <c r="B1702" t="s">
        <v>9232</v>
      </c>
      <c r="C1702" t="s">
        <v>34</v>
      </c>
      <c r="D1702" t="s">
        <v>35</v>
      </c>
      <c r="E1702" t="s">
        <v>682</v>
      </c>
      <c r="F1702" t="s">
        <v>683</v>
      </c>
      <c r="G1702" t="s">
        <v>68</v>
      </c>
      <c r="H1702" t="s">
        <v>69</v>
      </c>
      <c r="I1702" t="s">
        <v>70</v>
      </c>
      <c r="J1702" t="s">
        <v>71</v>
      </c>
      <c r="K1702">
        <v>1987</v>
      </c>
      <c r="L1702">
        <v>1987</v>
      </c>
      <c r="M1702">
        <v>3</v>
      </c>
      <c r="N1702">
        <v>13.805999999999999</v>
      </c>
      <c r="O1702">
        <v>90</v>
      </c>
      <c r="P1702">
        <v>3.5</v>
      </c>
      <c r="Q1702">
        <v>0.222</v>
      </c>
      <c r="R1702" t="s">
        <v>72</v>
      </c>
      <c r="S1702" t="s">
        <v>9233</v>
      </c>
      <c r="T1702" t="b">
        <v>1</v>
      </c>
      <c r="U1702" t="s">
        <v>9234</v>
      </c>
      <c r="V1702" t="s">
        <v>686</v>
      </c>
      <c r="W1702" t="s">
        <v>9235</v>
      </c>
      <c r="X1702" t="s">
        <v>47</v>
      </c>
      <c r="AA1702" t="s">
        <v>688</v>
      </c>
      <c r="AB1702" t="s">
        <v>49</v>
      </c>
      <c r="AC1702" t="s">
        <v>689</v>
      </c>
      <c r="AD1702" t="b">
        <v>0</v>
      </c>
      <c r="AF1702">
        <v>8</v>
      </c>
      <c r="AG1702" t="s">
        <v>78</v>
      </c>
    </row>
    <row r="1703" spans="1:33" x14ac:dyDescent="0.2">
      <c r="A1703">
        <v>795</v>
      </c>
      <c r="B1703" t="s">
        <v>9236</v>
      </c>
      <c r="C1703" t="s">
        <v>34</v>
      </c>
      <c r="D1703" t="s">
        <v>35</v>
      </c>
      <c r="E1703" t="s">
        <v>682</v>
      </c>
      <c r="F1703" t="s">
        <v>683</v>
      </c>
      <c r="G1703" t="s">
        <v>68</v>
      </c>
      <c r="H1703" t="s">
        <v>69</v>
      </c>
      <c r="I1703" t="s">
        <v>597</v>
      </c>
      <c r="J1703" t="s">
        <v>83</v>
      </c>
      <c r="K1703">
        <v>2003</v>
      </c>
      <c r="L1703">
        <v>2003</v>
      </c>
      <c r="M1703">
        <v>3.9</v>
      </c>
      <c r="N1703">
        <v>15.154999999999999</v>
      </c>
      <c r="O1703">
        <v>260</v>
      </c>
      <c r="P1703">
        <v>1.6</v>
      </c>
      <c r="Q1703">
        <v>0.67700000000000005</v>
      </c>
      <c r="R1703" t="s">
        <v>72</v>
      </c>
      <c r="S1703" t="s">
        <v>9237</v>
      </c>
      <c r="T1703" t="b">
        <v>1</v>
      </c>
      <c r="U1703" t="s">
        <v>9238</v>
      </c>
      <c r="V1703" t="s">
        <v>686</v>
      </c>
      <c r="W1703" t="s">
        <v>9239</v>
      </c>
      <c r="X1703" t="s">
        <v>47</v>
      </c>
      <c r="AA1703" t="s">
        <v>6896</v>
      </c>
      <c r="AB1703" t="s">
        <v>49</v>
      </c>
      <c r="AC1703" t="s">
        <v>6897</v>
      </c>
      <c r="AD1703" t="b">
        <v>0</v>
      </c>
      <c r="AF1703">
        <v>13</v>
      </c>
      <c r="AG1703" t="s">
        <v>155</v>
      </c>
    </row>
    <row r="1704" spans="1:33" x14ac:dyDescent="0.2">
      <c r="A1704">
        <v>1957</v>
      </c>
      <c r="B1704" t="s">
        <v>9240</v>
      </c>
      <c r="C1704" t="s">
        <v>34</v>
      </c>
      <c r="D1704" t="s">
        <v>35</v>
      </c>
      <c r="E1704" t="s">
        <v>892</v>
      </c>
      <c r="F1704" t="s">
        <v>893</v>
      </c>
      <c r="G1704" t="s">
        <v>134</v>
      </c>
      <c r="H1704" t="s">
        <v>135</v>
      </c>
      <c r="I1704" t="s">
        <v>345</v>
      </c>
      <c r="J1704" t="s">
        <v>256</v>
      </c>
      <c r="K1704">
        <v>2021</v>
      </c>
      <c r="L1704">
        <v>2021</v>
      </c>
      <c r="M1704">
        <v>6.6</v>
      </c>
      <c r="N1704">
        <v>23.071999999999999</v>
      </c>
      <c r="O1704">
        <v>118.3</v>
      </c>
      <c r="P1704">
        <v>6.3</v>
      </c>
      <c r="Q1704">
        <v>0.29099999999999998</v>
      </c>
      <c r="R1704" t="s">
        <v>42</v>
      </c>
      <c r="S1704" t="s">
        <v>9241</v>
      </c>
      <c r="T1704" t="b">
        <v>1</v>
      </c>
      <c r="U1704" t="s">
        <v>9242</v>
      </c>
      <c r="V1704" t="s">
        <v>896</v>
      </c>
      <c r="W1704" t="s">
        <v>9243</v>
      </c>
      <c r="X1704" t="s">
        <v>47</v>
      </c>
      <c r="AA1704" t="s">
        <v>9244</v>
      </c>
      <c r="AB1704" t="s">
        <v>177</v>
      </c>
      <c r="AC1704" t="s">
        <v>7356</v>
      </c>
      <c r="AD1704" t="b">
        <v>0</v>
      </c>
      <c r="AF1704">
        <v>10</v>
      </c>
      <c r="AG1704" t="s">
        <v>143</v>
      </c>
    </row>
    <row r="1705" spans="1:33" x14ac:dyDescent="0.2">
      <c r="A1705">
        <v>788</v>
      </c>
      <c r="B1705" t="s">
        <v>9245</v>
      </c>
      <c r="C1705" t="s">
        <v>34</v>
      </c>
      <c r="D1705" t="s">
        <v>35</v>
      </c>
      <c r="E1705" t="s">
        <v>9246</v>
      </c>
      <c r="F1705" t="s">
        <v>9247</v>
      </c>
      <c r="G1705" t="s">
        <v>53</v>
      </c>
      <c r="H1705" t="s">
        <v>54</v>
      </c>
      <c r="I1705" t="s">
        <v>147</v>
      </c>
      <c r="J1705" t="s">
        <v>148</v>
      </c>
      <c r="K1705">
        <v>2001</v>
      </c>
      <c r="L1705">
        <v>2001</v>
      </c>
      <c r="M1705">
        <v>2.0699999999999998</v>
      </c>
      <c r="N1705">
        <v>6.8710000000000004</v>
      </c>
      <c r="O1705">
        <v>169</v>
      </c>
      <c r="P1705">
        <v>1.36</v>
      </c>
      <c r="Q1705">
        <v>0.40300000000000002</v>
      </c>
      <c r="R1705" t="s">
        <v>72</v>
      </c>
      <c r="S1705" t="s">
        <v>396</v>
      </c>
      <c r="T1705" t="b">
        <v>1</v>
      </c>
      <c r="U1705" t="s">
        <v>9248</v>
      </c>
      <c r="V1705" t="s">
        <v>9249</v>
      </c>
      <c r="W1705" t="s">
        <v>9250</v>
      </c>
      <c r="X1705" t="s">
        <v>47</v>
      </c>
      <c r="AA1705" t="s">
        <v>400</v>
      </c>
      <c r="AB1705" t="s">
        <v>612</v>
      </c>
      <c r="AC1705" t="s">
        <v>402</v>
      </c>
      <c r="AD1705" t="b">
        <v>0</v>
      </c>
      <c r="AF1705">
        <v>13</v>
      </c>
      <c r="AG1705" t="s">
        <v>155</v>
      </c>
    </row>
    <row r="1706" spans="1:33" x14ac:dyDescent="0.2">
      <c r="A1706">
        <v>1430</v>
      </c>
      <c r="B1706" t="s">
        <v>9251</v>
      </c>
      <c r="C1706" t="s">
        <v>34</v>
      </c>
      <c r="D1706" t="s">
        <v>35</v>
      </c>
      <c r="E1706" t="s">
        <v>892</v>
      </c>
      <c r="F1706" t="s">
        <v>893</v>
      </c>
      <c r="G1706" t="s">
        <v>312</v>
      </c>
      <c r="H1706" t="s">
        <v>313</v>
      </c>
      <c r="I1706" t="s">
        <v>4164</v>
      </c>
      <c r="J1706" t="s">
        <v>41</v>
      </c>
      <c r="K1706">
        <v>2008</v>
      </c>
      <c r="L1706">
        <v>2008</v>
      </c>
      <c r="M1706">
        <v>0.75</v>
      </c>
      <c r="N1706">
        <v>2.0680000000000001</v>
      </c>
      <c r="O1706">
        <v>187</v>
      </c>
      <c r="P1706">
        <v>0.48</v>
      </c>
      <c r="R1706" t="s">
        <v>84</v>
      </c>
      <c r="S1706" t="s">
        <v>9252</v>
      </c>
      <c r="T1706" t="b">
        <v>1</v>
      </c>
      <c r="U1706" t="s">
        <v>9253</v>
      </c>
      <c r="V1706" t="s">
        <v>896</v>
      </c>
      <c r="W1706" t="s">
        <v>9254</v>
      </c>
      <c r="X1706" t="s">
        <v>47</v>
      </c>
      <c r="AA1706" t="s">
        <v>622</v>
      </c>
      <c r="AC1706" t="s">
        <v>623</v>
      </c>
      <c r="AD1706" t="b">
        <v>0</v>
      </c>
      <c r="AF1706">
        <v>4</v>
      </c>
      <c r="AG1706" t="s">
        <v>321</v>
      </c>
    </row>
    <row r="1707" spans="1:33" x14ac:dyDescent="0.2">
      <c r="A1707">
        <v>1433</v>
      </c>
      <c r="B1707" t="s">
        <v>9255</v>
      </c>
      <c r="C1707" t="s">
        <v>34</v>
      </c>
      <c r="D1707" t="s">
        <v>35</v>
      </c>
      <c r="E1707" t="s">
        <v>9256</v>
      </c>
      <c r="F1707" t="s">
        <v>9257</v>
      </c>
      <c r="G1707" t="s">
        <v>213</v>
      </c>
      <c r="H1707" t="s">
        <v>83</v>
      </c>
      <c r="I1707" t="s">
        <v>635</v>
      </c>
      <c r="J1707" t="s">
        <v>94</v>
      </c>
      <c r="K1707">
        <v>2009</v>
      </c>
      <c r="L1707">
        <v>2009</v>
      </c>
      <c r="M1707">
        <v>3</v>
      </c>
      <c r="N1707">
        <v>7.2910000000000004</v>
      </c>
      <c r="O1707">
        <v>506</v>
      </c>
      <c r="P1707">
        <v>0.7</v>
      </c>
      <c r="Q1707">
        <v>1.19</v>
      </c>
      <c r="R1707" t="s">
        <v>84</v>
      </c>
      <c r="S1707" t="s">
        <v>8816</v>
      </c>
      <c r="T1707" t="b">
        <v>1</v>
      </c>
      <c r="U1707" t="s">
        <v>9258</v>
      </c>
      <c r="V1707" t="s">
        <v>9259</v>
      </c>
      <c r="W1707" t="s">
        <v>9260</v>
      </c>
      <c r="X1707" t="s">
        <v>47</v>
      </c>
      <c r="AA1707" t="s">
        <v>958</v>
      </c>
      <c r="AB1707" t="s">
        <v>7298</v>
      </c>
      <c r="AC1707" t="s">
        <v>959</v>
      </c>
      <c r="AD1707" t="b">
        <v>0</v>
      </c>
      <c r="AF1707">
        <v>3</v>
      </c>
      <c r="AG1707" t="s">
        <v>332</v>
      </c>
    </row>
    <row r="1708" spans="1:33" x14ac:dyDescent="0.2">
      <c r="A1708">
        <v>493</v>
      </c>
      <c r="B1708" t="s">
        <v>9261</v>
      </c>
      <c r="C1708" t="s">
        <v>34</v>
      </c>
      <c r="D1708" t="s">
        <v>35</v>
      </c>
      <c r="E1708" t="s">
        <v>2170</v>
      </c>
      <c r="F1708" t="s">
        <v>2171</v>
      </c>
      <c r="G1708" t="s">
        <v>503</v>
      </c>
      <c r="H1708" t="s">
        <v>462</v>
      </c>
      <c r="I1708" t="s">
        <v>2564</v>
      </c>
      <c r="J1708" t="s">
        <v>262</v>
      </c>
      <c r="K1708">
        <v>1971</v>
      </c>
      <c r="L1708">
        <v>1971</v>
      </c>
      <c r="M1708">
        <v>204</v>
      </c>
      <c r="N1708">
        <v>1280.288</v>
      </c>
      <c r="O1708">
        <v>300</v>
      </c>
      <c r="P1708">
        <v>75.8</v>
      </c>
      <c r="Q1708">
        <v>0.748</v>
      </c>
      <c r="R1708" t="s">
        <v>84</v>
      </c>
      <c r="S1708" t="s">
        <v>5761</v>
      </c>
      <c r="T1708" t="b">
        <v>1</v>
      </c>
      <c r="U1708" t="s">
        <v>1338</v>
      </c>
      <c r="V1708" t="s">
        <v>2567</v>
      </c>
      <c r="W1708" t="s">
        <v>9262</v>
      </c>
      <c r="X1708" t="s">
        <v>47</v>
      </c>
      <c r="AA1708" t="s">
        <v>583</v>
      </c>
      <c r="AB1708" t="s">
        <v>245</v>
      </c>
      <c r="AC1708" t="s">
        <v>585</v>
      </c>
      <c r="AD1708" t="b">
        <v>0</v>
      </c>
      <c r="AF1708">
        <v>3</v>
      </c>
      <c r="AG1708" t="s">
        <v>332</v>
      </c>
    </row>
    <row r="1709" spans="1:33" x14ac:dyDescent="0.2">
      <c r="A1709">
        <v>494</v>
      </c>
      <c r="B1709" t="s">
        <v>9263</v>
      </c>
      <c r="C1709" t="s">
        <v>34</v>
      </c>
      <c r="D1709" t="s">
        <v>35</v>
      </c>
      <c r="E1709" t="s">
        <v>1200</v>
      </c>
      <c r="F1709" t="s">
        <v>1201</v>
      </c>
      <c r="G1709" t="s">
        <v>53</v>
      </c>
      <c r="H1709" t="s">
        <v>54</v>
      </c>
      <c r="I1709" t="s">
        <v>811</v>
      </c>
      <c r="J1709" t="s">
        <v>94</v>
      </c>
      <c r="K1709">
        <v>1976</v>
      </c>
      <c r="L1709">
        <v>1976</v>
      </c>
      <c r="M1709">
        <v>45</v>
      </c>
      <c r="N1709">
        <v>181.399</v>
      </c>
      <c r="O1709">
        <v>234</v>
      </c>
      <c r="P1709">
        <v>23.2</v>
      </c>
      <c r="Q1709">
        <v>0.53900000000000003</v>
      </c>
      <c r="R1709" t="s">
        <v>57</v>
      </c>
      <c r="S1709" t="s">
        <v>9264</v>
      </c>
      <c r="T1709" t="b">
        <v>1</v>
      </c>
      <c r="U1709" t="s">
        <v>9265</v>
      </c>
      <c r="V1709" t="s">
        <v>1204</v>
      </c>
      <c r="W1709" t="s">
        <v>9266</v>
      </c>
      <c r="X1709" t="s">
        <v>47</v>
      </c>
      <c r="AA1709" t="s">
        <v>1501</v>
      </c>
      <c r="AB1709" t="s">
        <v>177</v>
      </c>
      <c r="AC1709" t="s">
        <v>1502</v>
      </c>
      <c r="AD1709" t="b">
        <v>0</v>
      </c>
      <c r="AF1709">
        <v>6</v>
      </c>
      <c r="AG1709" t="s">
        <v>64</v>
      </c>
    </row>
    <row r="1710" spans="1:33" x14ac:dyDescent="0.2">
      <c r="A1710">
        <v>1891</v>
      </c>
      <c r="B1710" t="s">
        <v>9267</v>
      </c>
      <c r="C1710" t="s">
        <v>34</v>
      </c>
      <c r="D1710" t="s">
        <v>35</v>
      </c>
      <c r="E1710" t="s">
        <v>9268</v>
      </c>
      <c r="F1710" t="s">
        <v>9269</v>
      </c>
      <c r="G1710" t="s">
        <v>68</v>
      </c>
      <c r="H1710" t="s">
        <v>69</v>
      </c>
      <c r="I1710" t="s">
        <v>445</v>
      </c>
      <c r="J1710" t="s">
        <v>203</v>
      </c>
      <c r="K1710">
        <v>2018</v>
      </c>
      <c r="L1710">
        <v>2018</v>
      </c>
      <c r="M1710">
        <v>4.55</v>
      </c>
      <c r="N1710">
        <v>10.965</v>
      </c>
      <c r="O1710">
        <v>291</v>
      </c>
      <c r="P1710">
        <v>1.9</v>
      </c>
      <c r="Q1710">
        <v>0.66500000000000004</v>
      </c>
      <c r="R1710" t="s">
        <v>72</v>
      </c>
      <c r="S1710" t="s">
        <v>9270</v>
      </c>
      <c r="T1710" t="b">
        <v>1</v>
      </c>
      <c r="U1710" t="s">
        <v>9271</v>
      </c>
      <c r="V1710" t="s">
        <v>9272</v>
      </c>
      <c r="W1710" t="s">
        <v>9273</v>
      </c>
      <c r="X1710" t="s">
        <v>47</v>
      </c>
      <c r="AA1710" t="s">
        <v>2827</v>
      </c>
      <c r="AB1710" t="s">
        <v>49</v>
      </c>
      <c r="AC1710" t="s">
        <v>2828</v>
      </c>
      <c r="AD1710" t="b">
        <v>0</v>
      </c>
      <c r="AF1710">
        <v>8</v>
      </c>
      <c r="AG1710" t="s">
        <v>78</v>
      </c>
    </row>
    <row r="1711" spans="1:33" x14ac:dyDescent="0.2">
      <c r="A1711">
        <v>1757</v>
      </c>
      <c r="B1711" t="s">
        <v>9274</v>
      </c>
      <c r="C1711" t="s">
        <v>34</v>
      </c>
      <c r="D1711" t="s">
        <v>35</v>
      </c>
      <c r="E1711" t="s">
        <v>892</v>
      </c>
      <c r="F1711" t="s">
        <v>893</v>
      </c>
      <c r="G1711" t="s">
        <v>242</v>
      </c>
      <c r="H1711" t="s">
        <v>243</v>
      </c>
      <c r="I1711" t="s">
        <v>2193</v>
      </c>
      <c r="J1711" t="s">
        <v>378</v>
      </c>
      <c r="K1711">
        <v>2013</v>
      </c>
      <c r="L1711">
        <v>2013</v>
      </c>
      <c r="M1711">
        <v>2.8</v>
      </c>
      <c r="N1711">
        <v>7.9119999999999999</v>
      </c>
      <c r="O1711">
        <v>182.5</v>
      </c>
      <c r="P1711">
        <v>1.8</v>
      </c>
      <c r="Q1711">
        <v>0.432</v>
      </c>
      <c r="R1711" t="s">
        <v>72</v>
      </c>
      <c r="S1711" t="s">
        <v>9275</v>
      </c>
      <c r="T1711" t="b">
        <v>1</v>
      </c>
      <c r="U1711" t="s">
        <v>9276</v>
      </c>
      <c r="V1711" t="s">
        <v>896</v>
      </c>
      <c r="W1711" t="s">
        <v>9277</v>
      </c>
      <c r="X1711" t="s">
        <v>47</v>
      </c>
      <c r="AA1711" t="s">
        <v>9278</v>
      </c>
      <c r="AB1711" t="s">
        <v>49</v>
      </c>
      <c r="AC1711" t="s">
        <v>9279</v>
      </c>
      <c r="AD1711" t="b">
        <v>0</v>
      </c>
      <c r="AF1711">
        <v>8</v>
      </c>
      <c r="AG1711" t="s">
        <v>78</v>
      </c>
    </row>
    <row r="1712" spans="1:33" x14ac:dyDescent="0.2">
      <c r="A1712">
        <v>2105</v>
      </c>
      <c r="B1712" t="s">
        <v>9280</v>
      </c>
      <c r="C1712" t="s">
        <v>34</v>
      </c>
      <c r="D1712" t="s">
        <v>35</v>
      </c>
      <c r="E1712" t="s">
        <v>9281</v>
      </c>
      <c r="F1712" t="s">
        <v>9282</v>
      </c>
      <c r="G1712" t="s">
        <v>312</v>
      </c>
      <c r="H1712" t="s">
        <v>313</v>
      </c>
      <c r="I1712" t="s">
        <v>1067</v>
      </c>
      <c r="J1712" t="s">
        <v>676</v>
      </c>
      <c r="K1712">
        <v>2022</v>
      </c>
      <c r="L1712">
        <v>2022</v>
      </c>
      <c r="M1712">
        <v>1.82</v>
      </c>
      <c r="N1712">
        <v>7.5</v>
      </c>
      <c r="O1712">
        <v>56.4</v>
      </c>
      <c r="P1712">
        <v>4</v>
      </c>
      <c r="Q1712">
        <v>0.126</v>
      </c>
      <c r="R1712" t="s">
        <v>84</v>
      </c>
      <c r="S1712" t="s">
        <v>9283</v>
      </c>
      <c r="T1712" t="b">
        <v>1</v>
      </c>
      <c r="U1712" t="s">
        <v>9284</v>
      </c>
      <c r="V1712" t="s">
        <v>9285</v>
      </c>
      <c r="W1712" t="s">
        <v>9286</v>
      </c>
      <c r="X1712" t="s">
        <v>47</v>
      </c>
      <c r="AA1712" t="s">
        <v>319</v>
      </c>
      <c r="AC1712" t="s">
        <v>320</v>
      </c>
      <c r="AD1712" t="b">
        <v>0</v>
      </c>
      <c r="AF1712">
        <v>3</v>
      </c>
      <c r="AG1712" t="s">
        <v>332</v>
      </c>
    </row>
    <row r="1713" spans="1:33" x14ac:dyDescent="0.2">
      <c r="A1713">
        <v>1043</v>
      </c>
      <c r="B1713" t="s">
        <v>9287</v>
      </c>
      <c r="C1713" t="s">
        <v>34</v>
      </c>
      <c r="D1713" t="s">
        <v>35</v>
      </c>
      <c r="E1713" t="s">
        <v>9288</v>
      </c>
      <c r="F1713" t="s">
        <v>9289</v>
      </c>
      <c r="G1713" t="s">
        <v>224</v>
      </c>
      <c r="H1713" t="s">
        <v>225</v>
      </c>
      <c r="I1713" t="s">
        <v>1569</v>
      </c>
      <c r="J1713" t="s">
        <v>485</v>
      </c>
      <c r="K1713">
        <v>2004</v>
      </c>
      <c r="L1713">
        <v>2004</v>
      </c>
      <c r="M1713">
        <v>0.24</v>
      </c>
      <c r="N1713">
        <v>1.349</v>
      </c>
      <c r="R1713" t="s">
        <v>97</v>
      </c>
      <c r="S1713" t="s">
        <v>9290</v>
      </c>
      <c r="T1713" t="b">
        <v>1</v>
      </c>
      <c r="U1713" t="s">
        <v>637</v>
      </c>
      <c r="V1713" t="s">
        <v>9291</v>
      </c>
      <c r="W1713" t="s">
        <v>9292</v>
      </c>
      <c r="X1713" t="s">
        <v>47</v>
      </c>
      <c r="AA1713" t="s">
        <v>1548</v>
      </c>
      <c r="AC1713" t="s">
        <v>1549</v>
      </c>
      <c r="AD1713" t="b">
        <v>0</v>
      </c>
      <c r="AF1713">
        <v>1</v>
      </c>
      <c r="AG1713" t="s">
        <v>104</v>
      </c>
    </row>
    <row r="1714" spans="1:33" x14ac:dyDescent="0.2">
      <c r="A1714">
        <v>1682</v>
      </c>
      <c r="B1714" t="s">
        <v>9293</v>
      </c>
      <c r="C1714" t="s">
        <v>34</v>
      </c>
      <c r="D1714" t="s">
        <v>35</v>
      </c>
      <c r="E1714" t="s">
        <v>7862</v>
      </c>
      <c r="F1714" t="s">
        <v>7863</v>
      </c>
      <c r="G1714" t="s">
        <v>312</v>
      </c>
      <c r="H1714" t="s">
        <v>313</v>
      </c>
      <c r="I1714" t="s">
        <v>9294</v>
      </c>
      <c r="J1714" t="s">
        <v>83</v>
      </c>
      <c r="K1714">
        <v>1951</v>
      </c>
      <c r="L1714">
        <v>1951</v>
      </c>
      <c r="M1714">
        <v>0.42499999999999999</v>
      </c>
      <c r="N1714">
        <v>1.0189999999999999</v>
      </c>
      <c r="O1714">
        <v>52</v>
      </c>
      <c r="P1714">
        <v>0.95</v>
      </c>
      <c r="Q1714">
        <v>0.128</v>
      </c>
      <c r="R1714" t="s">
        <v>84</v>
      </c>
      <c r="S1714" t="s">
        <v>9295</v>
      </c>
      <c r="T1714" t="b">
        <v>1</v>
      </c>
      <c r="U1714" t="s">
        <v>4381</v>
      </c>
      <c r="V1714" t="s">
        <v>7866</v>
      </c>
      <c r="W1714" t="s">
        <v>113</v>
      </c>
      <c r="X1714" t="s">
        <v>47</v>
      </c>
      <c r="AA1714" t="s">
        <v>7867</v>
      </c>
      <c r="AC1714" t="s">
        <v>63</v>
      </c>
      <c r="AD1714" t="b">
        <v>0</v>
      </c>
      <c r="AF1714">
        <v>3</v>
      </c>
      <c r="AG1714" t="s">
        <v>332</v>
      </c>
    </row>
    <row r="1715" spans="1:33" x14ac:dyDescent="0.2">
      <c r="A1715">
        <v>965</v>
      </c>
      <c r="B1715" t="s">
        <v>9296</v>
      </c>
      <c r="C1715" t="s">
        <v>34</v>
      </c>
      <c r="D1715" t="s">
        <v>35</v>
      </c>
      <c r="E1715" t="s">
        <v>7109</v>
      </c>
      <c r="F1715" t="s">
        <v>7110</v>
      </c>
      <c r="G1715" t="s">
        <v>483</v>
      </c>
      <c r="H1715" t="s">
        <v>109</v>
      </c>
      <c r="I1715" t="s">
        <v>6884</v>
      </c>
      <c r="J1715" t="s">
        <v>109</v>
      </c>
      <c r="K1715">
        <v>1980</v>
      </c>
      <c r="L1715">
        <v>2002</v>
      </c>
      <c r="M1715">
        <v>0.4</v>
      </c>
      <c r="N1715">
        <v>1.452</v>
      </c>
      <c r="R1715" t="s">
        <v>97</v>
      </c>
      <c r="S1715" t="s">
        <v>6885</v>
      </c>
      <c r="T1715" t="b">
        <v>1</v>
      </c>
      <c r="U1715" t="s">
        <v>247</v>
      </c>
      <c r="V1715" t="s">
        <v>7113</v>
      </c>
      <c r="W1715" t="s">
        <v>113</v>
      </c>
      <c r="X1715" t="s">
        <v>47</v>
      </c>
      <c r="AA1715" t="s">
        <v>340</v>
      </c>
      <c r="AC1715" t="s">
        <v>341</v>
      </c>
      <c r="AD1715" t="b">
        <v>0</v>
      </c>
      <c r="AF1715">
        <v>1</v>
      </c>
      <c r="AG1715" t="s">
        <v>104</v>
      </c>
    </row>
    <row r="1716" spans="1:33" x14ac:dyDescent="0.2">
      <c r="A1716">
        <v>1991</v>
      </c>
      <c r="B1716" t="s">
        <v>9297</v>
      </c>
      <c r="C1716" t="s">
        <v>34</v>
      </c>
      <c r="D1716" t="s">
        <v>35</v>
      </c>
      <c r="E1716" t="s">
        <v>36</v>
      </c>
      <c r="F1716" t="s">
        <v>37</v>
      </c>
      <c r="G1716" t="s">
        <v>503</v>
      </c>
      <c r="H1716" t="s">
        <v>462</v>
      </c>
      <c r="I1716" t="s">
        <v>3390</v>
      </c>
      <c r="J1716" t="s">
        <v>485</v>
      </c>
      <c r="K1716">
        <v>2021</v>
      </c>
      <c r="L1716">
        <v>2021</v>
      </c>
      <c r="M1716">
        <v>8.5</v>
      </c>
      <c r="N1716">
        <v>34.472999999999999</v>
      </c>
      <c r="O1716">
        <v>60.6</v>
      </c>
      <c r="P1716">
        <v>20</v>
      </c>
      <c r="Q1716">
        <v>0.11799999999999999</v>
      </c>
      <c r="R1716" t="s">
        <v>84</v>
      </c>
      <c r="S1716" t="s">
        <v>9298</v>
      </c>
      <c r="T1716" t="b">
        <v>1</v>
      </c>
      <c r="U1716" t="s">
        <v>9299</v>
      </c>
      <c r="V1716" t="s">
        <v>45</v>
      </c>
      <c r="W1716" t="s">
        <v>9300</v>
      </c>
      <c r="X1716" t="s">
        <v>47</v>
      </c>
      <c r="AA1716" t="s">
        <v>583</v>
      </c>
      <c r="AB1716" t="s">
        <v>9043</v>
      </c>
      <c r="AC1716" t="s">
        <v>585</v>
      </c>
      <c r="AD1716" t="b">
        <v>0</v>
      </c>
      <c r="AF1716">
        <v>3</v>
      </c>
      <c r="AG1716" t="s">
        <v>332</v>
      </c>
    </row>
    <row r="1717" spans="1:33" x14ac:dyDescent="0.2">
      <c r="A1717">
        <v>1601</v>
      </c>
      <c r="B1717" t="s">
        <v>9301</v>
      </c>
      <c r="C1717" t="s">
        <v>34</v>
      </c>
      <c r="D1717" t="s">
        <v>35</v>
      </c>
      <c r="E1717" t="s">
        <v>9302</v>
      </c>
      <c r="F1717" t="s">
        <v>9303</v>
      </c>
      <c r="G1717" t="s">
        <v>93</v>
      </c>
      <c r="H1717" t="s">
        <v>94</v>
      </c>
      <c r="I1717" t="s">
        <v>1967</v>
      </c>
      <c r="J1717" t="s">
        <v>1697</v>
      </c>
      <c r="K1717">
        <v>2010</v>
      </c>
      <c r="L1717">
        <v>2010</v>
      </c>
      <c r="M1717">
        <v>4.9000000000000004</v>
      </c>
      <c r="N1717">
        <v>15.141</v>
      </c>
      <c r="O1717">
        <v>131.5</v>
      </c>
      <c r="P1717">
        <v>4.4000000000000004</v>
      </c>
      <c r="Q1717">
        <v>0.309</v>
      </c>
      <c r="R1717" t="s">
        <v>97</v>
      </c>
      <c r="S1717" t="s">
        <v>9304</v>
      </c>
      <c r="T1717" t="b">
        <v>1</v>
      </c>
      <c r="U1717" t="s">
        <v>8735</v>
      </c>
      <c r="V1717" t="s">
        <v>9305</v>
      </c>
      <c r="W1717" t="s">
        <v>9306</v>
      </c>
      <c r="X1717" t="s">
        <v>47</v>
      </c>
      <c r="AA1717" t="s">
        <v>340</v>
      </c>
      <c r="AB1717" t="s">
        <v>9307</v>
      </c>
      <c r="AC1717" t="s">
        <v>341</v>
      </c>
      <c r="AD1717" t="b">
        <v>0</v>
      </c>
      <c r="AF1717">
        <v>1</v>
      </c>
      <c r="AG1717" t="s">
        <v>104</v>
      </c>
    </row>
    <row r="1718" spans="1:33" x14ac:dyDescent="0.2">
      <c r="A1718">
        <v>1391</v>
      </c>
      <c r="B1718" t="s">
        <v>9308</v>
      </c>
      <c r="C1718" t="s">
        <v>34</v>
      </c>
      <c r="D1718" t="s">
        <v>35</v>
      </c>
      <c r="E1718" t="s">
        <v>9309</v>
      </c>
      <c r="F1718" t="s">
        <v>9310</v>
      </c>
      <c r="G1718" t="s">
        <v>224</v>
      </c>
      <c r="H1718" t="s">
        <v>225</v>
      </c>
      <c r="I1718" t="s">
        <v>3124</v>
      </c>
      <c r="J1718" t="s">
        <v>71</v>
      </c>
      <c r="K1718">
        <v>2009</v>
      </c>
      <c r="L1718">
        <v>2009</v>
      </c>
      <c r="M1718">
        <v>1.65</v>
      </c>
      <c r="N1718">
        <v>4.6870000000000003</v>
      </c>
      <c r="O1718">
        <v>353</v>
      </c>
      <c r="P1718">
        <v>0.54</v>
      </c>
      <c r="Q1718">
        <v>0.84899999999999998</v>
      </c>
      <c r="R1718" t="s">
        <v>57</v>
      </c>
      <c r="S1718" t="s">
        <v>9311</v>
      </c>
      <c r="T1718" t="b">
        <v>1</v>
      </c>
      <c r="U1718" t="s">
        <v>9312</v>
      </c>
      <c r="V1718" t="s">
        <v>9313</v>
      </c>
      <c r="W1718" t="s">
        <v>9314</v>
      </c>
      <c r="X1718" t="s">
        <v>47</v>
      </c>
      <c r="AA1718" t="s">
        <v>102</v>
      </c>
      <c r="AB1718" t="s">
        <v>414</v>
      </c>
      <c r="AC1718" t="s">
        <v>103</v>
      </c>
      <c r="AD1718" t="b">
        <v>0</v>
      </c>
      <c r="AF1718">
        <v>2</v>
      </c>
      <c r="AG1718" t="s">
        <v>287</v>
      </c>
    </row>
    <row r="1719" spans="1:33" x14ac:dyDescent="0.2">
      <c r="A1719">
        <v>496</v>
      </c>
      <c r="B1719" t="s">
        <v>9315</v>
      </c>
      <c r="C1719" t="s">
        <v>34</v>
      </c>
      <c r="D1719" t="s">
        <v>35</v>
      </c>
      <c r="E1719" t="s">
        <v>36</v>
      </c>
      <c r="F1719" t="s">
        <v>37</v>
      </c>
      <c r="G1719" t="s">
        <v>242</v>
      </c>
      <c r="H1719" t="s">
        <v>243</v>
      </c>
      <c r="I1719" t="s">
        <v>2348</v>
      </c>
      <c r="J1719" t="s">
        <v>225</v>
      </c>
      <c r="K1719">
        <v>1971</v>
      </c>
      <c r="L1719">
        <v>1971</v>
      </c>
      <c r="M1719">
        <v>40</v>
      </c>
      <c r="N1719">
        <v>97.635999999999996</v>
      </c>
      <c r="O1719">
        <v>50</v>
      </c>
      <c r="P1719">
        <v>93.37</v>
      </c>
      <c r="Q1719">
        <v>0.11899999999999999</v>
      </c>
      <c r="R1719" t="s">
        <v>72</v>
      </c>
      <c r="S1719" t="s">
        <v>9316</v>
      </c>
      <c r="T1719" t="b">
        <v>1</v>
      </c>
      <c r="U1719" t="s">
        <v>1338</v>
      </c>
      <c r="V1719" t="s">
        <v>45</v>
      </c>
      <c r="W1719" t="s">
        <v>9317</v>
      </c>
      <c r="X1719" t="s">
        <v>47</v>
      </c>
      <c r="AA1719" t="s">
        <v>982</v>
      </c>
      <c r="AB1719" t="s">
        <v>1975</v>
      </c>
      <c r="AC1719" t="s">
        <v>983</v>
      </c>
      <c r="AD1719" t="b">
        <v>0</v>
      </c>
      <c r="AF1719">
        <v>9</v>
      </c>
      <c r="AG1719" t="s">
        <v>251</v>
      </c>
    </row>
    <row r="1720" spans="1:33" x14ac:dyDescent="0.2">
      <c r="A1720">
        <v>497</v>
      </c>
      <c r="B1720" t="s">
        <v>9318</v>
      </c>
      <c r="C1720" t="s">
        <v>34</v>
      </c>
      <c r="D1720" t="s">
        <v>35</v>
      </c>
      <c r="E1720" t="s">
        <v>1055</v>
      </c>
      <c r="F1720" t="s">
        <v>1056</v>
      </c>
      <c r="G1720" t="s">
        <v>93</v>
      </c>
      <c r="H1720" t="s">
        <v>94</v>
      </c>
      <c r="I1720" t="s">
        <v>9319</v>
      </c>
      <c r="J1720" t="s">
        <v>1072</v>
      </c>
      <c r="K1720">
        <v>1983</v>
      </c>
      <c r="L1720">
        <v>1983</v>
      </c>
      <c r="M1720">
        <v>1.2</v>
      </c>
      <c r="N1720">
        <v>5.6239999999999997</v>
      </c>
      <c r="O1720">
        <v>43</v>
      </c>
      <c r="P1720">
        <v>3.57</v>
      </c>
      <c r="Q1720">
        <v>9.2999999999999999E-2</v>
      </c>
      <c r="R1720" t="s">
        <v>97</v>
      </c>
      <c r="S1720" t="s">
        <v>9320</v>
      </c>
      <c r="T1720" t="b">
        <v>1</v>
      </c>
      <c r="U1720" t="s">
        <v>3994</v>
      </c>
      <c r="V1720" t="s">
        <v>1060</v>
      </c>
      <c r="W1720" t="s">
        <v>113</v>
      </c>
      <c r="X1720" t="s">
        <v>47</v>
      </c>
      <c r="AA1720" t="s">
        <v>340</v>
      </c>
      <c r="AB1720" t="s">
        <v>1459</v>
      </c>
      <c r="AC1720" t="s">
        <v>1063</v>
      </c>
      <c r="AD1720" t="b">
        <v>0</v>
      </c>
      <c r="AF1720">
        <v>1</v>
      </c>
      <c r="AG1720" t="s">
        <v>104</v>
      </c>
    </row>
    <row r="1721" spans="1:33" x14ac:dyDescent="0.2">
      <c r="A1721">
        <v>498</v>
      </c>
      <c r="B1721" t="s">
        <v>9321</v>
      </c>
      <c r="C1721" t="s">
        <v>34</v>
      </c>
      <c r="D1721" t="s">
        <v>35</v>
      </c>
      <c r="E1721" t="s">
        <v>7594</v>
      </c>
      <c r="F1721" t="s">
        <v>7595</v>
      </c>
      <c r="G1721" t="s">
        <v>224</v>
      </c>
      <c r="H1721" t="s">
        <v>225</v>
      </c>
      <c r="I1721" t="s">
        <v>3222</v>
      </c>
      <c r="J1721" t="s">
        <v>337</v>
      </c>
      <c r="K1721">
        <v>1984</v>
      </c>
      <c r="L1721">
        <v>1984</v>
      </c>
      <c r="M1721">
        <v>2.8</v>
      </c>
      <c r="N1721">
        <v>9.0030000000000001</v>
      </c>
      <c r="O1721">
        <v>16.2</v>
      </c>
      <c r="P1721">
        <v>19.73</v>
      </c>
      <c r="Q1721">
        <v>3.6999999999999998E-2</v>
      </c>
      <c r="R1721" t="s">
        <v>97</v>
      </c>
      <c r="S1721" t="s">
        <v>9322</v>
      </c>
      <c r="T1721" t="b">
        <v>1</v>
      </c>
      <c r="U1721" t="s">
        <v>2163</v>
      </c>
      <c r="V1721" t="s">
        <v>7597</v>
      </c>
      <c r="W1721" t="s">
        <v>9323</v>
      </c>
      <c r="X1721" t="s">
        <v>47</v>
      </c>
      <c r="AA1721" t="s">
        <v>102</v>
      </c>
      <c r="AB1721" t="s">
        <v>9324</v>
      </c>
      <c r="AC1721" t="s">
        <v>103</v>
      </c>
      <c r="AD1721" t="b">
        <v>0</v>
      </c>
      <c r="AF1721">
        <v>1</v>
      </c>
      <c r="AG1721" t="s">
        <v>104</v>
      </c>
    </row>
    <row r="1722" spans="1:33" x14ac:dyDescent="0.2">
      <c r="A1722">
        <v>1784</v>
      </c>
      <c r="B1722" t="s">
        <v>9325</v>
      </c>
      <c r="C1722" t="s">
        <v>34</v>
      </c>
      <c r="D1722" t="s">
        <v>35</v>
      </c>
      <c r="E1722" t="s">
        <v>6086</v>
      </c>
      <c r="F1722" t="s">
        <v>6087</v>
      </c>
      <c r="G1722" t="s">
        <v>213</v>
      </c>
      <c r="H1722" t="s">
        <v>83</v>
      </c>
      <c r="I1722" t="s">
        <v>611</v>
      </c>
      <c r="J1722" t="s">
        <v>612</v>
      </c>
      <c r="K1722">
        <v>2014</v>
      </c>
      <c r="L1722">
        <v>2014</v>
      </c>
      <c r="M1722">
        <v>1.464</v>
      </c>
      <c r="N1722">
        <v>4.125</v>
      </c>
      <c r="O1722">
        <v>150.61000000000001</v>
      </c>
      <c r="P1722">
        <v>1.2</v>
      </c>
      <c r="Q1722">
        <v>0.33900000000000002</v>
      </c>
      <c r="R1722" t="s">
        <v>84</v>
      </c>
      <c r="S1722" t="s">
        <v>6088</v>
      </c>
      <c r="T1722" t="b">
        <v>1</v>
      </c>
      <c r="U1722" t="s">
        <v>9326</v>
      </c>
      <c r="V1722" t="s">
        <v>6090</v>
      </c>
      <c r="W1722" t="s">
        <v>9327</v>
      </c>
      <c r="X1722" t="s">
        <v>47</v>
      </c>
      <c r="AA1722" t="s">
        <v>615</v>
      </c>
      <c r="AB1722" t="s">
        <v>7010</v>
      </c>
      <c r="AC1722" t="s">
        <v>616</v>
      </c>
      <c r="AD1722" t="b">
        <v>0</v>
      </c>
      <c r="AF1722">
        <v>4</v>
      </c>
      <c r="AG1722" t="s">
        <v>321</v>
      </c>
    </row>
    <row r="1723" spans="1:33" x14ac:dyDescent="0.2">
      <c r="A1723">
        <v>764</v>
      </c>
      <c r="B1723" t="s">
        <v>9328</v>
      </c>
      <c r="C1723" t="s">
        <v>34</v>
      </c>
      <c r="D1723" t="s">
        <v>35</v>
      </c>
      <c r="E1723" t="s">
        <v>1200</v>
      </c>
      <c r="F1723" t="s">
        <v>1201</v>
      </c>
      <c r="G1723" t="s">
        <v>53</v>
      </c>
      <c r="H1723" t="s">
        <v>54</v>
      </c>
      <c r="I1723" t="s">
        <v>604</v>
      </c>
      <c r="J1723" t="s">
        <v>426</v>
      </c>
      <c r="K1723">
        <v>1999</v>
      </c>
      <c r="L1723">
        <v>1999</v>
      </c>
      <c r="M1723">
        <v>2.8</v>
      </c>
      <c r="N1723">
        <v>12.375</v>
      </c>
      <c r="O1723">
        <v>78.7</v>
      </c>
      <c r="P1723">
        <v>4</v>
      </c>
      <c r="Q1723">
        <v>0.19400000000000001</v>
      </c>
      <c r="R1723" t="s">
        <v>57</v>
      </c>
      <c r="S1723" t="s">
        <v>9329</v>
      </c>
      <c r="T1723" t="b">
        <v>1</v>
      </c>
      <c r="U1723" t="s">
        <v>9330</v>
      </c>
      <c r="V1723" t="s">
        <v>1204</v>
      </c>
      <c r="W1723" t="s">
        <v>9331</v>
      </c>
      <c r="X1723" t="s">
        <v>47</v>
      </c>
      <c r="AA1723" t="s">
        <v>3878</v>
      </c>
      <c r="AB1723" t="s">
        <v>836</v>
      </c>
      <c r="AC1723" t="s">
        <v>3879</v>
      </c>
      <c r="AD1723" t="b">
        <v>0</v>
      </c>
      <c r="AF1723">
        <v>6</v>
      </c>
      <c r="AG1723" t="s">
        <v>64</v>
      </c>
    </row>
    <row r="1724" spans="1:33" x14ac:dyDescent="0.2">
      <c r="A1724">
        <v>1565</v>
      </c>
      <c r="B1724" t="s">
        <v>9332</v>
      </c>
      <c r="C1724" t="s">
        <v>34</v>
      </c>
      <c r="D1724" t="s">
        <v>35</v>
      </c>
      <c r="E1724" t="s">
        <v>682</v>
      </c>
      <c r="F1724" t="s">
        <v>683</v>
      </c>
      <c r="G1724" t="s">
        <v>68</v>
      </c>
      <c r="H1724" t="s">
        <v>69</v>
      </c>
      <c r="I1724" t="s">
        <v>1458</v>
      </c>
      <c r="J1724" t="s">
        <v>1459</v>
      </c>
      <c r="K1724">
        <v>2012</v>
      </c>
      <c r="L1724">
        <v>2012</v>
      </c>
      <c r="M1724">
        <v>5.49</v>
      </c>
      <c r="N1724">
        <v>13.486000000000001</v>
      </c>
      <c r="O1724">
        <v>244</v>
      </c>
      <c r="P1724">
        <v>2.5</v>
      </c>
      <c r="Q1724">
        <v>0.61</v>
      </c>
      <c r="R1724" t="s">
        <v>72</v>
      </c>
      <c r="S1724" t="s">
        <v>1625</v>
      </c>
      <c r="T1724" t="b">
        <v>1</v>
      </c>
      <c r="U1724" t="s">
        <v>9333</v>
      </c>
      <c r="V1724" t="s">
        <v>686</v>
      </c>
      <c r="W1724" t="s">
        <v>9334</v>
      </c>
      <c r="X1724" t="s">
        <v>47</v>
      </c>
      <c r="AA1724" t="s">
        <v>1628</v>
      </c>
      <c r="AB1724" t="s">
        <v>49</v>
      </c>
      <c r="AC1724" t="s">
        <v>1629</v>
      </c>
      <c r="AD1724" t="b">
        <v>0</v>
      </c>
      <c r="AF1724">
        <v>8</v>
      </c>
      <c r="AG1724" t="s">
        <v>78</v>
      </c>
    </row>
    <row r="1725" spans="1:33" x14ac:dyDescent="0.2">
      <c r="A1725">
        <v>500</v>
      </c>
      <c r="B1725" t="s">
        <v>9335</v>
      </c>
      <c r="C1725" t="s">
        <v>574</v>
      </c>
      <c r="D1725" t="s">
        <v>575</v>
      </c>
      <c r="E1725" t="s">
        <v>899</v>
      </c>
      <c r="F1725" t="s">
        <v>900</v>
      </c>
      <c r="G1725" t="s">
        <v>53</v>
      </c>
      <c r="H1725" t="s">
        <v>54</v>
      </c>
      <c r="I1725" t="s">
        <v>2383</v>
      </c>
      <c r="J1725" t="s">
        <v>1072</v>
      </c>
      <c r="K1725">
        <v>1987</v>
      </c>
      <c r="L1725">
        <v>1987</v>
      </c>
      <c r="M1725">
        <v>-1.2</v>
      </c>
      <c r="N1725">
        <v>-1.835</v>
      </c>
      <c r="O1725">
        <v>0</v>
      </c>
      <c r="P1725">
        <v>1.5</v>
      </c>
      <c r="Q1725">
        <v>-0.222</v>
      </c>
      <c r="R1725" t="s">
        <v>57</v>
      </c>
      <c r="S1725" t="s">
        <v>9336</v>
      </c>
      <c r="T1725" t="b">
        <v>1</v>
      </c>
      <c r="U1725" t="s">
        <v>1111</v>
      </c>
      <c r="V1725" t="s">
        <v>904</v>
      </c>
      <c r="W1725" t="s">
        <v>9337</v>
      </c>
      <c r="X1725" t="s">
        <v>47</v>
      </c>
      <c r="AA1725" t="s">
        <v>7092</v>
      </c>
      <c r="AB1725" t="s">
        <v>83</v>
      </c>
      <c r="AC1725" t="s">
        <v>2387</v>
      </c>
      <c r="AD1725" t="b">
        <v>0</v>
      </c>
      <c r="AF1725">
        <v>7</v>
      </c>
      <c r="AG1725" t="s">
        <v>469</v>
      </c>
    </row>
    <row r="1726" spans="1:33" x14ac:dyDescent="0.2">
      <c r="A1726">
        <v>501</v>
      </c>
      <c r="B1726" t="s">
        <v>9338</v>
      </c>
      <c r="C1726" t="s">
        <v>34</v>
      </c>
      <c r="D1726" t="s">
        <v>35</v>
      </c>
      <c r="E1726" t="s">
        <v>9339</v>
      </c>
      <c r="F1726" t="s">
        <v>9340</v>
      </c>
      <c r="G1726" t="s">
        <v>312</v>
      </c>
      <c r="H1726" t="s">
        <v>313</v>
      </c>
      <c r="I1726" t="s">
        <v>3194</v>
      </c>
      <c r="J1726" t="s">
        <v>1697</v>
      </c>
      <c r="K1726">
        <v>1973</v>
      </c>
      <c r="L1726">
        <v>1973</v>
      </c>
      <c r="M1726">
        <v>26</v>
      </c>
      <c r="N1726">
        <v>164.429</v>
      </c>
      <c r="O1726">
        <v>19.5</v>
      </c>
      <c r="P1726">
        <v>150.46</v>
      </c>
      <c r="Q1726">
        <v>4.8000000000000001E-2</v>
      </c>
      <c r="R1726" t="s">
        <v>84</v>
      </c>
      <c r="S1726" t="s">
        <v>9341</v>
      </c>
      <c r="T1726" t="b">
        <v>1</v>
      </c>
      <c r="U1726" t="s">
        <v>44</v>
      </c>
      <c r="V1726" t="s">
        <v>9342</v>
      </c>
      <c r="W1726" t="s">
        <v>9343</v>
      </c>
      <c r="X1726" t="s">
        <v>47</v>
      </c>
      <c r="AA1726" t="s">
        <v>319</v>
      </c>
      <c r="AB1726" t="s">
        <v>49</v>
      </c>
      <c r="AC1726" t="s">
        <v>320</v>
      </c>
      <c r="AD1726" t="b">
        <v>0</v>
      </c>
      <c r="AF1726">
        <v>4</v>
      </c>
      <c r="AG1726" t="s">
        <v>321</v>
      </c>
    </row>
    <row r="1727" spans="1:33" x14ac:dyDescent="0.2">
      <c r="A1727">
        <v>1675</v>
      </c>
      <c r="B1727" t="s">
        <v>9344</v>
      </c>
      <c r="C1727" t="s">
        <v>34</v>
      </c>
      <c r="D1727" t="s">
        <v>35</v>
      </c>
      <c r="E1727" t="s">
        <v>9345</v>
      </c>
      <c r="F1727" t="s">
        <v>9346</v>
      </c>
      <c r="G1727" t="s">
        <v>93</v>
      </c>
      <c r="H1727" t="s">
        <v>94</v>
      </c>
      <c r="I1727" t="s">
        <v>8652</v>
      </c>
      <c r="J1727" t="s">
        <v>54</v>
      </c>
      <c r="K1727">
        <v>2009</v>
      </c>
      <c r="L1727">
        <v>2009</v>
      </c>
      <c r="M1727">
        <v>0.04</v>
      </c>
      <c r="N1727">
        <v>0.3</v>
      </c>
      <c r="O1727">
        <v>8.5</v>
      </c>
      <c r="P1727">
        <v>0.7</v>
      </c>
      <c r="Q1727">
        <v>1.6E-2</v>
      </c>
      <c r="R1727" t="s">
        <v>97</v>
      </c>
      <c r="S1727" t="s">
        <v>9347</v>
      </c>
      <c r="T1727" t="b">
        <v>1</v>
      </c>
      <c r="U1727" t="s">
        <v>1262</v>
      </c>
      <c r="V1727" t="s">
        <v>9348</v>
      </c>
      <c r="W1727" t="s">
        <v>9349</v>
      </c>
      <c r="X1727" t="s">
        <v>47</v>
      </c>
      <c r="AA1727" t="s">
        <v>102</v>
      </c>
      <c r="AC1727" t="s">
        <v>103</v>
      </c>
      <c r="AD1727" t="b">
        <v>0</v>
      </c>
      <c r="AF1727">
        <v>1</v>
      </c>
      <c r="AG1727" t="s">
        <v>104</v>
      </c>
    </row>
    <row r="1728" spans="1:33" x14ac:dyDescent="0.2">
      <c r="A1728">
        <v>502</v>
      </c>
      <c r="B1728" t="s">
        <v>2104</v>
      </c>
      <c r="C1728" t="s">
        <v>34</v>
      </c>
      <c r="D1728" t="s">
        <v>35</v>
      </c>
      <c r="E1728" t="s">
        <v>4112</v>
      </c>
      <c r="F1728" t="s">
        <v>4113</v>
      </c>
      <c r="G1728" t="s">
        <v>242</v>
      </c>
      <c r="H1728" t="s">
        <v>243</v>
      </c>
      <c r="I1728" t="s">
        <v>436</v>
      </c>
      <c r="J1728" t="s">
        <v>437</v>
      </c>
      <c r="K1728">
        <v>1952</v>
      </c>
      <c r="L1728">
        <v>1952</v>
      </c>
      <c r="M1728">
        <v>1.2</v>
      </c>
      <c r="N1728">
        <v>6.7720000000000002</v>
      </c>
      <c r="O1728">
        <v>87</v>
      </c>
      <c r="P1728">
        <v>1.7</v>
      </c>
      <c r="Q1728">
        <v>0.19500000000000001</v>
      </c>
      <c r="R1728" t="s">
        <v>72</v>
      </c>
      <c r="S1728" t="s">
        <v>9350</v>
      </c>
      <c r="T1728" t="b">
        <v>1</v>
      </c>
      <c r="U1728" t="s">
        <v>9351</v>
      </c>
      <c r="V1728" t="s">
        <v>4116</v>
      </c>
      <c r="W1728" t="s">
        <v>9352</v>
      </c>
      <c r="X1728" t="s">
        <v>47</v>
      </c>
      <c r="AA1728" t="s">
        <v>7502</v>
      </c>
      <c r="AB1728" t="s">
        <v>49</v>
      </c>
      <c r="AC1728" t="s">
        <v>7503</v>
      </c>
      <c r="AD1728" t="b">
        <v>0</v>
      </c>
      <c r="AF1728">
        <v>9</v>
      </c>
      <c r="AG1728" t="s">
        <v>251</v>
      </c>
    </row>
    <row r="1729" spans="1:33" x14ac:dyDescent="0.2">
      <c r="A1729">
        <v>1633</v>
      </c>
      <c r="B1729" t="s">
        <v>2104</v>
      </c>
      <c r="C1729" t="s">
        <v>34</v>
      </c>
      <c r="D1729" t="s">
        <v>35</v>
      </c>
      <c r="E1729" t="s">
        <v>9353</v>
      </c>
      <c r="F1729" t="s">
        <v>9354</v>
      </c>
      <c r="G1729" t="s">
        <v>213</v>
      </c>
      <c r="H1729" t="s">
        <v>83</v>
      </c>
      <c r="I1729" t="s">
        <v>214</v>
      </c>
      <c r="J1729" t="s">
        <v>215</v>
      </c>
      <c r="K1729">
        <v>2011</v>
      </c>
      <c r="L1729">
        <v>2011</v>
      </c>
      <c r="M1729">
        <v>1.52</v>
      </c>
      <c r="N1729">
        <v>3.843</v>
      </c>
      <c r="O1729">
        <v>158</v>
      </c>
      <c r="P1729">
        <v>1.2</v>
      </c>
      <c r="Q1729">
        <v>0.35199999999999998</v>
      </c>
      <c r="R1729" t="s">
        <v>84</v>
      </c>
      <c r="S1729" t="s">
        <v>9355</v>
      </c>
      <c r="T1729" t="b">
        <v>1</v>
      </c>
      <c r="U1729" t="s">
        <v>9356</v>
      </c>
      <c r="V1729" t="s">
        <v>9357</v>
      </c>
      <c r="W1729" t="s">
        <v>9358</v>
      </c>
      <c r="X1729" t="s">
        <v>47</v>
      </c>
      <c r="AA1729" t="s">
        <v>7502</v>
      </c>
      <c r="AC1729" t="s">
        <v>63</v>
      </c>
      <c r="AD1729" t="b">
        <v>0</v>
      </c>
      <c r="AF1729">
        <v>5</v>
      </c>
      <c r="AG1729" t="s">
        <v>89</v>
      </c>
    </row>
    <row r="1730" spans="1:33" x14ac:dyDescent="0.2">
      <c r="A1730">
        <v>1628</v>
      </c>
      <c r="B1730" t="s">
        <v>9359</v>
      </c>
      <c r="C1730" t="s">
        <v>34</v>
      </c>
      <c r="D1730" t="s">
        <v>35</v>
      </c>
      <c r="E1730" t="s">
        <v>8122</v>
      </c>
      <c r="F1730" t="s">
        <v>8123</v>
      </c>
      <c r="G1730" t="s">
        <v>134</v>
      </c>
      <c r="H1730" t="s">
        <v>135</v>
      </c>
      <c r="I1730" t="s">
        <v>2074</v>
      </c>
      <c r="J1730" t="s">
        <v>225</v>
      </c>
      <c r="K1730">
        <v>2007</v>
      </c>
      <c r="L1730">
        <v>2007</v>
      </c>
      <c r="M1730">
        <v>1.1000000000000001</v>
      </c>
      <c r="N1730">
        <v>6.673</v>
      </c>
      <c r="O1730">
        <v>39.25</v>
      </c>
      <c r="P1730">
        <v>3.5</v>
      </c>
      <c r="Q1730">
        <v>8.6999999999999994E-2</v>
      </c>
      <c r="R1730" t="s">
        <v>42</v>
      </c>
      <c r="S1730" t="s">
        <v>9360</v>
      </c>
      <c r="T1730" t="b">
        <v>1</v>
      </c>
      <c r="U1730" t="s">
        <v>9361</v>
      </c>
      <c r="V1730" t="s">
        <v>8126</v>
      </c>
      <c r="W1730" t="s">
        <v>9362</v>
      </c>
      <c r="X1730" t="s">
        <v>47</v>
      </c>
      <c r="AA1730" t="s">
        <v>114</v>
      </c>
      <c r="AB1730" t="s">
        <v>177</v>
      </c>
      <c r="AC1730" t="s">
        <v>8129</v>
      </c>
      <c r="AD1730" t="b">
        <v>0</v>
      </c>
      <c r="AF1730">
        <v>10</v>
      </c>
      <c r="AG1730" t="s">
        <v>143</v>
      </c>
    </row>
    <row r="1731" spans="1:33" x14ac:dyDescent="0.2">
      <c r="A1731">
        <v>1909</v>
      </c>
      <c r="B1731" t="s">
        <v>9359</v>
      </c>
      <c r="C1731" t="s">
        <v>34</v>
      </c>
      <c r="D1731" t="s">
        <v>35</v>
      </c>
      <c r="E1731" t="s">
        <v>9363</v>
      </c>
      <c r="F1731" t="s">
        <v>9364</v>
      </c>
      <c r="G1731" t="s">
        <v>213</v>
      </c>
      <c r="H1731" t="s">
        <v>83</v>
      </c>
      <c r="I1731" t="s">
        <v>1672</v>
      </c>
      <c r="J1731" t="s">
        <v>231</v>
      </c>
      <c r="K1731">
        <v>2008</v>
      </c>
      <c r="L1731">
        <v>2008</v>
      </c>
      <c r="M1731">
        <v>9.9000000000000005E-2</v>
      </c>
      <c r="N1731">
        <v>0.127</v>
      </c>
      <c r="R1731" t="s">
        <v>84</v>
      </c>
      <c r="S1731" t="s">
        <v>6059</v>
      </c>
      <c r="T1731" t="b">
        <v>1</v>
      </c>
      <c r="U1731" t="s">
        <v>74</v>
      </c>
      <c r="V1731" t="s">
        <v>9365</v>
      </c>
      <c r="W1731" t="s">
        <v>9366</v>
      </c>
      <c r="X1731" t="s">
        <v>47</v>
      </c>
      <c r="AA1731" t="s">
        <v>114</v>
      </c>
      <c r="AC1731" t="s">
        <v>63</v>
      </c>
      <c r="AD1731" t="b">
        <v>0</v>
      </c>
      <c r="AF1731">
        <v>4</v>
      </c>
      <c r="AG1731" t="s">
        <v>321</v>
      </c>
    </row>
    <row r="1732" spans="1:33" x14ac:dyDescent="0.2">
      <c r="A1732">
        <v>1417</v>
      </c>
      <c r="B1732" t="s">
        <v>9367</v>
      </c>
      <c r="C1732" t="s">
        <v>34</v>
      </c>
      <c r="D1732" t="s">
        <v>35</v>
      </c>
      <c r="E1732" t="s">
        <v>9368</v>
      </c>
      <c r="F1732" t="s">
        <v>9369</v>
      </c>
      <c r="G1732" t="s">
        <v>53</v>
      </c>
      <c r="H1732" t="s">
        <v>54</v>
      </c>
      <c r="I1732" t="s">
        <v>118</v>
      </c>
      <c r="J1732" t="s">
        <v>119</v>
      </c>
      <c r="K1732">
        <v>2008</v>
      </c>
      <c r="L1732">
        <v>2008</v>
      </c>
      <c r="M1732">
        <v>4.1399999999999997</v>
      </c>
      <c r="N1732">
        <v>13.962999999999999</v>
      </c>
      <c r="O1732">
        <v>400.5</v>
      </c>
      <c r="P1732">
        <v>1.2</v>
      </c>
      <c r="Q1732">
        <v>0.95799999999999996</v>
      </c>
      <c r="R1732" t="s">
        <v>84</v>
      </c>
      <c r="S1732" t="s">
        <v>9370</v>
      </c>
      <c r="T1732" t="b">
        <v>1</v>
      </c>
      <c r="U1732" t="s">
        <v>9371</v>
      </c>
      <c r="V1732" t="s">
        <v>9372</v>
      </c>
      <c r="W1732" t="s">
        <v>9373</v>
      </c>
      <c r="X1732" t="s">
        <v>47</v>
      </c>
      <c r="AA1732" t="s">
        <v>9374</v>
      </c>
      <c r="AB1732" t="s">
        <v>49</v>
      </c>
      <c r="AC1732" t="s">
        <v>9375</v>
      </c>
      <c r="AD1732" t="b">
        <v>0</v>
      </c>
      <c r="AF1732">
        <v>5</v>
      </c>
      <c r="AG1732" t="s">
        <v>89</v>
      </c>
    </row>
    <row r="1733" spans="1:33" x14ac:dyDescent="0.2">
      <c r="A1733">
        <v>1743</v>
      </c>
      <c r="B1733" t="s">
        <v>9367</v>
      </c>
      <c r="C1733" t="s">
        <v>34</v>
      </c>
      <c r="D1733" t="s">
        <v>35</v>
      </c>
      <c r="E1733" t="s">
        <v>9376</v>
      </c>
      <c r="F1733" t="s">
        <v>9377</v>
      </c>
      <c r="G1733" t="s">
        <v>53</v>
      </c>
      <c r="H1733" t="s">
        <v>54</v>
      </c>
      <c r="I1733" t="s">
        <v>1165</v>
      </c>
      <c r="J1733" t="s">
        <v>1166</v>
      </c>
      <c r="K1733">
        <v>2013</v>
      </c>
      <c r="L1733">
        <v>2013</v>
      </c>
      <c r="M1733">
        <v>5.4</v>
      </c>
      <c r="N1733">
        <v>12.497</v>
      </c>
      <c r="O1733">
        <v>341</v>
      </c>
      <c r="P1733">
        <v>1.92</v>
      </c>
      <c r="Q1733">
        <v>0.78100000000000003</v>
      </c>
      <c r="R1733" t="s">
        <v>72</v>
      </c>
      <c r="S1733" t="s">
        <v>9378</v>
      </c>
      <c r="T1733" t="b">
        <v>1</v>
      </c>
      <c r="U1733" t="s">
        <v>9379</v>
      </c>
      <c r="V1733" t="s">
        <v>9380</v>
      </c>
      <c r="W1733" t="s">
        <v>9381</v>
      </c>
      <c r="X1733" t="s">
        <v>47</v>
      </c>
      <c r="AA1733" t="s">
        <v>9367</v>
      </c>
      <c r="AB1733" t="s">
        <v>49</v>
      </c>
      <c r="AC1733" t="s">
        <v>9382</v>
      </c>
      <c r="AD1733" t="b">
        <v>0</v>
      </c>
      <c r="AF1733">
        <v>8</v>
      </c>
      <c r="AG1733" t="s">
        <v>78</v>
      </c>
    </row>
    <row r="1734" spans="1:33" x14ac:dyDescent="0.2">
      <c r="A1734">
        <v>1629</v>
      </c>
      <c r="B1734" t="s">
        <v>9383</v>
      </c>
      <c r="C1734" t="s">
        <v>34</v>
      </c>
      <c r="D1734" t="s">
        <v>35</v>
      </c>
      <c r="E1734" t="s">
        <v>9384</v>
      </c>
      <c r="F1734" t="s">
        <v>9385</v>
      </c>
      <c r="G1734" t="s">
        <v>224</v>
      </c>
      <c r="H1734" t="s">
        <v>225</v>
      </c>
      <c r="I1734" t="s">
        <v>3775</v>
      </c>
      <c r="J1734" t="s">
        <v>515</v>
      </c>
      <c r="K1734">
        <v>2011</v>
      </c>
      <c r="L1734">
        <v>2011</v>
      </c>
      <c r="M1734">
        <v>1.25</v>
      </c>
      <c r="N1734">
        <v>4.28</v>
      </c>
      <c r="O1734">
        <v>82.5</v>
      </c>
      <c r="P1734">
        <v>2</v>
      </c>
      <c r="Q1734">
        <v>0.17399999999999999</v>
      </c>
      <c r="R1734" t="s">
        <v>57</v>
      </c>
      <c r="S1734" t="s">
        <v>9386</v>
      </c>
      <c r="T1734" t="b">
        <v>1</v>
      </c>
      <c r="U1734" t="s">
        <v>9387</v>
      </c>
      <c r="V1734" t="s">
        <v>9388</v>
      </c>
      <c r="W1734" t="s">
        <v>9389</v>
      </c>
      <c r="X1734" t="s">
        <v>47</v>
      </c>
      <c r="AA1734" t="s">
        <v>102</v>
      </c>
      <c r="AC1734" t="s">
        <v>103</v>
      </c>
      <c r="AD1734" t="b">
        <v>0</v>
      </c>
      <c r="AF1734">
        <v>2</v>
      </c>
      <c r="AG1734" t="s">
        <v>287</v>
      </c>
    </row>
    <row r="1735" spans="1:33" x14ac:dyDescent="0.2">
      <c r="A1735">
        <v>920</v>
      </c>
      <c r="B1735" t="s">
        <v>9390</v>
      </c>
      <c r="C1735" t="s">
        <v>34</v>
      </c>
      <c r="D1735" t="s">
        <v>35</v>
      </c>
      <c r="E1735" t="s">
        <v>9391</v>
      </c>
      <c r="F1735" t="s">
        <v>9392</v>
      </c>
      <c r="G1735" t="s">
        <v>68</v>
      </c>
      <c r="H1735" t="s">
        <v>69</v>
      </c>
      <c r="I1735" t="s">
        <v>445</v>
      </c>
      <c r="J1735" t="s">
        <v>203</v>
      </c>
      <c r="K1735">
        <v>2001</v>
      </c>
      <c r="L1735">
        <v>2001</v>
      </c>
      <c r="M1735">
        <v>1.1000000000000001</v>
      </c>
      <c r="N1735">
        <v>4.0519999999999996</v>
      </c>
      <c r="O1735">
        <v>436</v>
      </c>
      <c r="P1735">
        <v>0.35</v>
      </c>
      <c r="Q1735">
        <v>0.91300000000000003</v>
      </c>
      <c r="R1735" t="s">
        <v>72</v>
      </c>
      <c r="S1735" t="s">
        <v>9393</v>
      </c>
      <c r="T1735" t="b">
        <v>1</v>
      </c>
      <c r="U1735" t="s">
        <v>9394</v>
      </c>
      <c r="V1735" t="s">
        <v>9395</v>
      </c>
      <c r="W1735" t="s">
        <v>9396</v>
      </c>
      <c r="X1735" t="s">
        <v>47</v>
      </c>
      <c r="AA1735" t="s">
        <v>8851</v>
      </c>
      <c r="AB1735" t="s">
        <v>49</v>
      </c>
      <c r="AC1735" t="s">
        <v>9397</v>
      </c>
      <c r="AD1735" t="b">
        <v>0</v>
      </c>
      <c r="AF1735">
        <v>8</v>
      </c>
      <c r="AG1735" t="s">
        <v>78</v>
      </c>
    </row>
    <row r="1736" spans="1:33" x14ac:dyDescent="0.2">
      <c r="A1736">
        <v>1467</v>
      </c>
      <c r="B1736" t="s">
        <v>9398</v>
      </c>
      <c r="C1736" t="s">
        <v>34</v>
      </c>
      <c r="D1736" t="s">
        <v>35</v>
      </c>
      <c r="E1736" t="s">
        <v>9399</v>
      </c>
      <c r="F1736" t="s">
        <v>9400</v>
      </c>
      <c r="G1736" t="s">
        <v>53</v>
      </c>
      <c r="H1736" t="s">
        <v>54</v>
      </c>
      <c r="I1736" t="s">
        <v>147</v>
      </c>
      <c r="J1736" t="s">
        <v>148</v>
      </c>
      <c r="K1736">
        <v>2008</v>
      </c>
      <c r="L1736">
        <v>2008</v>
      </c>
      <c r="M1736">
        <v>0.22700000000000001</v>
      </c>
      <c r="N1736">
        <v>1.5109999999999999</v>
      </c>
      <c r="O1736">
        <v>9</v>
      </c>
      <c r="P1736">
        <v>3.2</v>
      </c>
      <c r="Q1736">
        <v>0.02</v>
      </c>
      <c r="R1736" t="s">
        <v>72</v>
      </c>
      <c r="S1736" t="s">
        <v>9401</v>
      </c>
      <c r="T1736" t="b">
        <v>1</v>
      </c>
      <c r="U1736" t="s">
        <v>9402</v>
      </c>
      <c r="V1736" t="s">
        <v>9403</v>
      </c>
      <c r="W1736" t="s">
        <v>9404</v>
      </c>
      <c r="X1736" t="s">
        <v>47</v>
      </c>
      <c r="AA1736" t="s">
        <v>374</v>
      </c>
      <c r="AC1736" t="s">
        <v>375</v>
      </c>
      <c r="AD1736" t="b">
        <v>0</v>
      </c>
      <c r="AF1736">
        <v>13</v>
      </c>
      <c r="AG1736" t="s">
        <v>155</v>
      </c>
    </row>
    <row r="1737" spans="1:33" x14ac:dyDescent="0.2">
      <c r="A1737">
        <v>798</v>
      </c>
      <c r="B1737" t="s">
        <v>9405</v>
      </c>
      <c r="C1737" t="s">
        <v>34</v>
      </c>
      <c r="D1737" t="s">
        <v>35</v>
      </c>
      <c r="E1737" t="s">
        <v>9406</v>
      </c>
      <c r="F1737" t="s">
        <v>9407</v>
      </c>
      <c r="G1737" t="s">
        <v>213</v>
      </c>
      <c r="H1737" t="s">
        <v>83</v>
      </c>
      <c r="I1737" t="s">
        <v>2487</v>
      </c>
      <c r="J1737" t="s">
        <v>337</v>
      </c>
      <c r="K1737">
        <v>2003</v>
      </c>
      <c r="L1737">
        <v>2003</v>
      </c>
      <c r="M1737">
        <v>4.4000000000000004</v>
      </c>
      <c r="N1737">
        <v>17.981999999999999</v>
      </c>
      <c r="O1737">
        <v>106.8</v>
      </c>
      <c r="P1737">
        <v>4.5</v>
      </c>
      <c r="Q1737">
        <v>0.253</v>
      </c>
      <c r="R1737" t="s">
        <v>84</v>
      </c>
      <c r="S1737" t="s">
        <v>9408</v>
      </c>
      <c r="T1737" t="b">
        <v>1</v>
      </c>
      <c r="U1737" t="s">
        <v>9409</v>
      </c>
      <c r="V1737" t="s">
        <v>9410</v>
      </c>
      <c r="W1737" t="s">
        <v>9411</v>
      </c>
      <c r="X1737" t="s">
        <v>47</v>
      </c>
      <c r="AA1737" t="s">
        <v>2492</v>
      </c>
      <c r="AB1737" t="s">
        <v>765</v>
      </c>
      <c r="AC1737" t="s">
        <v>2493</v>
      </c>
      <c r="AD1737" t="b">
        <v>0</v>
      </c>
      <c r="AF1737">
        <v>4</v>
      </c>
      <c r="AG1737" t="s">
        <v>321</v>
      </c>
    </row>
    <row r="1738" spans="1:33" x14ac:dyDescent="0.2">
      <c r="A1738">
        <v>1231</v>
      </c>
      <c r="B1738" t="s">
        <v>9412</v>
      </c>
      <c r="C1738" t="s">
        <v>34</v>
      </c>
      <c r="D1738" t="s">
        <v>35</v>
      </c>
      <c r="E1738" t="s">
        <v>9413</v>
      </c>
      <c r="F1738" t="s">
        <v>9414</v>
      </c>
      <c r="G1738" t="s">
        <v>53</v>
      </c>
      <c r="H1738" t="s">
        <v>54</v>
      </c>
      <c r="I1738" t="s">
        <v>901</v>
      </c>
      <c r="J1738" t="s">
        <v>313</v>
      </c>
      <c r="K1738">
        <v>2005</v>
      </c>
      <c r="L1738">
        <v>2005</v>
      </c>
      <c r="M1738">
        <v>5.4</v>
      </c>
      <c r="N1738">
        <v>17.794</v>
      </c>
      <c r="O1738">
        <v>300</v>
      </c>
      <c r="P1738">
        <v>2</v>
      </c>
      <c r="Q1738">
        <v>0.68100000000000005</v>
      </c>
      <c r="R1738" t="s">
        <v>57</v>
      </c>
      <c r="S1738" t="s">
        <v>9415</v>
      </c>
      <c r="T1738" t="b">
        <v>1</v>
      </c>
      <c r="U1738" t="s">
        <v>9416</v>
      </c>
      <c r="V1738" t="s">
        <v>9417</v>
      </c>
      <c r="W1738" t="s">
        <v>9418</v>
      </c>
      <c r="X1738" t="s">
        <v>47</v>
      </c>
      <c r="AA1738" t="s">
        <v>9419</v>
      </c>
      <c r="AB1738" t="s">
        <v>49</v>
      </c>
      <c r="AC1738" t="s">
        <v>9420</v>
      </c>
      <c r="AD1738" t="b">
        <v>0</v>
      </c>
      <c r="AF1738">
        <v>2</v>
      </c>
      <c r="AG1738" t="s">
        <v>287</v>
      </c>
    </row>
    <row r="1739" spans="1:33" x14ac:dyDescent="0.2">
      <c r="A1739">
        <v>914</v>
      </c>
      <c r="B1739" t="s">
        <v>9421</v>
      </c>
      <c r="C1739" t="s">
        <v>34</v>
      </c>
      <c r="D1739" t="s">
        <v>35</v>
      </c>
      <c r="E1739" t="s">
        <v>9422</v>
      </c>
      <c r="F1739" t="s">
        <v>9423</v>
      </c>
      <c r="G1739" t="s">
        <v>53</v>
      </c>
      <c r="H1739" t="s">
        <v>54</v>
      </c>
      <c r="I1739" t="s">
        <v>55</v>
      </c>
      <c r="J1739" t="s">
        <v>56</v>
      </c>
      <c r="K1739">
        <v>1933</v>
      </c>
      <c r="L1739">
        <v>1933</v>
      </c>
      <c r="M1739">
        <v>7.4999999999999997E-2</v>
      </c>
      <c r="N1739">
        <v>0.38900000000000001</v>
      </c>
      <c r="R1739" t="s">
        <v>57</v>
      </c>
      <c r="S1739" t="s">
        <v>9424</v>
      </c>
      <c r="T1739" t="b">
        <v>1</v>
      </c>
      <c r="U1739" t="s">
        <v>3122</v>
      </c>
      <c r="V1739" t="s">
        <v>9425</v>
      </c>
      <c r="W1739" t="s">
        <v>113</v>
      </c>
      <c r="X1739" t="s">
        <v>47</v>
      </c>
      <c r="AA1739" t="s">
        <v>741</v>
      </c>
      <c r="AC1739" t="s">
        <v>742</v>
      </c>
      <c r="AD1739" t="b">
        <v>0</v>
      </c>
      <c r="AF1739">
        <v>6</v>
      </c>
      <c r="AG1739" t="s">
        <v>64</v>
      </c>
    </row>
    <row r="1740" spans="1:33" x14ac:dyDescent="0.2">
      <c r="A1740">
        <v>503</v>
      </c>
      <c r="B1740" t="s">
        <v>3390</v>
      </c>
      <c r="C1740" t="s">
        <v>34</v>
      </c>
      <c r="D1740" t="s">
        <v>35</v>
      </c>
      <c r="E1740" t="s">
        <v>36</v>
      </c>
      <c r="F1740" t="s">
        <v>37</v>
      </c>
      <c r="G1740" t="s">
        <v>503</v>
      </c>
      <c r="H1740" t="s">
        <v>462</v>
      </c>
      <c r="I1740" t="s">
        <v>3390</v>
      </c>
      <c r="J1740" t="s">
        <v>485</v>
      </c>
      <c r="K1740">
        <v>1964</v>
      </c>
      <c r="L1740">
        <v>1964</v>
      </c>
      <c r="M1740">
        <v>300</v>
      </c>
      <c r="N1740">
        <v>1105.3420000000001</v>
      </c>
      <c r="O1740">
        <v>221.8</v>
      </c>
      <c r="P1740">
        <v>165.02</v>
      </c>
      <c r="Q1740">
        <v>0.504</v>
      </c>
      <c r="R1740" t="s">
        <v>84</v>
      </c>
      <c r="S1740" t="s">
        <v>9426</v>
      </c>
      <c r="T1740" t="b">
        <v>1</v>
      </c>
      <c r="U1740" t="s">
        <v>1848</v>
      </c>
      <c r="V1740" t="s">
        <v>45</v>
      </c>
      <c r="W1740" t="s">
        <v>9427</v>
      </c>
      <c r="X1740" t="s">
        <v>47</v>
      </c>
      <c r="AA1740" t="s">
        <v>583</v>
      </c>
      <c r="AB1740" t="s">
        <v>3789</v>
      </c>
      <c r="AC1740" t="s">
        <v>585</v>
      </c>
      <c r="AD1740" t="b">
        <v>0</v>
      </c>
      <c r="AF1740">
        <v>3</v>
      </c>
      <c r="AG1740" t="s">
        <v>332</v>
      </c>
    </row>
    <row r="1741" spans="1:33" x14ac:dyDescent="0.2">
      <c r="A1741">
        <v>504</v>
      </c>
      <c r="B1741" t="s">
        <v>9428</v>
      </c>
      <c r="C1741" t="s">
        <v>34</v>
      </c>
      <c r="D1741" t="s">
        <v>35</v>
      </c>
      <c r="E1741" t="s">
        <v>5770</v>
      </c>
      <c r="F1741" t="s">
        <v>5771</v>
      </c>
      <c r="G1741" t="s">
        <v>93</v>
      </c>
      <c r="H1741" t="s">
        <v>94</v>
      </c>
      <c r="I1741" t="s">
        <v>4352</v>
      </c>
      <c r="J1741" t="s">
        <v>203</v>
      </c>
      <c r="K1741">
        <v>1983</v>
      </c>
      <c r="L1741">
        <v>1983</v>
      </c>
      <c r="M1741">
        <v>7.1</v>
      </c>
      <c r="N1741">
        <v>26.771000000000001</v>
      </c>
      <c r="O1741">
        <v>109</v>
      </c>
      <c r="P1741">
        <v>7.98</v>
      </c>
      <c r="Q1741">
        <v>0.246</v>
      </c>
      <c r="R1741" t="s">
        <v>97</v>
      </c>
      <c r="S1741" t="s">
        <v>9429</v>
      </c>
      <c r="T1741" t="b">
        <v>1</v>
      </c>
      <c r="U1741" t="s">
        <v>9430</v>
      </c>
      <c r="V1741" t="s">
        <v>5775</v>
      </c>
      <c r="W1741" t="s">
        <v>9431</v>
      </c>
      <c r="X1741" t="s">
        <v>47</v>
      </c>
      <c r="AA1741" t="s">
        <v>340</v>
      </c>
      <c r="AB1741" t="s">
        <v>41</v>
      </c>
      <c r="AC1741" t="s">
        <v>1063</v>
      </c>
      <c r="AD1741" t="b">
        <v>0</v>
      </c>
      <c r="AF1741">
        <v>1</v>
      </c>
      <c r="AG1741" t="s">
        <v>104</v>
      </c>
    </row>
    <row r="1742" spans="1:33" x14ac:dyDescent="0.2">
      <c r="A1742">
        <v>1240</v>
      </c>
      <c r="B1742" t="s">
        <v>9432</v>
      </c>
      <c r="C1742" t="s">
        <v>34</v>
      </c>
      <c r="D1742" t="s">
        <v>35</v>
      </c>
      <c r="E1742" t="s">
        <v>9433</v>
      </c>
      <c r="F1742" t="s">
        <v>9434</v>
      </c>
      <c r="G1742" t="s">
        <v>312</v>
      </c>
      <c r="H1742" t="s">
        <v>313</v>
      </c>
      <c r="I1742" t="s">
        <v>1049</v>
      </c>
      <c r="J1742" t="s">
        <v>171</v>
      </c>
      <c r="K1742">
        <v>2005</v>
      </c>
      <c r="L1742">
        <v>2005</v>
      </c>
      <c r="M1742">
        <v>1.4</v>
      </c>
      <c r="N1742">
        <v>3.956</v>
      </c>
      <c r="O1742">
        <v>80</v>
      </c>
      <c r="P1742">
        <v>2.0499999999999998</v>
      </c>
      <c r="Q1742">
        <v>0.19</v>
      </c>
      <c r="R1742" t="s">
        <v>84</v>
      </c>
      <c r="S1742" t="s">
        <v>9435</v>
      </c>
      <c r="T1742" t="b">
        <v>1</v>
      </c>
      <c r="U1742" t="s">
        <v>9436</v>
      </c>
      <c r="V1742" t="s">
        <v>9437</v>
      </c>
      <c r="W1742" t="s">
        <v>9438</v>
      </c>
      <c r="X1742" t="s">
        <v>47</v>
      </c>
      <c r="AA1742" t="s">
        <v>615</v>
      </c>
      <c r="AB1742" t="s">
        <v>462</v>
      </c>
      <c r="AC1742" t="s">
        <v>616</v>
      </c>
      <c r="AD1742" t="b">
        <v>0</v>
      </c>
      <c r="AF1742">
        <v>4</v>
      </c>
      <c r="AG1742" t="s">
        <v>321</v>
      </c>
    </row>
    <row r="1743" spans="1:33" x14ac:dyDescent="0.2">
      <c r="A1743">
        <v>1462</v>
      </c>
      <c r="B1743" t="s">
        <v>9439</v>
      </c>
      <c r="C1743" t="s">
        <v>34</v>
      </c>
      <c r="D1743" t="s">
        <v>35</v>
      </c>
      <c r="E1743" t="s">
        <v>523</v>
      </c>
      <c r="F1743" t="s">
        <v>524</v>
      </c>
      <c r="G1743" t="s">
        <v>134</v>
      </c>
      <c r="H1743" t="s">
        <v>135</v>
      </c>
      <c r="I1743" t="s">
        <v>191</v>
      </c>
      <c r="J1743" t="s">
        <v>192</v>
      </c>
      <c r="K1743">
        <v>2009</v>
      </c>
      <c r="L1743">
        <v>2009</v>
      </c>
      <c r="M1743">
        <v>5</v>
      </c>
      <c r="N1743">
        <v>11.045</v>
      </c>
      <c r="O1743">
        <v>320</v>
      </c>
      <c r="P1743">
        <v>1.93</v>
      </c>
      <c r="Q1743">
        <v>0.72</v>
      </c>
      <c r="R1743" t="s">
        <v>42</v>
      </c>
      <c r="S1743" t="s">
        <v>9440</v>
      </c>
      <c r="T1743" t="b">
        <v>1</v>
      </c>
      <c r="U1743" t="s">
        <v>9441</v>
      </c>
      <c r="V1743" t="s">
        <v>527</v>
      </c>
      <c r="W1743" t="s">
        <v>9442</v>
      </c>
      <c r="X1743" t="s">
        <v>47</v>
      </c>
      <c r="AA1743" t="s">
        <v>9443</v>
      </c>
      <c r="AB1743" t="s">
        <v>49</v>
      </c>
      <c r="AC1743" t="s">
        <v>9444</v>
      </c>
      <c r="AD1743" t="b">
        <v>0</v>
      </c>
      <c r="AF1743">
        <v>11</v>
      </c>
      <c r="AG1743" t="s">
        <v>198</v>
      </c>
    </row>
    <row r="1744" spans="1:33" x14ac:dyDescent="0.2">
      <c r="A1744">
        <v>1098</v>
      </c>
      <c r="B1744" t="s">
        <v>9445</v>
      </c>
      <c r="C1744" t="s">
        <v>34</v>
      </c>
      <c r="D1744" t="s">
        <v>35</v>
      </c>
      <c r="G1744" t="s">
        <v>53</v>
      </c>
      <c r="H1744" t="s">
        <v>54</v>
      </c>
      <c r="I1744" t="s">
        <v>1808</v>
      </c>
      <c r="J1744" t="s">
        <v>69</v>
      </c>
      <c r="K1744">
        <v>1995</v>
      </c>
      <c r="L1744">
        <v>1995</v>
      </c>
      <c r="M1744">
        <v>0.2</v>
      </c>
      <c r="N1744">
        <v>1.1379999999999999</v>
      </c>
      <c r="R1744" t="s">
        <v>84</v>
      </c>
      <c r="S1744" t="s">
        <v>9446</v>
      </c>
      <c r="T1744" t="b">
        <v>1</v>
      </c>
      <c r="U1744" t="s">
        <v>2566</v>
      </c>
      <c r="V1744" t="s">
        <v>274</v>
      </c>
      <c r="W1744" t="s">
        <v>9447</v>
      </c>
      <c r="X1744" t="s">
        <v>47</v>
      </c>
      <c r="AA1744" t="s">
        <v>9448</v>
      </c>
      <c r="AC1744" t="s">
        <v>63</v>
      </c>
      <c r="AD1744" t="b">
        <v>0</v>
      </c>
      <c r="AF1744">
        <v>5</v>
      </c>
      <c r="AG1744" t="s">
        <v>89</v>
      </c>
    </row>
    <row r="1745" spans="1:33" x14ac:dyDescent="0.2">
      <c r="A1745">
        <v>505</v>
      </c>
      <c r="B1745" t="s">
        <v>9449</v>
      </c>
      <c r="C1745" t="s">
        <v>34</v>
      </c>
      <c r="D1745" t="s">
        <v>35</v>
      </c>
      <c r="E1745" t="s">
        <v>4088</v>
      </c>
      <c r="F1745" t="s">
        <v>4089</v>
      </c>
      <c r="G1745" t="s">
        <v>224</v>
      </c>
      <c r="H1745" t="s">
        <v>225</v>
      </c>
      <c r="I1745" t="s">
        <v>2631</v>
      </c>
      <c r="J1745" t="s">
        <v>308</v>
      </c>
      <c r="K1745">
        <v>1919</v>
      </c>
      <c r="L1745">
        <v>1919</v>
      </c>
      <c r="M1745">
        <v>33.5</v>
      </c>
      <c r="N1745">
        <v>141.44800000000001</v>
      </c>
      <c r="O1745">
        <v>20.100000000000001</v>
      </c>
      <c r="P1745">
        <v>201</v>
      </c>
      <c r="Q1745">
        <v>4.7E-2</v>
      </c>
      <c r="R1745" t="s">
        <v>84</v>
      </c>
      <c r="S1745" t="s">
        <v>9450</v>
      </c>
      <c r="T1745" t="b">
        <v>1</v>
      </c>
      <c r="U1745" t="s">
        <v>4224</v>
      </c>
      <c r="V1745" t="s">
        <v>4092</v>
      </c>
      <c r="W1745" t="s">
        <v>9451</v>
      </c>
      <c r="X1745" t="s">
        <v>47</v>
      </c>
      <c r="AA1745" t="s">
        <v>1548</v>
      </c>
      <c r="AB1745" t="s">
        <v>401</v>
      </c>
      <c r="AC1745" t="s">
        <v>1549</v>
      </c>
      <c r="AD1745" t="b">
        <v>0</v>
      </c>
      <c r="AF1745">
        <v>3</v>
      </c>
      <c r="AG1745" t="s">
        <v>332</v>
      </c>
    </row>
    <row r="1746" spans="1:33" x14ac:dyDescent="0.2">
      <c r="A1746">
        <v>506</v>
      </c>
      <c r="B1746" t="s">
        <v>9452</v>
      </c>
      <c r="C1746" t="s">
        <v>34</v>
      </c>
      <c r="D1746" t="s">
        <v>35</v>
      </c>
      <c r="E1746" t="s">
        <v>222</v>
      </c>
      <c r="F1746" t="s">
        <v>223</v>
      </c>
      <c r="G1746" t="s">
        <v>224</v>
      </c>
      <c r="H1746" t="s">
        <v>225</v>
      </c>
      <c r="I1746" t="s">
        <v>226</v>
      </c>
      <c r="J1746" t="s">
        <v>227</v>
      </c>
      <c r="K1746">
        <v>1958</v>
      </c>
      <c r="L1746">
        <v>1958</v>
      </c>
      <c r="M1746">
        <v>12.5</v>
      </c>
      <c r="N1746">
        <v>70.393000000000001</v>
      </c>
      <c r="O1746">
        <v>17.29</v>
      </c>
      <c r="P1746">
        <v>82</v>
      </c>
      <c r="Q1746">
        <v>4.2000000000000003E-2</v>
      </c>
      <c r="R1746" t="s">
        <v>97</v>
      </c>
      <c r="S1746" t="s">
        <v>9453</v>
      </c>
      <c r="T1746" t="b">
        <v>1</v>
      </c>
      <c r="U1746" t="s">
        <v>9454</v>
      </c>
      <c r="V1746" t="s">
        <v>9455</v>
      </c>
      <c r="W1746" t="s">
        <v>9456</v>
      </c>
      <c r="X1746" t="s">
        <v>47</v>
      </c>
      <c r="AA1746" t="s">
        <v>102</v>
      </c>
      <c r="AB1746" t="s">
        <v>836</v>
      </c>
      <c r="AC1746" t="s">
        <v>103</v>
      </c>
      <c r="AD1746" t="b">
        <v>0</v>
      </c>
      <c r="AF1746">
        <v>1</v>
      </c>
      <c r="AG1746" t="s">
        <v>104</v>
      </c>
    </row>
    <row r="1747" spans="1:33" x14ac:dyDescent="0.2">
      <c r="A1747">
        <v>1746</v>
      </c>
      <c r="B1747" t="s">
        <v>9457</v>
      </c>
      <c r="C1747" t="s">
        <v>34</v>
      </c>
      <c r="D1747" t="s">
        <v>35</v>
      </c>
      <c r="E1747" t="s">
        <v>9458</v>
      </c>
      <c r="F1747" t="s">
        <v>9459</v>
      </c>
      <c r="G1747" t="s">
        <v>242</v>
      </c>
      <c r="H1747" t="s">
        <v>243</v>
      </c>
      <c r="I1747" t="s">
        <v>1003</v>
      </c>
      <c r="J1747" t="s">
        <v>192</v>
      </c>
      <c r="K1747">
        <v>2013</v>
      </c>
      <c r="L1747">
        <v>2013</v>
      </c>
      <c r="M1747">
        <v>4.9420000000000002</v>
      </c>
      <c r="N1747">
        <v>12.125</v>
      </c>
      <c r="O1747">
        <v>140</v>
      </c>
      <c r="P1747">
        <v>4.7</v>
      </c>
      <c r="Q1747">
        <v>0.32400000000000001</v>
      </c>
      <c r="R1747" t="s">
        <v>72</v>
      </c>
      <c r="S1747" t="s">
        <v>9460</v>
      </c>
      <c r="T1747" t="b">
        <v>1</v>
      </c>
      <c r="U1747" t="s">
        <v>9461</v>
      </c>
      <c r="V1747" t="s">
        <v>9462</v>
      </c>
      <c r="W1747" t="s">
        <v>9463</v>
      </c>
      <c r="X1747" t="s">
        <v>47</v>
      </c>
      <c r="AA1747" t="s">
        <v>9464</v>
      </c>
      <c r="AC1747" t="s">
        <v>63</v>
      </c>
      <c r="AD1747" t="b">
        <v>0</v>
      </c>
      <c r="AF1747">
        <v>9</v>
      </c>
      <c r="AG1747" t="s">
        <v>251</v>
      </c>
    </row>
    <row r="1748" spans="1:33" x14ac:dyDescent="0.2">
      <c r="A1748">
        <v>1712</v>
      </c>
      <c r="B1748" t="s">
        <v>9465</v>
      </c>
      <c r="C1748" t="s">
        <v>34</v>
      </c>
      <c r="D1748" t="s">
        <v>35</v>
      </c>
      <c r="E1748" t="s">
        <v>9466</v>
      </c>
      <c r="F1748" t="s">
        <v>9467</v>
      </c>
      <c r="G1748" t="s">
        <v>242</v>
      </c>
      <c r="H1748" t="s">
        <v>243</v>
      </c>
      <c r="I1748" t="s">
        <v>799</v>
      </c>
      <c r="J1748" t="s">
        <v>96</v>
      </c>
      <c r="K1748">
        <v>2012</v>
      </c>
      <c r="L1748">
        <v>2012</v>
      </c>
      <c r="M1748">
        <v>0.99</v>
      </c>
      <c r="N1748">
        <v>2.6349999999999998</v>
      </c>
      <c r="O1748">
        <v>198</v>
      </c>
      <c r="P1748">
        <v>0.6</v>
      </c>
      <c r="Q1748">
        <v>0.46300000000000002</v>
      </c>
      <c r="R1748" t="s">
        <v>72</v>
      </c>
      <c r="S1748" t="s">
        <v>9468</v>
      </c>
      <c r="T1748" t="b">
        <v>1</v>
      </c>
      <c r="U1748" t="s">
        <v>3847</v>
      </c>
      <c r="V1748" t="s">
        <v>9469</v>
      </c>
      <c r="W1748" t="s">
        <v>9470</v>
      </c>
      <c r="X1748" t="s">
        <v>47</v>
      </c>
      <c r="AA1748" t="s">
        <v>1180</v>
      </c>
      <c r="AB1748" t="s">
        <v>177</v>
      </c>
      <c r="AC1748" t="s">
        <v>8168</v>
      </c>
      <c r="AD1748" t="b">
        <v>0</v>
      </c>
      <c r="AF1748">
        <v>9</v>
      </c>
      <c r="AG1748" t="s">
        <v>251</v>
      </c>
    </row>
    <row r="1749" spans="1:33" x14ac:dyDescent="0.2">
      <c r="A1749">
        <v>1002</v>
      </c>
      <c r="B1749" t="s">
        <v>9471</v>
      </c>
      <c r="C1749" t="s">
        <v>34</v>
      </c>
      <c r="D1749" t="s">
        <v>35</v>
      </c>
      <c r="E1749" t="s">
        <v>9472</v>
      </c>
      <c r="F1749" t="s">
        <v>9473</v>
      </c>
      <c r="G1749" t="s">
        <v>53</v>
      </c>
      <c r="H1749" t="s">
        <v>54</v>
      </c>
      <c r="I1749" t="s">
        <v>118</v>
      </c>
      <c r="J1749" t="s">
        <v>119</v>
      </c>
      <c r="K1749">
        <v>2000</v>
      </c>
      <c r="L1749">
        <v>2000</v>
      </c>
      <c r="M1749">
        <v>0.15</v>
      </c>
      <c r="N1749">
        <v>0.67400000000000004</v>
      </c>
      <c r="R1749" t="s">
        <v>84</v>
      </c>
      <c r="S1749" t="s">
        <v>6870</v>
      </c>
      <c r="T1749" t="b">
        <v>1</v>
      </c>
      <c r="U1749" t="s">
        <v>754</v>
      </c>
      <c r="V1749" t="s">
        <v>9474</v>
      </c>
      <c r="W1749" t="s">
        <v>9475</v>
      </c>
      <c r="X1749" t="s">
        <v>47</v>
      </c>
      <c r="AA1749" t="s">
        <v>3341</v>
      </c>
      <c r="AC1749" t="s">
        <v>2483</v>
      </c>
      <c r="AD1749" t="b">
        <v>0</v>
      </c>
      <c r="AF1749">
        <v>5</v>
      </c>
      <c r="AG1749" t="s">
        <v>89</v>
      </c>
    </row>
    <row r="1750" spans="1:33" x14ac:dyDescent="0.2">
      <c r="A1750">
        <v>1119</v>
      </c>
      <c r="B1750" t="s">
        <v>9476</v>
      </c>
      <c r="C1750" t="s">
        <v>34</v>
      </c>
      <c r="D1750" t="s">
        <v>35</v>
      </c>
      <c r="G1750" t="s">
        <v>242</v>
      </c>
      <c r="H1750" t="s">
        <v>243</v>
      </c>
      <c r="I1750" t="s">
        <v>244</v>
      </c>
      <c r="J1750" t="s">
        <v>245</v>
      </c>
      <c r="K1750">
        <v>2004</v>
      </c>
      <c r="L1750">
        <v>2004</v>
      </c>
      <c r="M1750">
        <v>6.0000000000000001E-3</v>
      </c>
      <c r="N1750">
        <v>6.0000000000000001E-3</v>
      </c>
      <c r="R1750" t="s">
        <v>72</v>
      </c>
      <c r="S1750" t="s">
        <v>5928</v>
      </c>
      <c r="T1750" t="b">
        <v>1</v>
      </c>
      <c r="U1750" t="s">
        <v>637</v>
      </c>
      <c r="V1750" t="s">
        <v>274</v>
      </c>
      <c r="W1750" t="s">
        <v>9477</v>
      </c>
      <c r="X1750" t="s">
        <v>47</v>
      </c>
      <c r="AA1750" t="s">
        <v>5931</v>
      </c>
      <c r="AC1750" t="s">
        <v>63</v>
      </c>
      <c r="AD1750" t="b">
        <v>0</v>
      </c>
      <c r="AF1750">
        <v>9</v>
      </c>
      <c r="AG1750" t="s">
        <v>251</v>
      </c>
    </row>
    <row r="1751" spans="1:33" x14ac:dyDescent="0.2">
      <c r="A1751">
        <v>1026</v>
      </c>
      <c r="B1751" t="s">
        <v>9478</v>
      </c>
      <c r="C1751" t="s">
        <v>34</v>
      </c>
      <c r="D1751" t="s">
        <v>35</v>
      </c>
      <c r="E1751" t="s">
        <v>5236</v>
      </c>
      <c r="F1751" t="s">
        <v>5237</v>
      </c>
      <c r="G1751" t="s">
        <v>242</v>
      </c>
      <c r="H1751" t="s">
        <v>243</v>
      </c>
      <c r="I1751" t="s">
        <v>2625</v>
      </c>
      <c r="J1751" t="s">
        <v>2626</v>
      </c>
      <c r="K1751">
        <v>1939</v>
      </c>
      <c r="L1751">
        <v>1939</v>
      </c>
      <c r="M1751">
        <v>1.59</v>
      </c>
      <c r="N1751">
        <v>6.8550000000000004</v>
      </c>
      <c r="O1751">
        <v>82</v>
      </c>
      <c r="P1751">
        <v>2.4</v>
      </c>
      <c r="Q1751">
        <v>0.184</v>
      </c>
      <c r="R1751" t="s">
        <v>72</v>
      </c>
      <c r="S1751" t="s">
        <v>9479</v>
      </c>
      <c r="T1751" t="b">
        <v>1</v>
      </c>
      <c r="U1751" t="s">
        <v>9480</v>
      </c>
      <c r="V1751" t="s">
        <v>5240</v>
      </c>
      <c r="W1751" t="s">
        <v>9481</v>
      </c>
      <c r="X1751" t="s">
        <v>47</v>
      </c>
      <c r="AA1751" t="s">
        <v>1017</v>
      </c>
      <c r="AB1751" t="s">
        <v>177</v>
      </c>
      <c r="AC1751" t="s">
        <v>1018</v>
      </c>
      <c r="AD1751" t="b">
        <v>0</v>
      </c>
      <c r="AF1751">
        <v>8</v>
      </c>
      <c r="AG1751" t="s">
        <v>78</v>
      </c>
    </row>
    <row r="1752" spans="1:33" x14ac:dyDescent="0.2">
      <c r="A1752">
        <v>1822</v>
      </c>
      <c r="B1752" t="s">
        <v>9482</v>
      </c>
      <c r="C1752" t="s">
        <v>34</v>
      </c>
      <c r="D1752" t="s">
        <v>35</v>
      </c>
      <c r="E1752" t="s">
        <v>9483</v>
      </c>
      <c r="F1752" t="s">
        <v>9484</v>
      </c>
      <c r="G1752" t="s">
        <v>53</v>
      </c>
      <c r="H1752" t="s">
        <v>54</v>
      </c>
      <c r="I1752" t="s">
        <v>55</v>
      </c>
      <c r="J1752" t="s">
        <v>56</v>
      </c>
      <c r="K1752">
        <v>2017</v>
      </c>
      <c r="L1752">
        <v>2017</v>
      </c>
      <c r="M1752">
        <v>7.1</v>
      </c>
      <c r="N1752">
        <v>15.436999999999999</v>
      </c>
      <c r="O1752">
        <v>540</v>
      </c>
      <c r="P1752">
        <v>1.57</v>
      </c>
      <c r="Q1752">
        <v>1.256</v>
      </c>
      <c r="R1752" t="s">
        <v>57</v>
      </c>
      <c r="S1752" t="s">
        <v>9485</v>
      </c>
      <c r="T1752" t="b">
        <v>1</v>
      </c>
      <c r="U1752" t="s">
        <v>9486</v>
      </c>
      <c r="V1752" t="s">
        <v>9487</v>
      </c>
      <c r="W1752" t="s">
        <v>9488</v>
      </c>
      <c r="X1752" t="s">
        <v>47</v>
      </c>
      <c r="AA1752" t="s">
        <v>741</v>
      </c>
      <c r="AC1752" t="s">
        <v>742</v>
      </c>
      <c r="AD1752" t="b">
        <v>0</v>
      </c>
      <c r="AF1752">
        <v>6</v>
      </c>
      <c r="AG1752" t="s">
        <v>64</v>
      </c>
    </row>
    <row r="1753" spans="1:33" x14ac:dyDescent="0.2">
      <c r="A1753">
        <v>507</v>
      </c>
      <c r="B1753" t="s">
        <v>9489</v>
      </c>
      <c r="C1753" t="s">
        <v>34</v>
      </c>
      <c r="D1753" t="s">
        <v>35</v>
      </c>
      <c r="E1753" t="s">
        <v>1844</v>
      </c>
      <c r="F1753" t="s">
        <v>1845</v>
      </c>
      <c r="G1753" t="s">
        <v>503</v>
      </c>
      <c r="H1753" t="s">
        <v>462</v>
      </c>
      <c r="I1753" t="s">
        <v>1846</v>
      </c>
      <c r="J1753" t="s">
        <v>135</v>
      </c>
      <c r="K1753">
        <v>1962</v>
      </c>
      <c r="L1753">
        <v>1962</v>
      </c>
      <c r="M1753">
        <v>36</v>
      </c>
      <c r="N1753">
        <v>200.29499999999999</v>
      </c>
      <c r="O1753">
        <v>23</v>
      </c>
      <c r="P1753">
        <v>178.57</v>
      </c>
      <c r="Q1753">
        <v>5.6000000000000001E-2</v>
      </c>
      <c r="R1753" t="s">
        <v>84</v>
      </c>
      <c r="S1753" t="s">
        <v>1847</v>
      </c>
      <c r="T1753" t="b">
        <v>1</v>
      </c>
      <c r="U1753" t="s">
        <v>9490</v>
      </c>
      <c r="V1753" t="s">
        <v>1849</v>
      </c>
      <c r="W1753" t="s">
        <v>1850</v>
      </c>
      <c r="X1753" t="s">
        <v>47</v>
      </c>
      <c r="AA1753" t="s">
        <v>583</v>
      </c>
      <c r="AB1753" t="s">
        <v>2786</v>
      </c>
      <c r="AC1753" t="s">
        <v>585</v>
      </c>
      <c r="AD1753" t="b">
        <v>0</v>
      </c>
      <c r="AF1753">
        <v>3</v>
      </c>
      <c r="AG1753" t="s">
        <v>332</v>
      </c>
    </row>
    <row r="1754" spans="1:33" x14ac:dyDescent="0.2">
      <c r="A1754">
        <v>508</v>
      </c>
      <c r="B1754" t="s">
        <v>9491</v>
      </c>
      <c r="C1754" t="s">
        <v>34</v>
      </c>
      <c r="D1754" t="s">
        <v>35</v>
      </c>
      <c r="E1754" t="s">
        <v>91</v>
      </c>
      <c r="F1754" t="s">
        <v>92</v>
      </c>
      <c r="G1754" t="s">
        <v>224</v>
      </c>
      <c r="H1754" t="s">
        <v>225</v>
      </c>
      <c r="I1754" t="s">
        <v>4084</v>
      </c>
      <c r="J1754" t="s">
        <v>94</v>
      </c>
      <c r="K1754">
        <v>1960</v>
      </c>
      <c r="L1754">
        <v>1960</v>
      </c>
      <c r="M1754">
        <v>13</v>
      </c>
      <c r="N1754">
        <v>74.418999999999997</v>
      </c>
      <c r="O1754">
        <v>376.1</v>
      </c>
      <c r="P1754">
        <v>4.5</v>
      </c>
      <c r="Q1754">
        <v>0.80200000000000005</v>
      </c>
      <c r="R1754" t="s">
        <v>97</v>
      </c>
      <c r="S1754" t="s">
        <v>9492</v>
      </c>
      <c r="T1754" t="b">
        <v>1</v>
      </c>
      <c r="U1754" t="s">
        <v>9493</v>
      </c>
      <c r="V1754" t="s">
        <v>100</v>
      </c>
      <c r="W1754" t="s">
        <v>9494</v>
      </c>
      <c r="X1754" t="s">
        <v>47</v>
      </c>
      <c r="AA1754" t="s">
        <v>1548</v>
      </c>
      <c r="AB1754" t="s">
        <v>280</v>
      </c>
      <c r="AC1754" t="s">
        <v>1549</v>
      </c>
      <c r="AD1754" t="b">
        <v>0</v>
      </c>
      <c r="AF1754">
        <v>1</v>
      </c>
      <c r="AG1754" t="s">
        <v>104</v>
      </c>
    </row>
    <row r="1755" spans="1:33" x14ac:dyDescent="0.2">
      <c r="A1755">
        <v>1316</v>
      </c>
      <c r="B1755" t="s">
        <v>9495</v>
      </c>
      <c r="C1755" t="s">
        <v>34</v>
      </c>
      <c r="D1755" t="s">
        <v>35</v>
      </c>
      <c r="E1755" t="s">
        <v>9496</v>
      </c>
      <c r="F1755" t="s">
        <v>9497</v>
      </c>
      <c r="G1755" t="s">
        <v>242</v>
      </c>
      <c r="H1755" t="s">
        <v>243</v>
      </c>
      <c r="I1755" t="s">
        <v>2625</v>
      </c>
      <c r="J1755" t="s">
        <v>2626</v>
      </c>
      <c r="K1755">
        <v>2005</v>
      </c>
      <c r="L1755">
        <v>2005</v>
      </c>
      <c r="M1755">
        <v>0.09</v>
      </c>
      <c r="N1755">
        <v>0.505</v>
      </c>
      <c r="R1755" t="s">
        <v>72</v>
      </c>
      <c r="S1755" t="s">
        <v>6120</v>
      </c>
      <c r="T1755" t="b">
        <v>1</v>
      </c>
      <c r="U1755" t="s">
        <v>237</v>
      </c>
      <c r="V1755" t="s">
        <v>9498</v>
      </c>
      <c r="W1755" t="s">
        <v>9499</v>
      </c>
      <c r="X1755" t="s">
        <v>47</v>
      </c>
      <c r="AA1755" t="s">
        <v>6124</v>
      </c>
      <c r="AC1755" t="s">
        <v>63</v>
      </c>
      <c r="AD1755" t="b">
        <v>0</v>
      </c>
      <c r="AF1755">
        <v>8</v>
      </c>
      <c r="AG1755" t="s">
        <v>78</v>
      </c>
    </row>
    <row r="1756" spans="1:33" x14ac:dyDescent="0.2">
      <c r="A1756">
        <v>1819</v>
      </c>
      <c r="B1756" t="s">
        <v>9500</v>
      </c>
      <c r="C1756" t="s">
        <v>34</v>
      </c>
      <c r="D1756" t="s">
        <v>35</v>
      </c>
      <c r="E1756" t="s">
        <v>9501</v>
      </c>
      <c r="F1756" t="s">
        <v>9502</v>
      </c>
      <c r="G1756" t="s">
        <v>242</v>
      </c>
      <c r="H1756" t="s">
        <v>243</v>
      </c>
      <c r="I1756" t="s">
        <v>2348</v>
      </c>
      <c r="J1756" t="s">
        <v>225</v>
      </c>
      <c r="K1756">
        <v>2015</v>
      </c>
      <c r="L1756">
        <v>2015</v>
      </c>
      <c r="M1756">
        <v>0.9</v>
      </c>
      <c r="N1756">
        <v>2.7469999999999999</v>
      </c>
      <c r="O1756">
        <v>76</v>
      </c>
      <c r="P1756">
        <v>1.5</v>
      </c>
      <c r="Q1756">
        <v>0.16700000000000001</v>
      </c>
      <c r="R1756" t="s">
        <v>72</v>
      </c>
      <c r="S1756" t="s">
        <v>9503</v>
      </c>
      <c r="T1756" t="b">
        <v>1</v>
      </c>
      <c r="U1756" t="s">
        <v>9504</v>
      </c>
      <c r="V1756" t="s">
        <v>9505</v>
      </c>
      <c r="W1756" t="s">
        <v>9506</v>
      </c>
      <c r="X1756" t="s">
        <v>47</v>
      </c>
      <c r="AA1756" t="s">
        <v>982</v>
      </c>
      <c r="AC1756" t="s">
        <v>983</v>
      </c>
      <c r="AD1756" t="b">
        <v>0</v>
      </c>
      <c r="AF1756">
        <v>9</v>
      </c>
      <c r="AG1756" t="s">
        <v>251</v>
      </c>
    </row>
    <row r="1757" spans="1:33" x14ac:dyDescent="0.2">
      <c r="A1757">
        <v>1455</v>
      </c>
      <c r="B1757" t="s">
        <v>9507</v>
      </c>
      <c r="C1757" t="s">
        <v>34</v>
      </c>
      <c r="D1757" t="s">
        <v>35</v>
      </c>
      <c r="E1757" t="s">
        <v>168</v>
      </c>
      <c r="F1757" t="s">
        <v>169</v>
      </c>
      <c r="G1757" t="s">
        <v>213</v>
      </c>
      <c r="H1757" t="s">
        <v>83</v>
      </c>
      <c r="I1757" t="s">
        <v>214</v>
      </c>
      <c r="J1757" t="s">
        <v>215</v>
      </c>
      <c r="K1757">
        <v>2012</v>
      </c>
      <c r="L1757">
        <v>2012</v>
      </c>
      <c r="M1757">
        <v>3.3</v>
      </c>
      <c r="N1757">
        <v>6.774</v>
      </c>
      <c r="O1757">
        <v>422</v>
      </c>
      <c r="P1757">
        <v>0.98</v>
      </c>
      <c r="Q1757">
        <v>0.93500000000000005</v>
      </c>
      <c r="R1757" t="s">
        <v>84</v>
      </c>
      <c r="S1757" t="s">
        <v>9508</v>
      </c>
      <c r="T1757" t="b">
        <v>1</v>
      </c>
      <c r="U1757" t="s">
        <v>9509</v>
      </c>
      <c r="V1757" t="s">
        <v>174</v>
      </c>
      <c r="W1757" t="s">
        <v>9510</v>
      </c>
      <c r="X1757" t="s">
        <v>47</v>
      </c>
      <c r="AA1757" t="s">
        <v>9507</v>
      </c>
      <c r="AB1757" t="s">
        <v>49</v>
      </c>
      <c r="AC1757" t="s">
        <v>9511</v>
      </c>
      <c r="AD1757" t="b">
        <v>0</v>
      </c>
      <c r="AF1757">
        <v>5</v>
      </c>
      <c r="AG1757" t="s">
        <v>89</v>
      </c>
    </row>
    <row r="1758" spans="1:33" x14ac:dyDescent="0.2">
      <c r="A1758">
        <v>921</v>
      </c>
      <c r="B1758" t="s">
        <v>9512</v>
      </c>
      <c r="C1758" t="s">
        <v>34</v>
      </c>
      <c r="D1758" t="s">
        <v>35</v>
      </c>
      <c r="G1758" t="s">
        <v>68</v>
      </c>
      <c r="H1758" t="s">
        <v>69</v>
      </c>
      <c r="I1758" t="s">
        <v>5713</v>
      </c>
      <c r="J1758" t="s">
        <v>245</v>
      </c>
      <c r="K1758">
        <v>2003</v>
      </c>
      <c r="L1758">
        <v>2003</v>
      </c>
      <c r="M1758">
        <v>9.9000000000000005E-2</v>
      </c>
      <c r="N1758">
        <v>0.55900000000000005</v>
      </c>
      <c r="R1758" t="s">
        <v>72</v>
      </c>
      <c r="S1758" t="s">
        <v>9513</v>
      </c>
      <c r="T1758" t="b">
        <v>1</v>
      </c>
      <c r="U1758" t="s">
        <v>2246</v>
      </c>
      <c r="V1758" t="s">
        <v>274</v>
      </c>
      <c r="W1758" t="s">
        <v>9514</v>
      </c>
      <c r="X1758" t="s">
        <v>47</v>
      </c>
      <c r="AA1758" t="s">
        <v>9515</v>
      </c>
      <c r="AC1758" t="s">
        <v>63</v>
      </c>
      <c r="AD1758" t="b">
        <v>0</v>
      </c>
      <c r="AF1758">
        <v>8</v>
      </c>
      <c r="AG1758" t="s">
        <v>78</v>
      </c>
    </row>
    <row r="1759" spans="1:33" x14ac:dyDescent="0.2">
      <c r="A1759">
        <v>1324</v>
      </c>
      <c r="B1759" t="s">
        <v>9516</v>
      </c>
      <c r="C1759" t="s">
        <v>34</v>
      </c>
      <c r="D1759" t="s">
        <v>35</v>
      </c>
      <c r="E1759" t="s">
        <v>9517</v>
      </c>
      <c r="F1759" t="s">
        <v>9518</v>
      </c>
      <c r="G1759" t="s">
        <v>213</v>
      </c>
      <c r="H1759" t="s">
        <v>83</v>
      </c>
      <c r="I1759" t="s">
        <v>635</v>
      </c>
      <c r="J1759" t="s">
        <v>94</v>
      </c>
      <c r="K1759">
        <v>2007</v>
      </c>
      <c r="L1759">
        <v>2007</v>
      </c>
      <c r="M1759">
        <v>0.49</v>
      </c>
      <c r="N1759">
        <v>1.0429999999999999</v>
      </c>
      <c r="R1759" t="s">
        <v>84</v>
      </c>
      <c r="S1759" t="s">
        <v>9519</v>
      </c>
      <c r="T1759" t="b">
        <v>1</v>
      </c>
      <c r="U1759" t="s">
        <v>9520</v>
      </c>
      <c r="V1759" t="s">
        <v>9521</v>
      </c>
      <c r="W1759" t="s">
        <v>9522</v>
      </c>
      <c r="X1759" t="s">
        <v>47</v>
      </c>
      <c r="AA1759" t="s">
        <v>114</v>
      </c>
      <c r="AC1759" t="s">
        <v>63</v>
      </c>
      <c r="AD1759" t="b">
        <v>0</v>
      </c>
      <c r="AF1759">
        <v>3</v>
      </c>
      <c r="AG1759" t="s">
        <v>332</v>
      </c>
    </row>
    <row r="1760" spans="1:33" x14ac:dyDescent="0.2">
      <c r="A1760">
        <v>1353</v>
      </c>
      <c r="B1760" t="s">
        <v>9523</v>
      </c>
      <c r="C1760" t="s">
        <v>34</v>
      </c>
      <c r="D1760" t="s">
        <v>35</v>
      </c>
      <c r="E1760" t="s">
        <v>9524</v>
      </c>
      <c r="F1760" t="s">
        <v>9525</v>
      </c>
      <c r="G1760" t="s">
        <v>68</v>
      </c>
      <c r="H1760" t="s">
        <v>69</v>
      </c>
      <c r="I1760" t="s">
        <v>1458</v>
      </c>
      <c r="J1760" t="s">
        <v>1459</v>
      </c>
      <c r="K1760">
        <v>2007</v>
      </c>
      <c r="L1760">
        <v>2007</v>
      </c>
      <c r="M1760">
        <v>4.9000000000000004</v>
      </c>
      <c r="N1760">
        <v>16.606999999999999</v>
      </c>
      <c r="O1760">
        <v>267</v>
      </c>
      <c r="P1760">
        <v>2.2599999999999998</v>
      </c>
      <c r="Q1760">
        <v>0.60199999999999998</v>
      </c>
      <c r="R1760" t="s">
        <v>72</v>
      </c>
      <c r="S1760" t="s">
        <v>9526</v>
      </c>
      <c r="T1760" t="b">
        <v>1</v>
      </c>
      <c r="U1760" t="s">
        <v>9527</v>
      </c>
      <c r="V1760" t="s">
        <v>9528</v>
      </c>
      <c r="W1760" t="s">
        <v>9529</v>
      </c>
      <c r="X1760" t="s">
        <v>47</v>
      </c>
      <c r="AA1760" t="s">
        <v>9530</v>
      </c>
      <c r="AB1760" t="s">
        <v>49</v>
      </c>
      <c r="AC1760" t="s">
        <v>9531</v>
      </c>
      <c r="AD1760" t="b">
        <v>0</v>
      </c>
      <c r="AF1760">
        <v>8</v>
      </c>
      <c r="AG1760" t="s">
        <v>78</v>
      </c>
    </row>
    <row r="1761" spans="1:33" x14ac:dyDescent="0.2">
      <c r="A1761">
        <v>1526</v>
      </c>
      <c r="B1761" t="s">
        <v>9523</v>
      </c>
      <c r="C1761" t="s">
        <v>34</v>
      </c>
      <c r="D1761" t="s">
        <v>35</v>
      </c>
      <c r="E1761" t="s">
        <v>9532</v>
      </c>
      <c r="F1761" t="s">
        <v>9533</v>
      </c>
      <c r="G1761" t="s">
        <v>53</v>
      </c>
      <c r="H1761" t="s">
        <v>54</v>
      </c>
      <c r="I1761" t="s">
        <v>147</v>
      </c>
      <c r="J1761" t="s">
        <v>148</v>
      </c>
      <c r="K1761">
        <v>2008</v>
      </c>
      <c r="L1761">
        <v>2008</v>
      </c>
      <c r="M1761">
        <v>0.39</v>
      </c>
      <c r="N1761">
        <v>2.3450000000000002</v>
      </c>
      <c r="O1761">
        <v>331</v>
      </c>
      <c r="P1761">
        <v>0.14000000000000001</v>
      </c>
      <c r="Q1761">
        <v>0.77400000000000002</v>
      </c>
      <c r="R1761" t="s">
        <v>72</v>
      </c>
      <c r="S1761" t="s">
        <v>4447</v>
      </c>
      <c r="T1761" t="b">
        <v>1</v>
      </c>
      <c r="U1761" t="s">
        <v>9192</v>
      </c>
      <c r="V1761" t="s">
        <v>9534</v>
      </c>
      <c r="W1761" t="s">
        <v>9535</v>
      </c>
      <c r="X1761" t="s">
        <v>47</v>
      </c>
      <c r="AA1761" t="s">
        <v>374</v>
      </c>
      <c r="AC1761" t="s">
        <v>375</v>
      </c>
      <c r="AD1761" t="b">
        <v>0</v>
      </c>
      <c r="AF1761">
        <v>13</v>
      </c>
      <c r="AG1761" t="s">
        <v>155</v>
      </c>
    </row>
    <row r="1762" spans="1:33" x14ac:dyDescent="0.2">
      <c r="A1762">
        <v>509</v>
      </c>
      <c r="B1762" t="s">
        <v>9536</v>
      </c>
      <c r="C1762" t="s">
        <v>34</v>
      </c>
      <c r="D1762" t="s">
        <v>35</v>
      </c>
      <c r="E1762" t="s">
        <v>277</v>
      </c>
      <c r="F1762" t="s">
        <v>278</v>
      </c>
      <c r="G1762" t="s">
        <v>93</v>
      </c>
      <c r="H1762" t="s">
        <v>94</v>
      </c>
      <c r="I1762" t="s">
        <v>95</v>
      </c>
      <c r="J1762" t="s">
        <v>96</v>
      </c>
      <c r="K1762">
        <v>1973</v>
      </c>
      <c r="L1762">
        <v>1973</v>
      </c>
      <c r="M1762">
        <v>65</v>
      </c>
      <c r="N1762">
        <v>162.012</v>
      </c>
      <c r="O1762">
        <v>685.5</v>
      </c>
      <c r="P1762">
        <v>11</v>
      </c>
      <c r="Q1762">
        <v>1.641</v>
      </c>
      <c r="R1762" t="s">
        <v>97</v>
      </c>
      <c r="S1762" t="s">
        <v>1340</v>
      </c>
      <c r="T1762" t="b">
        <v>1</v>
      </c>
      <c r="U1762" t="s">
        <v>9537</v>
      </c>
      <c r="V1762" t="s">
        <v>389</v>
      </c>
      <c r="W1762" t="s">
        <v>9538</v>
      </c>
      <c r="X1762" t="s">
        <v>47</v>
      </c>
      <c r="AA1762" t="s">
        <v>102</v>
      </c>
      <c r="AB1762" t="s">
        <v>54</v>
      </c>
      <c r="AC1762" t="s">
        <v>103</v>
      </c>
      <c r="AD1762" t="b">
        <v>0</v>
      </c>
      <c r="AF1762">
        <v>1</v>
      </c>
      <c r="AG1762" t="s">
        <v>104</v>
      </c>
    </row>
    <row r="1763" spans="1:33" x14ac:dyDescent="0.2">
      <c r="A1763">
        <v>1401</v>
      </c>
      <c r="B1763" t="s">
        <v>9539</v>
      </c>
      <c r="C1763" t="s">
        <v>34</v>
      </c>
      <c r="D1763" t="s">
        <v>35</v>
      </c>
      <c r="E1763" t="s">
        <v>168</v>
      </c>
      <c r="F1763" t="s">
        <v>169</v>
      </c>
      <c r="G1763" t="s">
        <v>53</v>
      </c>
      <c r="H1763" t="s">
        <v>54</v>
      </c>
      <c r="I1763" t="s">
        <v>325</v>
      </c>
      <c r="J1763" t="s">
        <v>135</v>
      </c>
      <c r="K1763">
        <v>2008</v>
      </c>
      <c r="L1763">
        <v>2008</v>
      </c>
      <c r="M1763">
        <v>5.25</v>
      </c>
      <c r="N1763">
        <v>14.564</v>
      </c>
      <c r="O1763">
        <v>216.5</v>
      </c>
      <c r="P1763">
        <v>2.99</v>
      </c>
      <c r="Q1763">
        <v>0.48799999999999999</v>
      </c>
      <c r="R1763" t="s">
        <v>57</v>
      </c>
      <c r="S1763" t="s">
        <v>9540</v>
      </c>
      <c r="T1763" t="b">
        <v>1</v>
      </c>
      <c r="U1763" t="s">
        <v>9541</v>
      </c>
      <c r="V1763" t="s">
        <v>174</v>
      </c>
      <c r="W1763" t="s">
        <v>9542</v>
      </c>
      <c r="X1763" t="s">
        <v>47</v>
      </c>
      <c r="AA1763" t="s">
        <v>9543</v>
      </c>
      <c r="AB1763" t="s">
        <v>49</v>
      </c>
      <c r="AC1763" t="s">
        <v>9544</v>
      </c>
      <c r="AD1763" t="b">
        <v>0</v>
      </c>
      <c r="AF1763">
        <v>6</v>
      </c>
      <c r="AG1763" t="s">
        <v>64</v>
      </c>
    </row>
    <row r="1764" spans="1:33" x14ac:dyDescent="0.2">
      <c r="A1764">
        <v>843</v>
      </c>
      <c r="B1764" t="s">
        <v>9545</v>
      </c>
      <c r="C1764" t="s">
        <v>34</v>
      </c>
      <c r="D1764" t="s">
        <v>35</v>
      </c>
      <c r="E1764" t="s">
        <v>9546</v>
      </c>
      <c r="F1764" t="s">
        <v>9547</v>
      </c>
      <c r="G1764" t="s">
        <v>53</v>
      </c>
      <c r="H1764" t="s">
        <v>54</v>
      </c>
      <c r="I1764" t="s">
        <v>118</v>
      </c>
      <c r="J1764" t="s">
        <v>119</v>
      </c>
      <c r="K1764">
        <v>2006</v>
      </c>
      <c r="L1764">
        <v>2006</v>
      </c>
      <c r="M1764">
        <v>3.3</v>
      </c>
      <c r="N1764">
        <v>9.6669999999999998</v>
      </c>
      <c r="O1764">
        <v>270</v>
      </c>
      <c r="P1764">
        <v>1.5</v>
      </c>
      <c r="Q1764">
        <v>0.61099999999999999</v>
      </c>
      <c r="R1764" t="s">
        <v>84</v>
      </c>
      <c r="S1764" t="s">
        <v>9548</v>
      </c>
      <c r="T1764" t="b">
        <v>1</v>
      </c>
      <c r="U1764" t="s">
        <v>9549</v>
      </c>
      <c r="V1764" t="s">
        <v>9550</v>
      </c>
      <c r="W1764" t="s">
        <v>9551</v>
      </c>
      <c r="X1764" t="s">
        <v>47</v>
      </c>
      <c r="AB1764" t="s">
        <v>49</v>
      </c>
      <c r="AC1764" t="s">
        <v>9552</v>
      </c>
      <c r="AD1764" t="b">
        <v>0</v>
      </c>
      <c r="AF1764">
        <v>5</v>
      </c>
      <c r="AG1764" t="s">
        <v>89</v>
      </c>
    </row>
    <row r="1765" spans="1:33" x14ac:dyDescent="0.2">
      <c r="A1765">
        <v>2020</v>
      </c>
      <c r="B1765" t="s">
        <v>9553</v>
      </c>
      <c r="C1765" t="s">
        <v>34</v>
      </c>
      <c r="D1765" t="s">
        <v>35</v>
      </c>
      <c r="E1765" t="s">
        <v>9554</v>
      </c>
      <c r="F1765" t="s">
        <v>9555</v>
      </c>
      <c r="G1765" t="s">
        <v>53</v>
      </c>
      <c r="H1765" t="s">
        <v>54</v>
      </c>
      <c r="I1765" t="s">
        <v>1678</v>
      </c>
      <c r="J1765" t="s">
        <v>245</v>
      </c>
      <c r="K1765">
        <v>2021</v>
      </c>
      <c r="L1765">
        <v>2021</v>
      </c>
      <c r="M1765">
        <v>3.44</v>
      </c>
      <c r="N1765">
        <v>9.6319999999999997</v>
      </c>
      <c r="O1765">
        <v>241</v>
      </c>
      <c r="P1765">
        <v>1.76</v>
      </c>
      <c r="Q1765">
        <v>0.54300000000000004</v>
      </c>
      <c r="R1765" t="s">
        <v>57</v>
      </c>
      <c r="S1765" t="s">
        <v>9556</v>
      </c>
      <c r="T1765" t="b">
        <v>1</v>
      </c>
      <c r="U1765" t="s">
        <v>9557</v>
      </c>
      <c r="V1765" t="s">
        <v>9558</v>
      </c>
      <c r="W1765" t="s">
        <v>9559</v>
      </c>
      <c r="X1765" t="s">
        <v>47</v>
      </c>
      <c r="AA1765" t="s">
        <v>9560</v>
      </c>
      <c r="AB1765" t="s">
        <v>49</v>
      </c>
      <c r="AC1765" t="s">
        <v>9561</v>
      </c>
      <c r="AD1765" t="b">
        <v>0</v>
      </c>
      <c r="AF1765">
        <v>6</v>
      </c>
      <c r="AG1765" t="s">
        <v>64</v>
      </c>
    </row>
    <row r="1766" spans="1:33" x14ac:dyDescent="0.2">
      <c r="A1766">
        <v>1274</v>
      </c>
      <c r="B1766" t="s">
        <v>9562</v>
      </c>
      <c r="C1766" t="s">
        <v>34</v>
      </c>
      <c r="D1766" t="s">
        <v>35</v>
      </c>
      <c r="E1766" t="s">
        <v>9563</v>
      </c>
      <c r="F1766" t="s">
        <v>9564</v>
      </c>
      <c r="G1766" t="s">
        <v>242</v>
      </c>
      <c r="H1766" t="s">
        <v>243</v>
      </c>
      <c r="I1766" t="s">
        <v>780</v>
      </c>
      <c r="J1766" t="s">
        <v>54</v>
      </c>
      <c r="K1766">
        <v>2003</v>
      </c>
      <c r="L1766">
        <v>2003</v>
      </c>
      <c r="M1766">
        <v>0.27</v>
      </c>
      <c r="N1766">
        <v>0.86299999999999999</v>
      </c>
      <c r="O1766">
        <v>43</v>
      </c>
      <c r="P1766">
        <v>0.75</v>
      </c>
      <c r="Q1766">
        <v>0.1</v>
      </c>
      <c r="R1766" t="s">
        <v>72</v>
      </c>
      <c r="S1766" t="s">
        <v>9565</v>
      </c>
      <c r="T1766" t="b">
        <v>1</v>
      </c>
      <c r="U1766" t="s">
        <v>2246</v>
      </c>
      <c r="V1766" t="s">
        <v>9566</v>
      </c>
      <c r="W1766" t="s">
        <v>9567</v>
      </c>
      <c r="X1766" t="s">
        <v>47</v>
      </c>
      <c r="AA1766" t="s">
        <v>9562</v>
      </c>
      <c r="AC1766" t="s">
        <v>63</v>
      </c>
      <c r="AD1766" t="b">
        <v>0</v>
      </c>
      <c r="AF1766">
        <v>9</v>
      </c>
      <c r="AG1766" t="s">
        <v>251</v>
      </c>
    </row>
    <row r="1767" spans="1:33" x14ac:dyDescent="0.2">
      <c r="A1767">
        <v>510</v>
      </c>
      <c r="B1767" t="s">
        <v>9568</v>
      </c>
      <c r="C1767" t="s">
        <v>34</v>
      </c>
      <c r="D1767" t="s">
        <v>35</v>
      </c>
      <c r="E1767" t="s">
        <v>1647</v>
      </c>
      <c r="F1767" t="s">
        <v>1648</v>
      </c>
      <c r="G1767" t="s">
        <v>213</v>
      </c>
      <c r="H1767" t="s">
        <v>83</v>
      </c>
      <c r="I1767" t="s">
        <v>1786</v>
      </c>
      <c r="J1767" t="s">
        <v>49</v>
      </c>
      <c r="K1767">
        <v>1969</v>
      </c>
      <c r="L1767">
        <v>1969</v>
      </c>
      <c r="M1767">
        <v>15.2</v>
      </c>
      <c r="N1767">
        <v>63.692</v>
      </c>
      <c r="O1767">
        <v>65.48</v>
      </c>
      <c r="P1767">
        <v>30</v>
      </c>
      <c r="Q1767">
        <v>0.14099999999999999</v>
      </c>
      <c r="R1767" t="s">
        <v>84</v>
      </c>
      <c r="S1767" t="s">
        <v>9569</v>
      </c>
      <c r="T1767" t="b">
        <v>1</v>
      </c>
      <c r="U1767" t="s">
        <v>4472</v>
      </c>
      <c r="V1767" t="s">
        <v>1651</v>
      </c>
      <c r="W1767" t="s">
        <v>9570</v>
      </c>
      <c r="X1767" t="s">
        <v>47</v>
      </c>
      <c r="AA1767" t="s">
        <v>1791</v>
      </c>
      <c r="AB1767" t="s">
        <v>49</v>
      </c>
      <c r="AC1767" t="s">
        <v>5878</v>
      </c>
      <c r="AD1767" t="b">
        <v>0</v>
      </c>
      <c r="AF1767">
        <v>4</v>
      </c>
      <c r="AG1767" t="s">
        <v>321</v>
      </c>
    </row>
    <row r="1768" spans="1:33" x14ac:dyDescent="0.2">
      <c r="A1768">
        <v>511</v>
      </c>
      <c r="B1768" t="s">
        <v>9571</v>
      </c>
      <c r="C1768" t="s">
        <v>34</v>
      </c>
      <c r="D1768" t="s">
        <v>35</v>
      </c>
      <c r="E1768" t="s">
        <v>728</v>
      </c>
      <c r="F1768" t="s">
        <v>729</v>
      </c>
      <c r="G1768" t="s">
        <v>53</v>
      </c>
      <c r="H1768" t="s">
        <v>54</v>
      </c>
      <c r="I1768" t="s">
        <v>730</v>
      </c>
      <c r="J1768" t="s">
        <v>731</v>
      </c>
      <c r="K1768">
        <v>1953</v>
      </c>
      <c r="L1768">
        <v>1953</v>
      </c>
      <c r="M1768">
        <v>28</v>
      </c>
      <c r="N1768">
        <v>136.126</v>
      </c>
      <c r="O1768">
        <v>375</v>
      </c>
      <c r="P1768">
        <v>8.39</v>
      </c>
      <c r="Q1768">
        <v>0.92600000000000005</v>
      </c>
      <c r="R1768" t="s">
        <v>72</v>
      </c>
      <c r="S1768" t="s">
        <v>1535</v>
      </c>
      <c r="T1768" t="b">
        <v>1</v>
      </c>
      <c r="U1768" t="s">
        <v>9572</v>
      </c>
      <c r="V1768" t="s">
        <v>734</v>
      </c>
      <c r="W1768" t="s">
        <v>9573</v>
      </c>
      <c r="X1768" t="s">
        <v>47</v>
      </c>
      <c r="AA1768" t="s">
        <v>736</v>
      </c>
      <c r="AB1768" t="s">
        <v>49</v>
      </c>
      <c r="AC1768" t="s">
        <v>737</v>
      </c>
      <c r="AD1768" t="b">
        <v>0</v>
      </c>
      <c r="AF1768">
        <v>13</v>
      </c>
      <c r="AG1768" t="s">
        <v>155</v>
      </c>
    </row>
    <row r="1769" spans="1:33" x14ac:dyDescent="0.2">
      <c r="A1769">
        <v>946</v>
      </c>
      <c r="B1769" t="s">
        <v>9574</v>
      </c>
      <c r="C1769" t="s">
        <v>34</v>
      </c>
      <c r="D1769" t="s">
        <v>35</v>
      </c>
      <c r="E1769" t="s">
        <v>9575</v>
      </c>
      <c r="F1769" t="s">
        <v>9576</v>
      </c>
      <c r="G1769" t="s">
        <v>53</v>
      </c>
      <c r="H1769" t="s">
        <v>54</v>
      </c>
      <c r="I1769" t="s">
        <v>147</v>
      </c>
      <c r="J1769" t="s">
        <v>148</v>
      </c>
      <c r="K1769">
        <v>1999</v>
      </c>
      <c r="L1769">
        <v>1999</v>
      </c>
      <c r="M1769">
        <v>0.69099999999999995</v>
      </c>
      <c r="N1769">
        <v>2.621</v>
      </c>
      <c r="R1769" t="s">
        <v>72</v>
      </c>
      <c r="S1769" t="s">
        <v>9577</v>
      </c>
      <c r="T1769" t="b">
        <v>1</v>
      </c>
      <c r="U1769" t="s">
        <v>571</v>
      </c>
      <c r="V1769" t="s">
        <v>9578</v>
      </c>
      <c r="W1769" t="s">
        <v>9579</v>
      </c>
      <c r="X1769" t="s">
        <v>47</v>
      </c>
      <c r="AA1769" t="s">
        <v>7253</v>
      </c>
      <c r="AC1769" t="s">
        <v>2483</v>
      </c>
      <c r="AD1769" t="b">
        <v>0</v>
      </c>
      <c r="AF1769">
        <v>13</v>
      </c>
      <c r="AG1769" t="s">
        <v>155</v>
      </c>
    </row>
    <row r="1770" spans="1:33" x14ac:dyDescent="0.2">
      <c r="A1770">
        <v>1536</v>
      </c>
      <c r="B1770" t="s">
        <v>9580</v>
      </c>
      <c r="C1770" t="s">
        <v>34</v>
      </c>
      <c r="D1770" t="s">
        <v>35</v>
      </c>
      <c r="E1770" t="s">
        <v>9581</v>
      </c>
      <c r="F1770" t="s">
        <v>9582</v>
      </c>
      <c r="G1770" t="s">
        <v>213</v>
      </c>
      <c r="H1770" t="s">
        <v>83</v>
      </c>
      <c r="I1770" t="s">
        <v>635</v>
      </c>
      <c r="J1770" t="s">
        <v>94</v>
      </c>
      <c r="K1770">
        <v>2009</v>
      </c>
      <c r="L1770">
        <v>2009</v>
      </c>
      <c r="M1770">
        <v>0.57999999999999996</v>
      </c>
      <c r="N1770">
        <v>1.9710000000000001</v>
      </c>
      <c r="O1770">
        <v>160</v>
      </c>
      <c r="P1770">
        <v>0.43</v>
      </c>
      <c r="R1770" t="s">
        <v>84</v>
      </c>
      <c r="S1770" t="s">
        <v>865</v>
      </c>
      <c r="T1770" t="b">
        <v>1</v>
      </c>
      <c r="U1770" t="s">
        <v>9583</v>
      </c>
      <c r="V1770" t="s">
        <v>9584</v>
      </c>
      <c r="W1770" t="s">
        <v>9585</v>
      </c>
      <c r="X1770" t="s">
        <v>47</v>
      </c>
      <c r="AA1770" t="s">
        <v>114</v>
      </c>
      <c r="AC1770" t="s">
        <v>63</v>
      </c>
      <c r="AD1770" t="b">
        <v>0</v>
      </c>
      <c r="AF1770">
        <v>3</v>
      </c>
      <c r="AG1770" t="s">
        <v>332</v>
      </c>
    </row>
    <row r="1771" spans="1:33" x14ac:dyDescent="0.2">
      <c r="A1771">
        <v>512</v>
      </c>
      <c r="B1771" t="s">
        <v>9586</v>
      </c>
      <c r="C1771" t="s">
        <v>296</v>
      </c>
      <c r="D1771" t="s">
        <v>297</v>
      </c>
      <c r="E1771" t="s">
        <v>899</v>
      </c>
      <c r="F1771" t="s">
        <v>900</v>
      </c>
      <c r="G1771" t="s">
        <v>53</v>
      </c>
      <c r="H1771" t="s">
        <v>54</v>
      </c>
      <c r="I1771" t="s">
        <v>901</v>
      </c>
      <c r="J1771" t="s">
        <v>313</v>
      </c>
      <c r="K1771">
        <v>1975</v>
      </c>
      <c r="L1771">
        <v>1975</v>
      </c>
      <c r="M1771">
        <v>50</v>
      </c>
      <c r="N1771">
        <v>31.655999999999999</v>
      </c>
      <c r="O1771">
        <v>211.8</v>
      </c>
      <c r="P1771">
        <v>24</v>
      </c>
      <c r="Q1771">
        <v>0.46200000000000002</v>
      </c>
      <c r="R1771" t="s">
        <v>57</v>
      </c>
      <c r="S1771" t="s">
        <v>9587</v>
      </c>
      <c r="T1771" t="b">
        <v>1</v>
      </c>
      <c r="U1771" t="s">
        <v>9588</v>
      </c>
      <c r="V1771" t="s">
        <v>904</v>
      </c>
      <c r="W1771" t="s">
        <v>9589</v>
      </c>
      <c r="X1771" t="s">
        <v>47</v>
      </c>
      <c r="AA1771" t="s">
        <v>906</v>
      </c>
      <c r="AB1771" t="s">
        <v>308</v>
      </c>
      <c r="AC1771" t="s">
        <v>907</v>
      </c>
      <c r="AD1771" t="b">
        <v>0</v>
      </c>
      <c r="AF1771">
        <v>2</v>
      </c>
      <c r="AG1771" t="s">
        <v>287</v>
      </c>
    </row>
    <row r="1772" spans="1:33" x14ac:dyDescent="0.2">
      <c r="A1772">
        <v>1599</v>
      </c>
      <c r="B1772" t="s">
        <v>9590</v>
      </c>
      <c r="C1772" t="s">
        <v>34</v>
      </c>
      <c r="D1772" t="s">
        <v>35</v>
      </c>
      <c r="E1772" t="s">
        <v>9591</v>
      </c>
      <c r="F1772" t="s">
        <v>9592</v>
      </c>
      <c r="G1772" t="s">
        <v>213</v>
      </c>
      <c r="H1772" t="s">
        <v>83</v>
      </c>
      <c r="I1772" t="s">
        <v>214</v>
      </c>
      <c r="J1772" t="s">
        <v>215</v>
      </c>
      <c r="K1772">
        <v>2010</v>
      </c>
      <c r="L1772">
        <v>2010</v>
      </c>
      <c r="M1772">
        <v>4.3</v>
      </c>
      <c r="N1772">
        <v>13.441000000000001</v>
      </c>
      <c r="O1772">
        <v>158</v>
      </c>
      <c r="P1772">
        <v>3.3</v>
      </c>
      <c r="Q1772">
        <v>0.374</v>
      </c>
      <c r="R1772" t="s">
        <v>84</v>
      </c>
      <c r="S1772" t="s">
        <v>6233</v>
      </c>
      <c r="T1772" t="b">
        <v>1</v>
      </c>
      <c r="U1772" t="s">
        <v>9593</v>
      </c>
      <c r="V1772" t="s">
        <v>9594</v>
      </c>
      <c r="W1772" t="s">
        <v>9595</v>
      </c>
      <c r="X1772" t="s">
        <v>47</v>
      </c>
      <c r="AA1772" t="s">
        <v>4036</v>
      </c>
      <c r="AB1772" t="s">
        <v>177</v>
      </c>
      <c r="AC1772" t="s">
        <v>4037</v>
      </c>
      <c r="AD1772" t="b">
        <v>0</v>
      </c>
      <c r="AF1772">
        <v>5</v>
      </c>
      <c r="AG1772" t="s">
        <v>89</v>
      </c>
    </row>
    <row r="1773" spans="1:33" x14ac:dyDescent="0.2">
      <c r="A1773">
        <v>1602</v>
      </c>
      <c r="B1773" t="s">
        <v>9596</v>
      </c>
      <c r="C1773" t="s">
        <v>34</v>
      </c>
      <c r="D1773" t="s">
        <v>35</v>
      </c>
      <c r="E1773" t="s">
        <v>9597</v>
      </c>
      <c r="F1773" t="s">
        <v>9598</v>
      </c>
      <c r="G1773" t="s">
        <v>213</v>
      </c>
      <c r="H1773" t="s">
        <v>83</v>
      </c>
      <c r="I1773" t="s">
        <v>214</v>
      </c>
      <c r="J1773" t="s">
        <v>215</v>
      </c>
      <c r="K1773">
        <v>2010</v>
      </c>
      <c r="L1773">
        <v>2010</v>
      </c>
      <c r="M1773">
        <v>0.56000000000000005</v>
      </c>
      <c r="N1773">
        <v>1.4930000000000001</v>
      </c>
      <c r="O1773">
        <v>86</v>
      </c>
      <c r="P1773">
        <v>0.7</v>
      </c>
      <c r="Q1773">
        <v>0.20399999999999999</v>
      </c>
      <c r="R1773" t="s">
        <v>84</v>
      </c>
      <c r="S1773" t="s">
        <v>9599</v>
      </c>
      <c r="T1773" t="b">
        <v>1</v>
      </c>
      <c r="U1773" t="s">
        <v>9600</v>
      </c>
      <c r="V1773" t="s">
        <v>9601</v>
      </c>
      <c r="W1773" t="s">
        <v>9602</v>
      </c>
      <c r="X1773" t="s">
        <v>47</v>
      </c>
      <c r="AA1773" t="s">
        <v>9603</v>
      </c>
      <c r="AC1773" t="s">
        <v>63</v>
      </c>
      <c r="AD1773" t="b">
        <v>0</v>
      </c>
      <c r="AF1773">
        <v>5</v>
      </c>
      <c r="AG1773" t="s">
        <v>89</v>
      </c>
    </row>
    <row r="1774" spans="1:33" x14ac:dyDescent="0.2">
      <c r="A1774">
        <v>513</v>
      </c>
      <c r="B1774" t="s">
        <v>9604</v>
      </c>
      <c r="C1774" t="s">
        <v>34</v>
      </c>
      <c r="D1774" t="s">
        <v>35</v>
      </c>
      <c r="E1774" t="s">
        <v>899</v>
      </c>
      <c r="F1774" t="s">
        <v>900</v>
      </c>
      <c r="G1774" t="s">
        <v>916</v>
      </c>
      <c r="H1774" t="s">
        <v>567</v>
      </c>
      <c r="I1774" t="s">
        <v>9605</v>
      </c>
      <c r="J1774" t="s">
        <v>676</v>
      </c>
      <c r="K1774">
        <v>1942</v>
      </c>
      <c r="L1774">
        <v>1942</v>
      </c>
      <c r="M1774">
        <v>1.75</v>
      </c>
      <c r="N1774">
        <v>7.5659999999999998</v>
      </c>
      <c r="O1774">
        <v>9.5</v>
      </c>
      <c r="P1774">
        <v>20</v>
      </c>
      <c r="Q1774">
        <v>2.4E-2</v>
      </c>
      <c r="R1774" t="s">
        <v>97</v>
      </c>
      <c r="S1774" t="s">
        <v>9606</v>
      </c>
      <c r="T1774" t="b">
        <v>1</v>
      </c>
      <c r="U1774" t="s">
        <v>4530</v>
      </c>
      <c r="V1774" t="s">
        <v>904</v>
      </c>
      <c r="W1774" t="s">
        <v>9607</v>
      </c>
      <c r="X1774" t="s">
        <v>47</v>
      </c>
      <c r="AA1774" t="s">
        <v>1116</v>
      </c>
      <c r="AB1774" t="s">
        <v>1077</v>
      </c>
      <c r="AC1774" t="s">
        <v>1117</v>
      </c>
      <c r="AD1774" t="b">
        <v>0</v>
      </c>
      <c r="AF1774">
        <v>1</v>
      </c>
      <c r="AG1774" t="s">
        <v>104</v>
      </c>
    </row>
    <row r="1775" spans="1:33" x14ac:dyDescent="0.2">
      <c r="A1775">
        <v>2117</v>
      </c>
      <c r="B1775" t="s">
        <v>9608</v>
      </c>
      <c r="C1775" t="s">
        <v>34</v>
      </c>
      <c r="D1775" t="s">
        <v>35</v>
      </c>
      <c r="E1775" t="s">
        <v>1647</v>
      </c>
      <c r="F1775" t="s">
        <v>1648</v>
      </c>
      <c r="G1775" t="s">
        <v>213</v>
      </c>
      <c r="H1775" t="s">
        <v>83</v>
      </c>
      <c r="I1775" t="s">
        <v>2487</v>
      </c>
      <c r="J1775" t="s">
        <v>337</v>
      </c>
      <c r="K1775">
        <v>2023</v>
      </c>
      <c r="L1775">
        <v>2023</v>
      </c>
      <c r="M1775">
        <v>2.9</v>
      </c>
      <c r="N1775">
        <v>12</v>
      </c>
      <c r="O1775">
        <v>334</v>
      </c>
      <c r="P1775">
        <v>1.01</v>
      </c>
      <c r="Q1775">
        <v>0.79800000000000004</v>
      </c>
      <c r="R1775" t="s">
        <v>84</v>
      </c>
      <c r="S1775" t="s">
        <v>2488</v>
      </c>
      <c r="T1775" t="b">
        <v>1</v>
      </c>
      <c r="U1775" t="s">
        <v>8750</v>
      </c>
      <c r="V1775" t="s">
        <v>1651</v>
      </c>
      <c r="W1775" t="s">
        <v>9609</v>
      </c>
      <c r="X1775" t="s">
        <v>47</v>
      </c>
      <c r="AA1775" t="s">
        <v>2492</v>
      </c>
      <c r="AC1775" t="s">
        <v>2493</v>
      </c>
      <c r="AD1775" t="b">
        <v>0</v>
      </c>
      <c r="AF1775">
        <v>3</v>
      </c>
      <c r="AG1775" t="s">
        <v>332</v>
      </c>
    </row>
    <row r="1776" spans="1:33" x14ac:dyDescent="0.2">
      <c r="A1776">
        <v>514</v>
      </c>
      <c r="B1776" t="s">
        <v>9610</v>
      </c>
      <c r="C1776" t="s">
        <v>34</v>
      </c>
      <c r="D1776" t="s">
        <v>35</v>
      </c>
      <c r="E1776" t="s">
        <v>9611</v>
      </c>
      <c r="F1776" t="s">
        <v>9612</v>
      </c>
      <c r="G1776" t="s">
        <v>224</v>
      </c>
      <c r="H1776" t="s">
        <v>225</v>
      </c>
      <c r="I1776" t="s">
        <v>3775</v>
      </c>
      <c r="J1776" t="s">
        <v>515</v>
      </c>
      <c r="K1776">
        <v>1966</v>
      </c>
      <c r="L1776">
        <v>1966</v>
      </c>
      <c r="M1776">
        <v>10</v>
      </c>
      <c r="N1776">
        <v>26.295000000000002</v>
      </c>
      <c r="O1776">
        <v>157.69</v>
      </c>
      <c r="P1776">
        <v>7.51</v>
      </c>
      <c r="Q1776">
        <v>0.37</v>
      </c>
      <c r="R1776" t="s">
        <v>57</v>
      </c>
      <c r="S1776" t="s">
        <v>9613</v>
      </c>
      <c r="T1776" t="b">
        <v>1</v>
      </c>
      <c r="U1776" t="s">
        <v>9614</v>
      </c>
      <c r="V1776" t="s">
        <v>9615</v>
      </c>
      <c r="W1776" t="s">
        <v>9616</v>
      </c>
      <c r="X1776" t="s">
        <v>47</v>
      </c>
      <c r="AA1776" t="s">
        <v>102</v>
      </c>
      <c r="AB1776" t="s">
        <v>9617</v>
      </c>
      <c r="AC1776" t="s">
        <v>103</v>
      </c>
      <c r="AD1776" t="b">
        <v>0</v>
      </c>
      <c r="AF1776">
        <v>2</v>
      </c>
      <c r="AG1776" t="s">
        <v>287</v>
      </c>
    </row>
    <row r="1777" spans="1:33" x14ac:dyDescent="0.2">
      <c r="A1777">
        <v>1671</v>
      </c>
      <c r="B1777" t="s">
        <v>9618</v>
      </c>
      <c r="C1777" t="s">
        <v>34</v>
      </c>
      <c r="D1777" t="s">
        <v>35</v>
      </c>
      <c r="E1777" t="s">
        <v>6069</v>
      </c>
      <c r="F1777" t="s">
        <v>6070</v>
      </c>
      <c r="G1777" t="s">
        <v>134</v>
      </c>
      <c r="H1777" t="s">
        <v>135</v>
      </c>
      <c r="I1777" t="s">
        <v>2074</v>
      </c>
      <c r="J1777" t="s">
        <v>225</v>
      </c>
      <c r="K1777">
        <v>2012</v>
      </c>
      <c r="L1777">
        <v>2012</v>
      </c>
      <c r="M1777">
        <v>4.2699999999999996</v>
      </c>
      <c r="N1777">
        <v>13.872</v>
      </c>
      <c r="O1777">
        <v>54</v>
      </c>
      <c r="P1777">
        <v>9</v>
      </c>
      <c r="Q1777">
        <v>0.13200000000000001</v>
      </c>
      <c r="R1777" t="s">
        <v>42</v>
      </c>
      <c r="S1777" t="s">
        <v>9619</v>
      </c>
      <c r="T1777" t="b">
        <v>1</v>
      </c>
      <c r="U1777" t="s">
        <v>5813</v>
      </c>
      <c r="V1777" t="s">
        <v>6073</v>
      </c>
      <c r="W1777" t="s">
        <v>9620</v>
      </c>
      <c r="X1777" t="s">
        <v>47</v>
      </c>
      <c r="AA1777" t="s">
        <v>2652</v>
      </c>
      <c r="AB1777" t="s">
        <v>401</v>
      </c>
      <c r="AC1777" t="s">
        <v>2653</v>
      </c>
      <c r="AD1777" t="b">
        <v>0</v>
      </c>
      <c r="AF1777">
        <v>10</v>
      </c>
      <c r="AG1777" t="s">
        <v>143</v>
      </c>
    </row>
    <row r="1778" spans="1:33" x14ac:dyDescent="0.2">
      <c r="A1778">
        <v>887</v>
      </c>
      <c r="B1778" t="s">
        <v>9621</v>
      </c>
      <c r="C1778" t="s">
        <v>34</v>
      </c>
      <c r="D1778" t="s">
        <v>35</v>
      </c>
      <c r="E1778" t="s">
        <v>9622</v>
      </c>
      <c r="F1778" t="s">
        <v>9623</v>
      </c>
      <c r="G1778" t="s">
        <v>213</v>
      </c>
      <c r="H1778" t="s">
        <v>83</v>
      </c>
      <c r="I1778" t="s">
        <v>635</v>
      </c>
      <c r="J1778" t="s">
        <v>94</v>
      </c>
      <c r="K1778">
        <v>2002</v>
      </c>
      <c r="L1778">
        <v>2002</v>
      </c>
      <c r="M1778">
        <v>0.23</v>
      </c>
      <c r="N1778">
        <v>0.94899999999999995</v>
      </c>
      <c r="R1778" t="s">
        <v>84</v>
      </c>
      <c r="S1778" t="s">
        <v>9624</v>
      </c>
      <c r="T1778" t="b">
        <v>1</v>
      </c>
      <c r="U1778" t="s">
        <v>247</v>
      </c>
      <c r="V1778" t="s">
        <v>9625</v>
      </c>
      <c r="W1778" t="s">
        <v>9626</v>
      </c>
      <c r="X1778" t="s">
        <v>47</v>
      </c>
      <c r="AA1778" t="s">
        <v>4416</v>
      </c>
      <c r="AC1778" t="s">
        <v>4417</v>
      </c>
      <c r="AD1778" t="b">
        <v>0</v>
      </c>
      <c r="AF1778">
        <v>3</v>
      </c>
      <c r="AG1778" t="s">
        <v>332</v>
      </c>
    </row>
    <row r="1779" spans="1:33" x14ac:dyDescent="0.2">
      <c r="A1779">
        <v>1894</v>
      </c>
      <c r="B1779" t="s">
        <v>9627</v>
      </c>
      <c r="C1779" t="s">
        <v>34</v>
      </c>
      <c r="D1779" t="s">
        <v>35</v>
      </c>
      <c r="E1779" t="s">
        <v>728</v>
      </c>
      <c r="F1779" t="s">
        <v>729</v>
      </c>
      <c r="G1779" t="s">
        <v>53</v>
      </c>
      <c r="H1779" t="s">
        <v>54</v>
      </c>
      <c r="I1779" t="s">
        <v>604</v>
      </c>
      <c r="J1779" t="s">
        <v>426</v>
      </c>
      <c r="K1779">
        <v>2020</v>
      </c>
      <c r="L1779">
        <v>2020</v>
      </c>
      <c r="M1779">
        <v>48</v>
      </c>
      <c r="N1779">
        <v>137.35900000000001</v>
      </c>
      <c r="O1779">
        <v>583.29999999999995</v>
      </c>
      <c r="P1779">
        <v>9</v>
      </c>
      <c r="Q1779">
        <v>1.4810000000000001</v>
      </c>
      <c r="R1779" t="s">
        <v>57</v>
      </c>
      <c r="S1779" t="s">
        <v>9628</v>
      </c>
      <c r="T1779" t="b">
        <v>1</v>
      </c>
      <c r="U1779" t="s">
        <v>9629</v>
      </c>
      <c r="V1779" t="s">
        <v>9630</v>
      </c>
      <c r="W1779" t="s">
        <v>9631</v>
      </c>
      <c r="X1779" t="s">
        <v>47</v>
      </c>
      <c r="AA1779" t="s">
        <v>9632</v>
      </c>
      <c r="AB1779" t="s">
        <v>49</v>
      </c>
      <c r="AC1779" t="s">
        <v>9633</v>
      </c>
      <c r="AD1779" t="b">
        <v>0</v>
      </c>
      <c r="AF1779">
        <v>6</v>
      </c>
      <c r="AG1779" t="s">
        <v>64</v>
      </c>
    </row>
    <row r="1780" spans="1:33" x14ac:dyDescent="0.2">
      <c r="A1780">
        <v>891</v>
      </c>
      <c r="B1780" t="s">
        <v>9634</v>
      </c>
      <c r="C1780" t="s">
        <v>34</v>
      </c>
      <c r="D1780" t="s">
        <v>35</v>
      </c>
      <c r="G1780" t="s">
        <v>213</v>
      </c>
      <c r="H1780" t="s">
        <v>83</v>
      </c>
      <c r="I1780" t="s">
        <v>635</v>
      </c>
      <c r="J1780" t="s">
        <v>94</v>
      </c>
      <c r="K1780">
        <v>2003</v>
      </c>
      <c r="L1780">
        <v>2003</v>
      </c>
      <c r="M1780">
        <v>1.7999999999999999E-2</v>
      </c>
      <c r="N1780">
        <v>3.1E-2</v>
      </c>
      <c r="R1780" t="s">
        <v>84</v>
      </c>
      <c r="S1780" t="s">
        <v>9635</v>
      </c>
      <c r="T1780" t="b">
        <v>1</v>
      </c>
      <c r="U1780" t="s">
        <v>2246</v>
      </c>
      <c r="V1780" t="s">
        <v>60</v>
      </c>
      <c r="W1780" t="s">
        <v>9636</v>
      </c>
      <c r="X1780" t="s">
        <v>47</v>
      </c>
      <c r="AA1780" t="s">
        <v>3369</v>
      </c>
      <c r="AC1780" t="s">
        <v>63</v>
      </c>
      <c r="AD1780" t="b">
        <v>0</v>
      </c>
      <c r="AF1780">
        <v>3</v>
      </c>
      <c r="AG1780" t="s">
        <v>332</v>
      </c>
    </row>
    <row r="1781" spans="1:33" x14ac:dyDescent="0.2">
      <c r="A1781">
        <v>1863</v>
      </c>
      <c r="B1781" t="s">
        <v>9637</v>
      </c>
      <c r="C1781" t="s">
        <v>34</v>
      </c>
      <c r="D1781" t="s">
        <v>35</v>
      </c>
      <c r="E1781" t="s">
        <v>9638</v>
      </c>
      <c r="F1781" t="s">
        <v>9639</v>
      </c>
      <c r="G1781" t="s">
        <v>242</v>
      </c>
      <c r="H1781" t="s">
        <v>243</v>
      </c>
      <c r="I1781" t="s">
        <v>4582</v>
      </c>
      <c r="J1781" t="s">
        <v>533</v>
      </c>
      <c r="K1781">
        <v>2016</v>
      </c>
      <c r="L1781">
        <v>2016</v>
      </c>
      <c r="M1781">
        <v>0.5</v>
      </c>
      <c r="N1781">
        <v>1.4390000000000001</v>
      </c>
      <c r="O1781">
        <v>165</v>
      </c>
      <c r="P1781">
        <v>0.36</v>
      </c>
      <c r="Q1781">
        <v>0.38600000000000001</v>
      </c>
      <c r="R1781" t="s">
        <v>42</v>
      </c>
      <c r="S1781" t="s">
        <v>9640</v>
      </c>
      <c r="T1781" t="b">
        <v>1</v>
      </c>
      <c r="U1781" t="s">
        <v>5599</v>
      </c>
      <c r="V1781" t="s">
        <v>9641</v>
      </c>
      <c r="W1781" t="s">
        <v>9642</v>
      </c>
      <c r="X1781" t="s">
        <v>47</v>
      </c>
      <c r="AA1781" t="s">
        <v>261</v>
      </c>
      <c r="AC1781" t="s">
        <v>263</v>
      </c>
      <c r="AD1781" t="b">
        <v>0</v>
      </c>
      <c r="AF1781">
        <v>10</v>
      </c>
      <c r="AG1781" t="s">
        <v>143</v>
      </c>
    </row>
    <row r="1782" spans="1:33" x14ac:dyDescent="0.2">
      <c r="A1782">
        <v>1783</v>
      </c>
      <c r="B1782" t="s">
        <v>9643</v>
      </c>
      <c r="C1782" t="s">
        <v>34</v>
      </c>
      <c r="D1782" t="s">
        <v>35</v>
      </c>
      <c r="E1782" t="s">
        <v>6086</v>
      </c>
      <c r="F1782" t="s">
        <v>6087</v>
      </c>
      <c r="G1782" t="s">
        <v>213</v>
      </c>
      <c r="H1782" t="s">
        <v>83</v>
      </c>
      <c r="I1782" t="s">
        <v>611</v>
      </c>
      <c r="J1782" t="s">
        <v>612</v>
      </c>
      <c r="K1782">
        <v>2014</v>
      </c>
      <c r="L1782">
        <v>2014</v>
      </c>
      <c r="M1782">
        <v>1.639</v>
      </c>
      <c r="N1782">
        <v>5.093</v>
      </c>
      <c r="O1782">
        <v>207.3</v>
      </c>
      <c r="P1782">
        <v>0.9</v>
      </c>
      <c r="Q1782">
        <v>0.50600000000000001</v>
      </c>
      <c r="R1782" t="s">
        <v>84</v>
      </c>
      <c r="S1782" t="s">
        <v>6088</v>
      </c>
      <c r="T1782" t="b">
        <v>1</v>
      </c>
      <c r="U1782" t="s">
        <v>9326</v>
      </c>
      <c r="V1782" t="s">
        <v>6090</v>
      </c>
      <c r="W1782" t="s">
        <v>9644</v>
      </c>
      <c r="X1782" t="s">
        <v>47</v>
      </c>
      <c r="AA1782" t="s">
        <v>615</v>
      </c>
      <c r="AB1782" t="s">
        <v>4741</v>
      </c>
      <c r="AC1782" t="s">
        <v>616</v>
      </c>
      <c r="AD1782" t="b">
        <v>0</v>
      </c>
      <c r="AF1782">
        <v>4</v>
      </c>
      <c r="AG1782" t="s">
        <v>321</v>
      </c>
    </row>
    <row r="1783" spans="1:33" x14ac:dyDescent="0.2">
      <c r="A1783">
        <v>1667</v>
      </c>
      <c r="B1783" t="s">
        <v>9645</v>
      </c>
      <c r="C1783" t="s">
        <v>34</v>
      </c>
      <c r="D1783" t="s">
        <v>35</v>
      </c>
      <c r="E1783" t="s">
        <v>9646</v>
      </c>
      <c r="F1783" t="s">
        <v>9647</v>
      </c>
      <c r="G1783" t="s">
        <v>242</v>
      </c>
      <c r="H1783" t="s">
        <v>243</v>
      </c>
      <c r="I1783" t="s">
        <v>436</v>
      </c>
      <c r="J1783" t="s">
        <v>437</v>
      </c>
      <c r="K1783">
        <v>2012</v>
      </c>
      <c r="L1783">
        <v>2012</v>
      </c>
      <c r="M1783">
        <v>0.5</v>
      </c>
      <c r="N1783">
        <v>3.177</v>
      </c>
      <c r="O1783">
        <v>181.75</v>
      </c>
      <c r="P1783">
        <v>0.34200000000000003</v>
      </c>
      <c r="Q1783">
        <v>0.40600000000000003</v>
      </c>
      <c r="R1783" t="s">
        <v>72</v>
      </c>
      <c r="S1783" t="s">
        <v>9648</v>
      </c>
      <c r="T1783" t="b">
        <v>1</v>
      </c>
      <c r="U1783" t="s">
        <v>9649</v>
      </c>
      <c r="V1783" t="s">
        <v>9650</v>
      </c>
      <c r="W1783" t="s">
        <v>9651</v>
      </c>
      <c r="X1783" t="s">
        <v>47</v>
      </c>
      <c r="AA1783" t="s">
        <v>9652</v>
      </c>
      <c r="AB1783" t="s">
        <v>49</v>
      </c>
      <c r="AC1783" t="s">
        <v>9653</v>
      </c>
      <c r="AD1783" t="b">
        <v>0</v>
      </c>
      <c r="AF1783">
        <v>9</v>
      </c>
      <c r="AG1783" t="s">
        <v>251</v>
      </c>
    </row>
    <row r="1784" spans="1:33" x14ac:dyDescent="0.2">
      <c r="A1784">
        <v>2110</v>
      </c>
      <c r="B1784" t="s">
        <v>9654</v>
      </c>
      <c r="C1784" t="s">
        <v>34</v>
      </c>
      <c r="D1784" t="s">
        <v>35</v>
      </c>
      <c r="E1784" t="s">
        <v>1492</v>
      </c>
      <c r="F1784" t="s">
        <v>1493</v>
      </c>
      <c r="G1784" t="s">
        <v>53</v>
      </c>
      <c r="H1784" t="s">
        <v>54</v>
      </c>
      <c r="I1784" t="s">
        <v>325</v>
      </c>
      <c r="J1784" t="s">
        <v>135</v>
      </c>
      <c r="K1784">
        <v>2023</v>
      </c>
      <c r="L1784">
        <v>2023</v>
      </c>
      <c r="M1784">
        <v>4.8</v>
      </c>
      <c r="N1784">
        <v>12.6</v>
      </c>
      <c r="O1784">
        <v>172.2</v>
      </c>
      <c r="P1784">
        <v>3.3</v>
      </c>
      <c r="Q1784">
        <v>0.40400000000000003</v>
      </c>
      <c r="R1784" t="s">
        <v>57</v>
      </c>
      <c r="S1784" t="s">
        <v>9655</v>
      </c>
      <c r="T1784" t="b">
        <v>1</v>
      </c>
      <c r="U1784" t="s">
        <v>9656</v>
      </c>
      <c r="V1784" t="s">
        <v>1496</v>
      </c>
      <c r="W1784" t="s">
        <v>9657</v>
      </c>
      <c r="X1784" t="s">
        <v>47</v>
      </c>
      <c r="AA1784" t="s">
        <v>9543</v>
      </c>
      <c r="AB1784" t="s">
        <v>177</v>
      </c>
      <c r="AC1784" t="s">
        <v>9544</v>
      </c>
      <c r="AD1784" t="b">
        <v>0</v>
      </c>
      <c r="AF1784">
        <v>6</v>
      </c>
      <c r="AG1784" t="s">
        <v>64</v>
      </c>
    </row>
    <row r="1785" spans="1:33" x14ac:dyDescent="0.2">
      <c r="A1785">
        <v>809</v>
      </c>
      <c r="B1785" t="s">
        <v>9658</v>
      </c>
      <c r="C1785" t="s">
        <v>34</v>
      </c>
      <c r="D1785" t="s">
        <v>35</v>
      </c>
      <c r="E1785" t="s">
        <v>36</v>
      </c>
      <c r="F1785" t="s">
        <v>37</v>
      </c>
      <c r="G1785" t="s">
        <v>53</v>
      </c>
      <c r="H1785" t="s">
        <v>54</v>
      </c>
      <c r="I1785" t="s">
        <v>325</v>
      </c>
      <c r="J1785" t="s">
        <v>135</v>
      </c>
      <c r="K1785">
        <v>2004</v>
      </c>
      <c r="L1785">
        <v>2004</v>
      </c>
      <c r="M1785">
        <v>5.5</v>
      </c>
      <c r="N1785">
        <v>22.321000000000002</v>
      </c>
      <c r="O1785">
        <v>159</v>
      </c>
      <c r="P1785">
        <v>4</v>
      </c>
      <c r="Q1785">
        <v>0.38200000000000001</v>
      </c>
      <c r="R1785" t="s">
        <v>84</v>
      </c>
      <c r="S1785" t="s">
        <v>9659</v>
      </c>
      <c r="T1785" t="b">
        <v>1</v>
      </c>
      <c r="U1785" t="s">
        <v>6056</v>
      </c>
      <c r="V1785" t="s">
        <v>45</v>
      </c>
      <c r="W1785" t="s">
        <v>6057</v>
      </c>
      <c r="X1785" t="s">
        <v>47</v>
      </c>
      <c r="AA1785" t="s">
        <v>4161</v>
      </c>
      <c r="AB1785" t="s">
        <v>584</v>
      </c>
      <c r="AC1785" t="s">
        <v>4162</v>
      </c>
      <c r="AD1785" t="b">
        <v>0</v>
      </c>
      <c r="AF1785">
        <v>3</v>
      </c>
      <c r="AG1785" t="s">
        <v>332</v>
      </c>
    </row>
    <row r="1786" spans="1:33" x14ac:dyDescent="0.2">
      <c r="A1786">
        <v>1008</v>
      </c>
      <c r="B1786" t="s">
        <v>9660</v>
      </c>
      <c r="C1786" t="s">
        <v>34</v>
      </c>
      <c r="D1786" t="s">
        <v>35</v>
      </c>
      <c r="G1786" t="s">
        <v>93</v>
      </c>
      <c r="H1786" t="s">
        <v>94</v>
      </c>
      <c r="I1786" t="s">
        <v>6920</v>
      </c>
      <c r="J1786" t="s">
        <v>567</v>
      </c>
      <c r="K1786">
        <v>1998</v>
      </c>
      <c r="L1786">
        <v>1998</v>
      </c>
      <c r="M1786">
        <v>0.05</v>
      </c>
      <c r="N1786">
        <v>0.23</v>
      </c>
      <c r="O1786">
        <v>60</v>
      </c>
      <c r="R1786" t="s">
        <v>72</v>
      </c>
      <c r="S1786" t="s">
        <v>9661</v>
      </c>
      <c r="T1786" t="b">
        <v>1</v>
      </c>
      <c r="U1786" t="s">
        <v>455</v>
      </c>
      <c r="V1786" t="s">
        <v>274</v>
      </c>
      <c r="W1786" t="s">
        <v>113</v>
      </c>
      <c r="X1786" t="s">
        <v>47</v>
      </c>
      <c r="AA1786" t="s">
        <v>340</v>
      </c>
      <c r="AC1786" t="s">
        <v>1063</v>
      </c>
      <c r="AD1786" t="b">
        <v>0</v>
      </c>
      <c r="AF1786">
        <v>8</v>
      </c>
      <c r="AG1786" t="s">
        <v>78</v>
      </c>
    </row>
    <row r="1787" spans="1:33" x14ac:dyDescent="0.2">
      <c r="A1787">
        <v>515</v>
      </c>
      <c r="B1787" t="s">
        <v>9662</v>
      </c>
      <c r="C1787" t="s">
        <v>34</v>
      </c>
      <c r="D1787" t="s">
        <v>35</v>
      </c>
      <c r="E1787" t="s">
        <v>253</v>
      </c>
      <c r="F1787" t="s">
        <v>254</v>
      </c>
      <c r="G1787" t="s">
        <v>242</v>
      </c>
      <c r="H1787" t="s">
        <v>243</v>
      </c>
      <c r="I1787" t="s">
        <v>255</v>
      </c>
      <c r="J1787" t="s">
        <v>256</v>
      </c>
      <c r="K1787">
        <v>1976</v>
      </c>
      <c r="L1787">
        <v>1976</v>
      </c>
      <c r="M1787">
        <v>7.6</v>
      </c>
      <c r="N1787">
        <v>51.46</v>
      </c>
      <c r="O1787">
        <v>6.69</v>
      </c>
      <c r="P1787">
        <v>140.74</v>
      </c>
      <c r="Q1787">
        <v>1.4E-2</v>
      </c>
      <c r="R1787" t="s">
        <v>72</v>
      </c>
      <c r="S1787" t="s">
        <v>9663</v>
      </c>
      <c r="T1787" t="b">
        <v>1</v>
      </c>
      <c r="U1787" t="s">
        <v>9664</v>
      </c>
      <c r="V1787" t="s">
        <v>259</v>
      </c>
      <c r="W1787" t="s">
        <v>9665</v>
      </c>
      <c r="X1787" t="s">
        <v>47</v>
      </c>
      <c r="AA1787" t="s">
        <v>261</v>
      </c>
      <c r="AB1787" t="s">
        <v>676</v>
      </c>
      <c r="AC1787" t="s">
        <v>263</v>
      </c>
      <c r="AD1787" t="b">
        <v>0</v>
      </c>
      <c r="AF1787">
        <v>9</v>
      </c>
      <c r="AG1787" t="s">
        <v>251</v>
      </c>
    </row>
    <row r="1788" spans="1:33" x14ac:dyDescent="0.2">
      <c r="A1788">
        <v>1815</v>
      </c>
      <c r="B1788" t="s">
        <v>9666</v>
      </c>
      <c r="C1788" t="s">
        <v>34</v>
      </c>
      <c r="D1788" t="s">
        <v>35</v>
      </c>
      <c r="E1788" t="s">
        <v>132</v>
      </c>
      <c r="F1788" t="s">
        <v>133</v>
      </c>
      <c r="G1788" t="s">
        <v>134</v>
      </c>
      <c r="H1788" t="s">
        <v>135</v>
      </c>
      <c r="I1788" t="s">
        <v>1418</v>
      </c>
      <c r="J1788" t="s">
        <v>676</v>
      </c>
      <c r="K1788">
        <v>2015</v>
      </c>
      <c r="L1788">
        <v>2015</v>
      </c>
      <c r="M1788">
        <v>8.58</v>
      </c>
      <c r="N1788">
        <v>25.178000000000001</v>
      </c>
      <c r="O1788">
        <v>154.80000000000001</v>
      </c>
      <c r="P1788">
        <v>7.04</v>
      </c>
      <c r="Q1788">
        <v>0.33900000000000002</v>
      </c>
      <c r="R1788" t="s">
        <v>42</v>
      </c>
      <c r="S1788" t="s">
        <v>9667</v>
      </c>
      <c r="T1788" t="b">
        <v>1</v>
      </c>
      <c r="U1788" t="s">
        <v>9668</v>
      </c>
      <c r="V1788" t="s">
        <v>139</v>
      </c>
      <c r="W1788" t="s">
        <v>9669</v>
      </c>
      <c r="X1788" t="s">
        <v>47</v>
      </c>
      <c r="AA1788" t="s">
        <v>2325</v>
      </c>
      <c r="AB1788" t="s">
        <v>177</v>
      </c>
      <c r="AC1788" t="s">
        <v>2326</v>
      </c>
      <c r="AD1788" t="b">
        <v>0</v>
      </c>
      <c r="AF1788">
        <v>10</v>
      </c>
      <c r="AG1788" t="s">
        <v>143</v>
      </c>
    </row>
    <row r="1789" spans="1:33" x14ac:dyDescent="0.2">
      <c r="A1789">
        <v>1600</v>
      </c>
      <c r="B1789" t="s">
        <v>9670</v>
      </c>
      <c r="C1789" t="s">
        <v>34</v>
      </c>
      <c r="D1789" t="s">
        <v>35</v>
      </c>
      <c r="E1789" t="s">
        <v>3286</v>
      </c>
      <c r="F1789" t="s">
        <v>3287</v>
      </c>
      <c r="G1789" t="s">
        <v>93</v>
      </c>
      <c r="H1789" t="s">
        <v>94</v>
      </c>
      <c r="I1789" t="s">
        <v>3288</v>
      </c>
      <c r="J1789" t="s">
        <v>41</v>
      </c>
      <c r="K1789">
        <v>2009</v>
      </c>
      <c r="L1789">
        <v>2009</v>
      </c>
      <c r="M1789">
        <v>0.82</v>
      </c>
      <c r="N1789">
        <v>2.7650000000000001</v>
      </c>
      <c r="O1789">
        <v>183</v>
      </c>
      <c r="P1789">
        <v>0.6</v>
      </c>
      <c r="Q1789">
        <v>0.41699999999999998</v>
      </c>
      <c r="R1789" t="s">
        <v>97</v>
      </c>
      <c r="S1789" t="s">
        <v>6062</v>
      </c>
      <c r="T1789" t="b">
        <v>1</v>
      </c>
      <c r="U1789" t="s">
        <v>9671</v>
      </c>
      <c r="V1789" t="s">
        <v>3291</v>
      </c>
      <c r="W1789" t="s">
        <v>9672</v>
      </c>
      <c r="X1789" t="s">
        <v>47</v>
      </c>
      <c r="AA1789" t="s">
        <v>340</v>
      </c>
      <c r="AB1789" t="s">
        <v>533</v>
      </c>
      <c r="AC1789" t="s">
        <v>341</v>
      </c>
      <c r="AD1789" t="b">
        <v>0</v>
      </c>
      <c r="AF1789">
        <v>1</v>
      </c>
      <c r="AG1789" t="s">
        <v>104</v>
      </c>
    </row>
    <row r="1790" spans="1:33" x14ac:dyDescent="0.2">
      <c r="A1790">
        <v>2074</v>
      </c>
      <c r="B1790" t="s">
        <v>9673</v>
      </c>
      <c r="C1790" t="s">
        <v>34</v>
      </c>
      <c r="D1790" t="s">
        <v>35</v>
      </c>
      <c r="E1790" t="s">
        <v>9674</v>
      </c>
      <c r="F1790" t="s">
        <v>9675</v>
      </c>
      <c r="G1790" t="s">
        <v>53</v>
      </c>
      <c r="H1790" t="s">
        <v>54</v>
      </c>
      <c r="I1790" t="s">
        <v>901</v>
      </c>
      <c r="J1790" t="s">
        <v>313</v>
      </c>
      <c r="K1790">
        <v>2024</v>
      </c>
      <c r="L1790">
        <v>2024</v>
      </c>
      <c r="M1790">
        <v>8.4</v>
      </c>
      <c r="N1790">
        <v>19.600000000000001</v>
      </c>
      <c r="O1790">
        <v>348.4</v>
      </c>
      <c r="P1790">
        <v>2.72</v>
      </c>
      <c r="Q1790">
        <v>0.85799999999999998</v>
      </c>
      <c r="R1790" t="s">
        <v>57</v>
      </c>
      <c r="S1790" t="s">
        <v>9676</v>
      </c>
      <c r="T1790" t="b">
        <v>1</v>
      </c>
      <c r="U1790" t="s">
        <v>9677</v>
      </c>
      <c r="V1790" t="s">
        <v>9678</v>
      </c>
      <c r="W1790" t="s">
        <v>9679</v>
      </c>
      <c r="X1790" t="s">
        <v>47</v>
      </c>
      <c r="AA1790" t="s">
        <v>906</v>
      </c>
      <c r="AC1790" t="s">
        <v>907</v>
      </c>
      <c r="AD1790" t="b">
        <v>0</v>
      </c>
      <c r="AF1790">
        <v>2</v>
      </c>
      <c r="AG1790" t="s">
        <v>287</v>
      </c>
    </row>
    <row r="1791" spans="1:33" x14ac:dyDescent="0.2">
      <c r="A1791">
        <v>516</v>
      </c>
      <c r="B1791" t="s">
        <v>9680</v>
      </c>
      <c r="C1791" t="s">
        <v>34</v>
      </c>
      <c r="D1791" t="s">
        <v>35</v>
      </c>
      <c r="E1791" t="s">
        <v>36</v>
      </c>
      <c r="F1791" t="s">
        <v>37</v>
      </c>
      <c r="G1791" t="s">
        <v>242</v>
      </c>
      <c r="H1791" t="s">
        <v>243</v>
      </c>
      <c r="I1791" t="s">
        <v>978</v>
      </c>
      <c r="J1791" t="s">
        <v>49</v>
      </c>
      <c r="K1791">
        <v>1901</v>
      </c>
      <c r="L1791">
        <v>2014</v>
      </c>
      <c r="M1791">
        <v>3.1</v>
      </c>
      <c r="N1791">
        <v>24.071000000000002</v>
      </c>
      <c r="O1791">
        <v>34</v>
      </c>
      <c r="P1791">
        <v>10</v>
      </c>
      <c r="Q1791">
        <v>8.5999999999999993E-2</v>
      </c>
      <c r="R1791" t="s">
        <v>72</v>
      </c>
      <c r="S1791" t="s">
        <v>5249</v>
      </c>
      <c r="T1791" t="b">
        <v>1</v>
      </c>
      <c r="U1791" t="s">
        <v>6067</v>
      </c>
      <c r="V1791" t="s">
        <v>45</v>
      </c>
      <c r="W1791" t="s">
        <v>5251</v>
      </c>
      <c r="X1791" t="s">
        <v>47</v>
      </c>
      <c r="AA1791" t="s">
        <v>982</v>
      </c>
      <c r="AB1791" t="s">
        <v>177</v>
      </c>
      <c r="AC1791" t="s">
        <v>983</v>
      </c>
      <c r="AD1791" t="b">
        <v>0</v>
      </c>
      <c r="AF1791">
        <v>9</v>
      </c>
      <c r="AG1791" t="s">
        <v>251</v>
      </c>
    </row>
    <row r="1792" spans="1:33" x14ac:dyDescent="0.2">
      <c r="A1792">
        <v>1982</v>
      </c>
      <c r="B1792" t="s">
        <v>9681</v>
      </c>
      <c r="C1792" t="s">
        <v>34</v>
      </c>
      <c r="D1792" t="s">
        <v>35</v>
      </c>
      <c r="E1792" t="s">
        <v>6069</v>
      </c>
      <c r="F1792" t="s">
        <v>6070</v>
      </c>
      <c r="G1792" t="s">
        <v>134</v>
      </c>
      <c r="H1792" t="s">
        <v>135</v>
      </c>
      <c r="I1792" t="s">
        <v>2074</v>
      </c>
      <c r="J1792" t="s">
        <v>225</v>
      </c>
      <c r="K1792">
        <v>2020</v>
      </c>
      <c r="L1792">
        <v>2020</v>
      </c>
      <c r="M1792">
        <v>8.51</v>
      </c>
      <c r="N1792">
        <v>26.641999999999999</v>
      </c>
      <c r="O1792">
        <v>183.3</v>
      </c>
      <c r="P1792">
        <v>6.4</v>
      </c>
      <c r="Q1792">
        <v>0.36899999999999999</v>
      </c>
      <c r="R1792" t="s">
        <v>42</v>
      </c>
      <c r="S1792" t="s">
        <v>6071</v>
      </c>
      <c r="T1792" t="b">
        <v>1</v>
      </c>
      <c r="U1792" t="s">
        <v>9682</v>
      </c>
      <c r="V1792" t="s">
        <v>6073</v>
      </c>
      <c r="W1792" t="s">
        <v>9683</v>
      </c>
      <c r="X1792" t="s">
        <v>47</v>
      </c>
      <c r="AA1792" t="s">
        <v>2652</v>
      </c>
      <c r="AB1792" t="s">
        <v>765</v>
      </c>
      <c r="AC1792" t="s">
        <v>2653</v>
      </c>
      <c r="AD1792" t="b">
        <v>0</v>
      </c>
      <c r="AF1792">
        <v>10</v>
      </c>
      <c r="AG1792" t="s">
        <v>143</v>
      </c>
    </row>
    <row r="1793" spans="1:33" x14ac:dyDescent="0.2">
      <c r="A1793">
        <v>518</v>
      </c>
      <c r="B1793" t="s">
        <v>9684</v>
      </c>
      <c r="C1793" t="s">
        <v>34</v>
      </c>
      <c r="D1793" t="s">
        <v>35</v>
      </c>
      <c r="E1793" t="s">
        <v>728</v>
      </c>
      <c r="F1793" t="s">
        <v>729</v>
      </c>
      <c r="G1793" t="s">
        <v>53</v>
      </c>
      <c r="H1793" t="s">
        <v>54</v>
      </c>
      <c r="I1793" t="s">
        <v>362</v>
      </c>
      <c r="J1793" t="s">
        <v>256</v>
      </c>
      <c r="K1793">
        <v>1938</v>
      </c>
      <c r="L1793">
        <v>1938</v>
      </c>
      <c r="M1793">
        <v>5</v>
      </c>
      <c r="N1793">
        <v>26.085999999999999</v>
      </c>
      <c r="O1793">
        <v>113.8</v>
      </c>
      <c r="P1793">
        <v>5</v>
      </c>
      <c r="Q1793">
        <v>0.27800000000000002</v>
      </c>
      <c r="R1793" t="s">
        <v>72</v>
      </c>
      <c r="S1793" t="s">
        <v>4934</v>
      </c>
      <c r="T1793" t="b">
        <v>1</v>
      </c>
      <c r="U1793" t="s">
        <v>487</v>
      </c>
      <c r="V1793" t="s">
        <v>2923</v>
      </c>
      <c r="W1793" t="s">
        <v>9685</v>
      </c>
      <c r="X1793" t="s">
        <v>47</v>
      </c>
      <c r="AA1793" t="s">
        <v>2925</v>
      </c>
      <c r="AB1793" t="s">
        <v>177</v>
      </c>
      <c r="AC1793" t="s">
        <v>2926</v>
      </c>
      <c r="AD1793" t="b">
        <v>0</v>
      </c>
      <c r="AF1793">
        <v>13</v>
      </c>
      <c r="AG1793" t="s">
        <v>155</v>
      </c>
    </row>
    <row r="1794" spans="1:33" x14ac:dyDescent="0.2">
      <c r="A1794">
        <v>1157</v>
      </c>
      <c r="B1794" t="s">
        <v>9686</v>
      </c>
      <c r="C1794" t="s">
        <v>34</v>
      </c>
      <c r="D1794" t="s">
        <v>35</v>
      </c>
      <c r="G1794" t="s">
        <v>38</v>
      </c>
      <c r="H1794" t="s">
        <v>39</v>
      </c>
      <c r="I1794" t="s">
        <v>6079</v>
      </c>
      <c r="J1794" t="s">
        <v>539</v>
      </c>
      <c r="K1794">
        <v>1990</v>
      </c>
      <c r="L1794">
        <v>1990</v>
      </c>
      <c r="M1794">
        <v>1.4999999999999999E-2</v>
      </c>
      <c r="N1794">
        <v>6.0999999999999999E-2</v>
      </c>
      <c r="R1794" t="s">
        <v>42</v>
      </c>
      <c r="S1794" t="s">
        <v>9687</v>
      </c>
      <c r="T1794" t="b">
        <v>1</v>
      </c>
      <c r="U1794" t="s">
        <v>162</v>
      </c>
      <c r="V1794" t="s">
        <v>274</v>
      </c>
      <c r="W1794" t="s">
        <v>113</v>
      </c>
      <c r="X1794" t="s">
        <v>47</v>
      </c>
      <c r="AA1794" t="s">
        <v>6081</v>
      </c>
      <c r="AC1794" t="s">
        <v>6082</v>
      </c>
      <c r="AD1794" t="b">
        <v>0</v>
      </c>
      <c r="AF1794">
        <v>12</v>
      </c>
      <c r="AG1794" t="s">
        <v>51</v>
      </c>
    </row>
    <row r="1795" spans="1:33" x14ac:dyDescent="0.2">
      <c r="A1795">
        <v>519</v>
      </c>
      <c r="B1795" t="s">
        <v>9688</v>
      </c>
      <c r="C1795" t="s">
        <v>34</v>
      </c>
      <c r="D1795" t="s">
        <v>35</v>
      </c>
      <c r="E1795" t="s">
        <v>6099</v>
      </c>
      <c r="F1795" t="s">
        <v>6100</v>
      </c>
      <c r="G1795" t="s">
        <v>38</v>
      </c>
      <c r="H1795" t="s">
        <v>39</v>
      </c>
      <c r="I1795" t="s">
        <v>3267</v>
      </c>
      <c r="J1795" t="s">
        <v>308</v>
      </c>
      <c r="K1795">
        <v>1962</v>
      </c>
      <c r="L1795">
        <v>1962</v>
      </c>
      <c r="M1795">
        <v>1.7</v>
      </c>
      <c r="N1795">
        <v>9.1349999999999998</v>
      </c>
      <c r="O1795">
        <v>55</v>
      </c>
      <c r="P1795">
        <v>4.5</v>
      </c>
      <c r="Q1795">
        <v>0.106</v>
      </c>
      <c r="R1795" t="s">
        <v>42</v>
      </c>
      <c r="S1795" t="s">
        <v>9689</v>
      </c>
      <c r="T1795" t="b">
        <v>1</v>
      </c>
      <c r="U1795" t="s">
        <v>2173</v>
      </c>
      <c r="V1795" t="s">
        <v>6103</v>
      </c>
      <c r="W1795" t="s">
        <v>113</v>
      </c>
      <c r="X1795" t="s">
        <v>47</v>
      </c>
      <c r="AA1795" t="s">
        <v>6105</v>
      </c>
      <c r="AB1795" t="s">
        <v>177</v>
      </c>
      <c r="AC1795" t="s">
        <v>6106</v>
      </c>
      <c r="AD1795" t="b">
        <v>0</v>
      </c>
      <c r="AF1795">
        <v>12</v>
      </c>
      <c r="AG1795" t="s">
        <v>51</v>
      </c>
    </row>
    <row r="1796" spans="1:33" x14ac:dyDescent="0.2">
      <c r="A1796">
        <v>2050</v>
      </c>
      <c r="B1796" t="s">
        <v>9690</v>
      </c>
      <c r="C1796" t="s">
        <v>34</v>
      </c>
      <c r="D1796" t="s">
        <v>35</v>
      </c>
      <c r="E1796" t="s">
        <v>1320</v>
      </c>
      <c r="F1796" t="s">
        <v>1321</v>
      </c>
      <c r="G1796" t="s">
        <v>134</v>
      </c>
      <c r="H1796" t="s">
        <v>135</v>
      </c>
      <c r="I1796" t="s">
        <v>191</v>
      </c>
      <c r="J1796" t="s">
        <v>192</v>
      </c>
      <c r="K1796">
        <v>2021</v>
      </c>
      <c r="L1796">
        <v>2021</v>
      </c>
      <c r="M1796">
        <v>5</v>
      </c>
      <c r="N1796">
        <v>13.269</v>
      </c>
      <c r="O1796">
        <v>421.7</v>
      </c>
      <c r="P1796">
        <v>1.44</v>
      </c>
      <c r="Q1796">
        <v>0.96499999999999997</v>
      </c>
      <c r="R1796" t="s">
        <v>42</v>
      </c>
      <c r="S1796" t="s">
        <v>9691</v>
      </c>
      <c r="T1796" t="b">
        <v>1</v>
      </c>
      <c r="U1796" t="s">
        <v>9692</v>
      </c>
      <c r="V1796" t="s">
        <v>1324</v>
      </c>
      <c r="W1796" t="s">
        <v>9693</v>
      </c>
      <c r="X1796" t="s">
        <v>47</v>
      </c>
      <c r="AA1796" t="s">
        <v>6111</v>
      </c>
      <c r="AB1796" t="s">
        <v>177</v>
      </c>
      <c r="AC1796" t="s">
        <v>6112</v>
      </c>
      <c r="AD1796" t="b">
        <v>0</v>
      </c>
      <c r="AF1796">
        <v>11</v>
      </c>
      <c r="AG1796" t="s">
        <v>198</v>
      </c>
    </row>
    <row r="1797" spans="1:33" x14ac:dyDescent="0.2">
      <c r="A1797">
        <v>520</v>
      </c>
      <c r="B1797" t="s">
        <v>9694</v>
      </c>
      <c r="C1797" t="s">
        <v>34</v>
      </c>
      <c r="D1797" t="s">
        <v>35</v>
      </c>
      <c r="E1797" t="s">
        <v>36</v>
      </c>
      <c r="F1797" t="s">
        <v>37</v>
      </c>
      <c r="G1797" t="s">
        <v>134</v>
      </c>
      <c r="H1797" t="s">
        <v>135</v>
      </c>
      <c r="I1797" t="s">
        <v>641</v>
      </c>
      <c r="J1797" t="s">
        <v>109</v>
      </c>
      <c r="K1797">
        <v>1961</v>
      </c>
      <c r="L1797">
        <v>1961</v>
      </c>
      <c r="M1797">
        <v>175</v>
      </c>
      <c r="N1797">
        <v>988.98699999999997</v>
      </c>
      <c r="O1797">
        <v>135.5</v>
      </c>
      <c r="P1797">
        <v>160</v>
      </c>
      <c r="Q1797">
        <v>0.313</v>
      </c>
      <c r="R1797" t="s">
        <v>42</v>
      </c>
      <c r="S1797" t="s">
        <v>9695</v>
      </c>
      <c r="T1797" t="b">
        <v>1</v>
      </c>
      <c r="U1797" t="s">
        <v>9696</v>
      </c>
      <c r="V1797" t="s">
        <v>45</v>
      </c>
      <c r="W1797" t="s">
        <v>9697</v>
      </c>
      <c r="X1797" t="s">
        <v>47</v>
      </c>
      <c r="AA1797" t="s">
        <v>645</v>
      </c>
      <c r="AB1797" t="s">
        <v>177</v>
      </c>
      <c r="AC1797" t="s">
        <v>3212</v>
      </c>
      <c r="AD1797" t="b">
        <v>0</v>
      </c>
      <c r="AF1797">
        <v>10</v>
      </c>
      <c r="AG1797" t="s">
        <v>143</v>
      </c>
    </row>
    <row r="1798" spans="1:33" x14ac:dyDescent="0.2">
      <c r="A1798">
        <v>2134</v>
      </c>
      <c r="B1798" t="s">
        <v>9698</v>
      </c>
      <c r="C1798" t="s">
        <v>34</v>
      </c>
      <c r="D1798" t="s">
        <v>35</v>
      </c>
      <c r="E1798" t="s">
        <v>6118</v>
      </c>
      <c r="F1798" t="s">
        <v>6119</v>
      </c>
      <c r="G1798" t="s">
        <v>242</v>
      </c>
      <c r="H1798" t="s">
        <v>243</v>
      </c>
      <c r="I1798" t="s">
        <v>2193</v>
      </c>
      <c r="J1798" t="s">
        <v>378</v>
      </c>
      <c r="K1798">
        <v>2024</v>
      </c>
      <c r="L1798">
        <v>2024</v>
      </c>
      <c r="M1798">
        <v>2.2000000000000002</v>
      </c>
      <c r="N1798">
        <v>5.5</v>
      </c>
      <c r="O1798">
        <v>58.5</v>
      </c>
      <c r="P1798">
        <v>4.5999999999999996</v>
      </c>
      <c r="Q1798">
        <v>0.13300000000000001</v>
      </c>
      <c r="R1798" t="s">
        <v>72</v>
      </c>
      <c r="S1798" t="s">
        <v>6120</v>
      </c>
      <c r="T1798" t="b">
        <v>1</v>
      </c>
      <c r="U1798" t="s">
        <v>9699</v>
      </c>
      <c r="V1798" t="s">
        <v>7271</v>
      </c>
      <c r="W1798" t="s">
        <v>9700</v>
      </c>
      <c r="X1798" t="s">
        <v>47</v>
      </c>
      <c r="AA1798" t="s">
        <v>6124</v>
      </c>
      <c r="AB1798" t="s">
        <v>177</v>
      </c>
      <c r="AC1798" t="s">
        <v>6125</v>
      </c>
      <c r="AD1798" t="b">
        <v>0</v>
      </c>
      <c r="AF1798">
        <v>8</v>
      </c>
      <c r="AG1798" t="s">
        <v>78</v>
      </c>
    </row>
    <row r="1799" spans="1:33" x14ac:dyDescent="0.2">
      <c r="A1799">
        <v>2101</v>
      </c>
      <c r="B1799" t="s">
        <v>9701</v>
      </c>
      <c r="C1799" t="s">
        <v>34</v>
      </c>
      <c r="D1799" t="s">
        <v>35</v>
      </c>
      <c r="E1799" t="s">
        <v>9702</v>
      </c>
      <c r="F1799" t="s">
        <v>9703</v>
      </c>
      <c r="G1799" t="s">
        <v>53</v>
      </c>
      <c r="H1799" t="s">
        <v>54</v>
      </c>
      <c r="I1799" t="s">
        <v>532</v>
      </c>
      <c r="J1799" t="s">
        <v>533</v>
      </c>
      <c r="K1799">
        <v>2023</v>
      </c>
      <c r="L1799">
        <v>2023</v>
      </c>
      <c r="M1799">
        <v>5.3</v>
      </c>
      <c r="N1799">
        <v>16.399999999999999</v>
      </c>
      <c r="O1799">
        <v>24</v>
      </c>
      <c r="P1799">
        <v>26</v>
      </c>
      <c r="Q1799">
        <v>5.7000000000000002E-2</v>
      </c>
      <c r="R1799" t="s">
        <v>57</v>
      </c>
      <c r="S1799" t="s">
        <v>9704</v>
      </c>
      <c r="T1799" t="b">
        <v>1</v>
      </c>
      <c r="U1799" t="s">
        <v>9705</v>
      </c>
      <c r="V1799" t="s">
        <v>9706</v>
      </c>
      <c r="W1799" t="s">
        <v>9707</v>
      </c>
      <c r="X1799" t="s">
        <v>47</v>
      </c>
      <c r="AA1799" t="s">
        <v>1943</v>
      </c>
      <c r="AC1799" t="s">
        <v>1944</v>
      </c>
      <c r="AD1799" t="b">
        <v>0</v>
      </c>
      <c r="AF1799">
        <v>7</v>
      </c>
      <c r="AG1799" t="s">
        <v>469</v>
      </c>
    </row>
    <row r="1800" spans="1:33" x14ac:dyDescent="0.2">
      <c r="A1800">
        <v>521</v>
      </c>
      <c r="B1800" t="s">
        <v>9708</v>
      </c>
      <c r="C1800" t="s">
        <v>34</v>
      </c>
      <c r="D1800" t="s">
        <v>35</v>
      </c>
      <c r="E1800" t="s">
        <v>1200</v>
      </c>
      <c r="F1800" t="s">
        <v>1201</v>
      </c>
      <c r="G1800" t="s">
        <v>53</v>
      </c>
      <c r="H1800" t="s">
        <v>54</v>
      </c>
      <c r="I1800" t="s">
        <v>604</v>
      </c>
      <c r="J1800" t="s">
        <v>426</v>
      </c>
      <c r="K1800">
        <v>1941</v>
      </c>
      <c r="L1800">
        <v>1941</v>
      </c>
      <c r="M1800">
        <v>6.45</v>
      </c>
      <c r="N1800">
        <v>27.652999999999999</v>
      </c>
      <c r="O1800">
        <v>103</v>
      </c>
      <c r="P1800">
        <v>6.4</v>
      </c>
      <c r="Q1800">
        <v>0.27200000000000002</v>
      </c>
      <c r="R1800" t="s">
        <v>72</v>
      </c>
      <c r="S1800" t="s">
        <v>4918</v>
      </c>
      <c r="T1800" t="b">
        <v>1</v>
      </c>
      <c r="U1800" t="s">
        <v>6630</v>
      </c>
      <c r="V1800" t="s">
        <v>1204</v>
      </c>
      <c r="W1800" t="s">
        <v>9709</v>
      </c>
      <c r="X1800" t="s">
        <v>47</v>
      </c>
      <c r="AA1800" t="s">
        <v>2038</v>
      </c>
      <c r="AB1800" t="s">
        <v>308</v>
      </c>
      <c r="AC1800" t="s">
        <v>2039</v>
      </c>
      <c r="AD1800" t="b">
        <v>0</v>
      </c>
      <c r="AF1800">
        <v>13</v>
      </c>
      <c r="AG1800" t="s">
        <v>155</v>
      </c>
    </row>
    <row r="1801" spans="1:33" x14ac:dyDescent="0.2">
      <c r="A1801">
        <v>522</v>
      </c>
      <c r="B1801" t="s">
        <v>9710</v>
      </c>
      <c r="C1801" t="s">
        <v>34</v>
      </c>
      <c r="D1801" t="s">
        <v>35</v>
      </c>
      <c r="E1801" t="s">
        <v>1814</v>
      </c>
      <c r="F1801" t="s">
        <v>1815</v>
      </c>
      <c r="G1801" t="s">
        <v>93</v>
      </c>
      <c r="H1801" t="s">
        <v>94</v>
      </c>
      <c r="I1801" t="s">
        <v>569</v>
      </c>
      <c r="J1801" t="s">
        <v>245</v>
      </c>
      <c r="K1801">
        <v>1956</v>
      </c>
      <c r="L1801">
        <v>2025</v>
      </c>
      <c r="M1801">
        <v>18.2</v>
      </c>
      <c r="N1801">
        <v>108.185</v>
      </c>
      <c r="O1801">
        <v>171.87</v>
      </c>
      <c r="P1801">
        <v>13.8</v>
      </c>
      <c r="Q1801">
        <v>0.36599999999999999</v>
      </c>
      <c r="R1801" t="s">
        <v>72</v>
      </c>
      <c r="S1801" t="s">
        <v>9711</v>
      </c>
      <c r="T1801" t="b">
        <v>1</v>
      </c>
      <c r="U1801" t="s">
        <v>9712</v>
      </c>
      <c r="V1801" t="s">
        <v>1818</v>
      </c>
      <c r="W1801" t="s">
        <v>6136</v>
      </c>
      <c r="X1801" t="s">
        <v>47</v>
      </c>
      <c r="AA1801" t="s">
        <v>340</v>
      </c>
      <c r="AB1801" t="s">
        <v>160</v>
      </c>
      <c r="AC1801" t="s">
        <v>1063</v>
      </c>
      <c r="AD1801" t="b">
        <v>0</v>
      </c>
      <c r="AF1801">
        <v>8</v>
      </c>
      <c r="AG1801" t="s">
        <v>78</v>
      </c>
    </row>
    <row r="1802" spans="1:33" x14ac:dyDescent="0.2">
      <c r="A1802">
        <v>2182</v>
      </c>
      <c r="B1802" t="s">
        <v>9713</v>
      </c>
      <c r="C1802" t="s">
        <v>34</v>
      </c>
      <c r="D1802" t="s">
        <v>35</v>
      </c>
      <c r="E1802" t="s">
        <v>180</v>
      </c>
      <c r="F1802" t="s">
        <v>181</v>
      </c>
      <c r="G1802" t="s">
        <v>377</v>
      </c>
      <c r="H1802" t="s">
        <v>378</v>
      </c>
      <c r="I1802" t="s">
        <v>691</v>
      </c>
      <c r="J1802" t="s">
        <v>262</v>
      </c>
      <c r="K1802">
        <v>2025</v>
      </c>
      <c r="L1802">
        <v>2025</v>
      </c>
      <c r="M1802">
        <v>5</v>
      </c>
      <c r="N1802">
        <v>10.4</v>
      </c>
      <c r="O1802">
        <v>112.5</v>
      </c>
      <c r="P1802">
        <v>5.5</v>
      </c>
      <c r="Q1802">
        <v>0.253</v>
      </c>
      <c r="R1802" t="s">
        <v>42</v>
      </c>
      <c r="S1802" t="s">
        <v>9714</v>
      </c>
      <c r="T1802" t="b">
        <v>1</v>
      </c>
      <c r="U1802" t="s">
        <v>9715</v>
      </c>
      <c r="V1802" t="s">
        <v>185</v>
      </c>
      <c r="W1802" t="s">
        <v>9716</v>
      </c>
      <c r="X1802" t="s">
        <v>47</v>
      </c>
      <c r="AA1802" t="s">
        <v>9717</v>
      </c>
      <c r="AC1802" t="s">
        <v>63</v>
      </c>
      <c r="AD1802" t="b">
        <v>0</v>
      </c>
      <c r="AF1802">
        <v>11</v>
      </c>
      <c r="AG1802" t="s">
        <v>198</v>
      </c>
    </row>
    <row r="1803" spans="1:33" x14ac:dyDescent="0.2">
      <c r="A1803">
        <v>523</v>
      </c>
      <c r="B1803" t="s">
        <v>9718</v>
      </c>
      <c r="C1803" t="s">
        <v>34</v>
      </c>
      <c r="D1803" t="s">
        <v>35</v>
      </c>
      <c r="E1803" t="s">
        <v>277</v>
      </c>
      <c r="F1803" t="s">
        <v>278</v>
      </c>
      <c r="G1803" t="s">
        <v>93</v>
      </c>
      <c r="H1803" t="s">
        <v>94</v>
      </c>
      <c r="I1803" t="s">
        <v>3695</v>
      </c>
      <c r="J1803" t="s">
        <v>485</v>
      </c>
      <c r="K1803">
        <v>1959</v>
      </c>
      <c r="L1803">
        <v>1959</v>
      </c>
      <c r="M1803">
        <v>140</v>
      </c>
      <c r="N1803">
        <v>639.88099999999997</v>
      </c>
      <c r="O1803">
        <v>329.29</v>
      </c>
      <c r="P1803">
        <v>48</v>
      </c>
      <c r="Q1803">
        <v>0.81</v>
      </c>
      <c r="R1803" t="s">
        <v>97</v>
      </c>
      <c r="S1803" t="s">
        <v>9719</v>
      </c>
      <c r="T1803" t="b">
        <v>1</v>
      </c>
      <c r="U1803" t="s">
        <v>9720</v>
      </c>
      <c r="V1803" t="s">
        <v>3307</v>
      </c>
      <c r="W1803" t="s">
        <v>9721</v>
      </c>
      <c r="X1803" t="s">
        <v>47</v>
      </c>
      <c r="AA1803" t="s">
        <v>340</v>
      </c>
      <c r="AB1803" t="s">
        <v>964</v>
      </c>
      <c r="AC1803" t="s">
        <v>1063</v>
      </c>
      <c r="AD1803" t="b">
        <v>0</v>
      </c>
      <c r="AF1803">
        <v>1</v>
      </c>
      <c r="AG1803" t="s">
        <v>104</v>
      </c>
    </row>
    <row r="1804" spans="1:33" x14ac:dyDescent="0.2">
      <c r="A1804">
        <v>2068</v>
      </c>
      <c r="B1804" t="s">
        <v>9722</v>
      </c>
      <c r="C1804" t="s">
        <v>34</v>
      </c>
      <c r="D1804" t="s">
        <v>35</v>
      </c>
      <c r="E1804" t="s">
        <v>6150</v>
      </c>
      <c r="F1804" t="s">
        <v>6151</v>
      </c>
      <c r="G1804" t="s">
        <v>224</v>
      </c>
      <c r="H1804" t="s">
        <v>225</v>
      </c>
      <c r="I1804" t="s">
        <v>6152</v>
      </c>
      <c r="J1804" t="s">
        <v>49</v>
      </c>
      <c r="K1804">
        <v>2021</v>
      </c>
      <c r="L1804">
        <v>2021</v>
      </c>
      <c r="M1804">
        <v>0.66</v>
      </c>
      <c r="N1804">
        <v>2.7490000000000001</v>
      </c>
      <c r="O1804">
        <v>174</v>
      </c>
      <c r="P1804">
        <v>0.46</v>
      </c>
      <c r="Q1804">
        <v>0.39900000000000002</v>
      </c>
      <c r="R1804" t="s">
        <v>97</v>
      </c>
      <c r="S1804" t="s">
        <v>6153</v>
      </c>
      <c r="T1804" t="b">
        <v>1</v>
      </c>
      <c r="U1804" t="s">
        <v>9723</v>
      </c>
      <c r="V1804" t="s">
        <v>6155</v>
      </c>
      <c r="W1804" t="s">
        <v>6156</v>
      </c>
      <c r="X1804" t="s">
        <v>47</v>
      </c>
      <c r="AA1804" t="s">
        <v>102</v>
      </c>
      <c r="AC1804" t="s">
        <v>103</v>
      </c>
      <c r="AD1804" t="b">
        <v>0</v>
      </c>
      <c r="AF1804">
        <v>1</v>
      </c>
      <c r="AG1804" t="s">
        <v>104</v>
      </c>
    </row>
    <row r="1805" spans="1:33" x14ac:dyDescent="0.2">
      <c r="A1805">
        <v>1259</v>
      </c>
      <c r="B1805" t="s">
        <v>9724</v>
      </c>
      <c r="C1805" t="s">
        <v>34</v>
      </c>
      <c r="D1805" t="s">
        <v>35</v>
      </c>
      <c r="E1805" t="s">
        <v>1055</v>
      </c>
      <c r="F1805" t="s">
        <v>1056</v>
      </c>
      <c r="G1805" t="s">
        <v>93</v>
      </c>
      <c r="H1805" t="s">
        <v>94</v>
      </c>
      <c r="I1805" t="s">
        <v>2974</v>
      </c>
      <c r="J1805" t="s">
        <v>731</v>
      </c>
      <c r="K1805">
        <v>1984</v>
      </c>
      <c r="L1805">
        <v>1984</v>
      </c>
      <c r="M1805">
        <v>0.43</v>
      </c>
      <c r="N1805">
        <v>2.4180000000000001</v>
      </c>
      <c r="O1805">
        <v>44</v>
      </c>
      <c r="P1805">
        <v>1.2</v>
      </c>
      <c r="Q1805">
        <v>0.1</v>
      </c>
      <c r="R1805" t="s">
        <v>97</v>
      </c>
      <c r="S1805" t="s">
        <v>9725</v>
      </c>
      <c r="T1805" t="b">
        <v>1</v>
      </c>
      <c r="U1805" t="s">
        <v>2163</v>
      </c>
      <c r="V1805" t="s">
        <v>1060</v>
      </c>
      <c r="W1805" t="s">
        <v>113</v>
      </c>
      <c r="X1805" t="s">
        <v>47</v>
      </c>
      <c r="AA1805" t="s">
        <v>102</v>
      </c>
      <c r="AC1805" t="s">
        <v>103</v>
      </c>
      <c r="AD1805" t="b">
        <v>0</v>
      </c>
      <c r="AF1805">
        <v>1</v>
      </c>
      <c r="AG1805" t="s">
        <v>104</v>
      </c>
    </row>
    <row r="1806" spans="1:33" x14ac:dyDescent="0.2">
      <c r="A1806">
        <v>2042</v>
      </c>
      <c r="B1806" t="s">
        <v>9726</v>
      </c>
      <c r="C1806" t="s">
        <v>34</v>
      </c>
      <c r="D1806" t="s">
        <v>35</v>
      </c>
      <c r="E1806" t="s">
        <v>9727</v>
      </c>
      <c r="F1806" t="s">
        <v>9728</v>
      </c>
      <c r="G1806" t="s">
        <v>53</v>
      </c>
      <c r="H1806" t="s">
        <v>54</v>
      </c>
      <c r="I1806" t="s">
        <v>147</v>
      </c>
      <c r="J1806" t="s">
        <v>148</v>
      </c>
      <c r="K1806">
        <v>2021</v>
      </c>
      <c r="L1806">
        <v>2021</v>
      </c>
      <c r="M1806">
        <v>3.2</v>
      </c>
      <c r="N1806">
        <v>10.023999999999999</v>
      </c>
      <c r="O1806">
        <v>194.5</v>
      </c>
      <c r="P1806">
        <v>2</v>
      </c>
      <c r="Q1806">
        <v>0.44400000000000001</v>
      </c>
      <c r="R1806" t="s">
        <v>72</v>
      </c>
      <c r="S1806" t="s">
        <v>9729</v>
      </c>
      <c r="T1806" t="b">
        <v>1</v>
      </c>
      <c r="U1806" t="s">
        <v>9730</v>
      </c>
      <c r="V1806" t="s">
        <v>9731</v>
      </c>
      <c r="W1806" t="s">
        <v>9732</v>
      </c>
      <c r="X1806" t="s">
        <v>47</v>
      </c>
      <c r="AA1806" t="s">
        <v>153</v>
      </c>
      <c r="AC1806" t="s">
        <v>154</v>
      </c>
      <c r="AD1806" t="b">
        <v>0</v>
      </c>
      <c r="AF1806">
        <v>13</v>
      </c>
      <c r="AG1806" t="s">
        <v>155</v>
      </c>
    </row>
    <row r="1807" spans="1:33" x14ac:dyDescent="0.2">
      <c r="A1807">
        <v>107</v>
      </c>
      <c r="B1807" t="s">
        <v>9733</v>
      </c>
      <c r="C1807" t="s">
        <v>34</v>
      </c>
      <c r="D1807" t="s">
        <v>35</v>
      </c>
      <c r="E1807" t="s">
        <v>2350</v>
      </c>
      <c r="F1807" t="s">
        <v>2351</v>
      </c>
      <c r="G1807" t="s">
        <v>377</v>
      </c>
      <c r="H1807" t="s">
        <v>378</v>
      </c>
      <c r="I1807" t="s">
        <v>6166</v>
      </c>
      <c r="J1807" t="s">
        <v>308</v>
      </c>
      <c r="K1807">
        <v>1949</v>
      </c>
      <c r="L1807">
        <v>1949</v>
      </c>
      <c r="M1807">
        <v>0.92</v>
      </c>
      <c r="N1807">
        <v>5.3410000000000002</v>
      </c>
      <c r="O1807">
        <v>32.299999999999997</v>
      </c>
      <c r="P1807">
        <v>3.8</v>
      </c>
      <c r="Q1807">
        <v>6.7000000000000004E-2</v>
      </c>
      <c r="R1807" t="s">
        <v>42</v>
      </c>
      <c r="S1807" t="s">
        <v>9734</v>
      </c>
      <c r="T1807" t="b">
        <v>1</v>
      </c>
      <c r="U1807" t="s">
        <v>9735</v>
      </c>
      <c r="V1807" t="s">
        <v>2355</v>
      </c>
      <c r="W1807" t="s">
        <v>6169</v>
      </c>
      <c r="X1807" t="s">
        <v>47</v>
      </c>
      <c r="AA1807" t="s">
        <v>554</v>
      </c>
      <c r="AB1807" t="s">
        <v>177</v>
      </c>
      <c r="AC1807" t="s">
        <v>6170</v>
      </c>
      <c r="AD1807" t="b">
        <v>0</v>
      </c>
      <c r="AF1807">
        <v>11</v>
      </c>
      <c r="AG1807" t="s">
        <v>198</v>
      </c>
    </row>
    <row r="1808" spans="1:33" x14ac:dyDescent="0.2">
      <c r="A1808">
        <v>2147</v>
      </c>
      <c r="B1808" t="s">
        <v>9736</v>
      </c>
      <c r="C1808" t="s">
        <v>34</v>
      </c>
      <c r="D1808" t="s">
        <v>35</v>
      </c>
      <c r="E1808" t="s">
        <v>9737</v>
      </c>
      <c r="F1808" t="s">
        <v>9738</v>
      </c>
      <c r="G1808" t="s">
        <v>53</v>
      </c>
      <c r="H1808" t="s">
        <v>54</v>
      </c>
      <c r="I1808" t="s">
        <v>82</v>
      </c>
      <c r="J1808" t="s">
        <v>83</v>
      </c>
      <c r="K1808">
        <v>2023</v>
      </c>
      <c r="L1808">
        <v>2023</v>
      </c>
      <c r="M1808">
        <v>0.02</v>
      </c>
      <c r="N1808">
        <v>0.09</v>
      </c>
      <c r="O1808">
        <v>60</v>
      </c>
      <c r="P1808">
        <v>4.4999999999999998E-2</v>
      </c>
      <c r="Q1808">
        <v>0.123</v>
      </c>
      <c r="R1808" t="s">
        <v>84</v>
      </c>
      <c r="S1808" t="s">
        <v>9739</v>
      </c>
      <c r="T1808" t="b">
        <v>1</v>
      </c>
      <c r="U1808" t="s">
        <v>9740</v>
      </c>
      <c r="V1808" t="s">
        <v>9741</v>
      </c>
      <c r="W1808" t="s">
        <v>113</v>
      </c>
      <c r="X1808" t="s">
        <v>47</v>
      </c>
      <c r="AA1808" t="s">
        <v>114</v>
      </c>
      <c r="AC1808" t="s">
        <v>63</v>
      </c>
      <c r="AD1808" t="b">
        <v>0</v>
      </c>
      <c r="AF1808">
        <v>5</v>
      </c>
      <c r="AG1808" t="s">
        <v>89</v>
      </c>
    </row>
    <row r="1809" spans="1:33" x14ac:dyDescent="0.2">
      <c r="A1809">
        <v>1713</v>
      </c>
      <c r="B1809" t="s">
        <v>9742</v>
      </c>
      <c r="C1809" t="s">
        <v>34</v>
      </c>
      <c r="D1809" t="s">
        <v>35</v>
      </c>
      <c r="E1809" t="s">
        <v>180</v>
      </c>
      <c r="F1809" t="s">
        <v>181</v>
      </c>
      <c r="G1809" t="s">
        <v>68</v>
      </c>
      <c r="H1809" t="s">
        <v>69</v>
      </c>
      <c r="I1809" t="s">
        <v>5713</v>
      </c>
      <c r="J1809" t="s">
        <v>245</v>
      </c>
      <c r="K1809">
        <v>2012</v>
      </c>
      <c r="L1809">
        <v>2012</v>
      </c>
      <c r="M1809">
        <v>1.2350000000000001</v>
      </c>
      <c r="N1809">
        <v>4.37</v>
      </c>
      <c r="O1809">
        <v>301</v>
      </c>
      <c r="P1809">
        <v>0.5</v>
      </c>
      <c r="Q1809">
        <v>0.68600000000000005</v>
      </c>
      <c r="R1809" t="s">
        <v>72</v>
      </c>
      <c r="S1809" t="s">
        <v>9743</v>
      </c>
      <c r="T1809" t="b">
        <v>1</v>
      </c>
      <c r="U1809" t="s">
        <v>9744</v>
      </c>
      <c r="V1809" t="s">
        <v>429</v>
      </c>
      <c r="W1809" t="s">
        <v>9745</v>
      </c>
      <c r="X1809" t="s">
        <v>47</v>
      </c>
      <c r="AA1809" t="s">
        <v>9746</v>
      </c>
      <c r="AB1809" t="s">
        <v>49</v>
      </c>
      <c r="AC1809" t="s">
        <v>9747</v>
      </c>
      <c r="AD1809" t="b">
        <v>0</v>
      </c>
      <c r="AF1809">
        <v>8</v>
      </c>
      <c r="AG1809" t="s">
        <v>78</v>
      </c>
    </row>
    <row r="1810" spans="1:33" x14ac:dyDescent="0.2">
      <c r="A1810">
        <v>1382</v>
      </c>
      <c r="B1810" t="s">
        <v>9748</v>
      </c>
      <c r="C1810" t="s">
        <v>34</v>
      </c>
      <c r="D1810" t="s">
        <v>35</v>
      </c>
      <c r="E1810" t="s">
        <v>9749</v>
      </c>
      <c r="F1810" t="s">
        <v>9750</v>
      </c>
      <c r="G1810" t="s">
        <v>68</v>
      </c>
      <c r="H1810" t="s">
        <v>69</v>
      </c>
      <c r="I1810" t="s">
        <v>70</v>
      </c>
      <c r="J1810" t="s">
        <v>71</v>
      </c>
      <c r="K1810">
        <v>2008</v>
      </c>
      <c r="L1810">
        <v>2008</v>
      </c>
      <c r="M1810">
        <v>2</v>
      </c>
      <c r="N1810">
        <v>6.8810000000000002</v>
      </c>
      <c r="O1810">
        <v>408.8</v>
      </c>
      <c r="P1810">
        <v>0.59</v>
      </c>
      <c r="Q1810">
        <v>0.94199999999999995</v>
      </c>
      <c r="R1810" t="s">
        <v>72</v>
      </c>
      <c r="S1810" t="s">
        <v>5074</v>
      </c>
      <c r="T1810" t="b">
        <v>1</v>
      </c>
      <c r="U1810" t="s">
        <v>9751</v>
      </c>
      <c r="V1810" t="s">
        <v>9752</v>
      </c>
      <c r="W1810" t="s">
        <v>9753</v>
      </c>
      <c r="X1810" t="s">
        <v>47</v>
      </c>
      <c r="AA1810" t="s">
        <v>688</v>
      </c>
      <c r="AB1810" t="s">
        <v>83</v>
      </c>
      <c r="AC1810" t="s">
        <v>689</v>
      </c>
      <c r="AD1810" t="b">
        <v>0</v>
      </c>
      <c r="AF1810">
        <v>8</v>
      </c>
      <c r="AG1810" t="s">
        <v>78</v>
      </c>
    </row>
    <row r="1811" spans="1:33" x14ac:dyDescent="0.2">
      <c r="A1811">
        <v>828</v>
      </c>
      <c r="B1811" t="s">
        <v>9754</v>
      </c>
      <c r="C1811" t="s">
        <v>34</v>
      </c>
      <c r="D1811" t="s">
        <v>35</v>
      </c>
      <c r="E1811" t="s">
        <v>277</v>
      </c>
      <c r="F1811" t="s">
        <v>278</v>
      </c>
      <c r="G1811" t="s">
        <v>93</v>
      </c>
      <c r="H1811" t="s">
        <v>94</v>
      </c>
      <c r="I1811" t="s">
        <v>2518</v>
      </c>
      <c r="J1811" t="s">
        <v>225</v>
      </c>
      <c r="K1811">
        <v>2005</v>
      </c>
      <c r="L1811">
        <v>2005</v>
      </c>
      <c r="M1811">
        <v>99.5</v>
      </c>
      <c r="N1811">
        <v>399.44400000000002</v>
      </c>
      <c r="O1811">
        <v>149.6</v>
      </c>
      <c r="P1811">
        <v>75</v>
      </c>
      <c r="Q1811">
        <v>0.36899999999999999</v>
      </c>
      <c r="R1811" t="s">
        <v>72</v>
      </c>
      <c r="S1811" t="s">
        <v>7508</v>
      </c>
      <c r="T1811" t="b">
        <v>1</v>
      </c>
      <c r="U1811" t="s">
        <v>9755</v>
      </c>
      <c r="V1811" t="s">
        <v>9756</v>
      </c>
      <c r="W1811" t="s">
        <v>2522</v>
      </c>
      <c r="X1811" t="s">
        <v>47</v>
      </c>
      <c r="AA1811" t="s">
        <v>340</v>
      </c>
      <c r="AB1811" t="s">
        <v>731</v>
      </c>
      <c r="AC1811" t="s">
        <v>1063</v>
      </c>
      <c r="AD1811" t="b">
        <v>0</v>
      </c>
      <c r="AF1811">
        <v>8</v>
      </c>
      <c r="AG1811" t="s">
        <v>78</v>
      </c>
    </row>
    <row r="1812" spans="1:33" x14ac:dyDescent="0.2">
      <c r="A1812">
        <v>2187</v>
      </c>
      <c r="B1812" t="s">
        <v>9757</v>
      </c>
      <c r="C1812" t="s">
        <v>34</v>
      </c>
      <c r="D1812" t="s">
        <v>35</v>
      </c>
      <c r="E1812" t="s">
        <v>9758</v>
      </c>
      <c r="F1812" t="s">
        <v>9759</v>
      </c>
      <c r="G1812" t="s">
        <v>68</v>
      </c>
      <c r="H1812" t="s">
        <v>69</v>
      </c>
      <c r="I1812" t="s">
        <v>1458</v>
      </c>
      <c r="J1812" t="s">
        <v>1459</v>
      </c>
      <c r="K1812">
        <v>2025</v>
      </c>
      <c r="L1812">
        <v>2025</v>
      </c>
      <c r="M1812">
        <v>0.5</v>
      </c>
      <c r="N1812">
        <v>2.98</v>
      </c>
      <c r="O1812">
        <v>95</v>
      </c>
      <c r="P1812">
        <v>0.6</v>
      </c>
      <c r="Q1812">
        <v>0.23100000000000001</v>
      </c>
      <c r="R1812" t="s">
        <v>72</v>
      </c>
      <c r="S1812" t="s">
        <v>9760</v>
      </c>
      <c r="T1812" t="b">
        <v>1</v>
      </c>
      <c r="U1812" t="s">
        <v>5610</v>
      </c>
      <c r="V1812" t="s">
        <v>9761</v>
      </c>
      <c r="W1812" t="s">
        <v>9762</v>
      </c>
      <c r="X1812" t="s">
        <v>47</v>
      </c>
      <c r="AA1812" t="s">
        <v>9763</v>
      </c>
      <c r="AC1812" t="s">
        <v>9764</v>
      </c>
      <c r="AD1812" t="b">
        <v>0</v>
      </c>
      <c r="AF1812">
        <v>13</v>
      </c>
      <c r="AG1812" t="s">
        <v>155</v>
      </c>
    </row>
    <row r="1813" spans="1:33" x14ac:dyDescent="0.2">
      <c r="A1813">
        <v>1473</v>
      </c>
      <c r="B1813" t="s">
        <v>9765</v>
      </c>
      <c r="C1813" t="s">
        <v>34</v>
      </c>
      <c r="D1813" t="s">
        <v>35</v>
      </c>
      <c r="E1813" t="s">
        <v>9766</v>
      </c>
      <c r="F1813" t="s">
        <v>9767</v>
      </c>
      <c r="G1813" t="s">
        <v>224</v>
      </c>
      <c r="H1813" t="s">
        <v>225</v>
      </c>
      <c r="I1813" t="s">
        <v>3775</v>
      </c>
      <c r="J1813" t="s">
        <v>515</v>
      </c>
      <c r="K1813">
        <v>2010</v>
      </c>
      <c r="L1813">
        <v>2010</v>
      </c>
      <c r="M1813">
        <v>1.95</v>
      </c>
      <c r="N1813">
        <v>5.069</v>
      </c>
      <c r="O1813">
        <v>88</v>
      </c>
      <c r="P1813">
        <v>2.68</v>
      </c>
      <c r="Q1813">
        <v>0.20200000000000001</v>
      </c>
      <c r="R1813" t="s">
        <v>57</v>
      </c>
      <c r="S1813" t="s">
        <v>9768</v>
      </c>
      <c r="T1813" t="b">
        <v>1</v>
      </c>
      <c r="U1813" t="s">
        <v>9769</v>
      </c>
      <c r="V1813" t="s">
        <v>9770</v>
      </c>
      <c r="W1813" t="s">
        <v>9771</v>
      </c>
      <c r="X1813" t="s">
        <v>47</v>
      </c>
      <c r="AA1813" t="s">
        <v>102</v>
      </c>
      <c r="AC1813" t="s">
        <v>103</v>
      </c>
      <c r="AD1813" t="b">
        <v>0</v>
      </c>
      <c r="AF1813">
        <v>2</v>
      </c>
      <c r="AG1813" t="s">
        <v>287</v>
      </c>
    </row>
    <row r="1814" spans="1:33" x14ac:dyDescent="0.2">
      <c r="A1814">
        <v>1345</v>
      </c>
      <c r="B1814" t="s">
        <v>9772</v>
      </c>
      <c r="C1814" t="s">
        <v>34</v>
      </c>
      <c r="D1814" t="s">
        <v>35</v>
      </c>
      <c r="E1814" t="s">
        <v>168</v>
      </c>
      <c r="F1814" t="s">
        <v>169</v>
      </c>
      <c r="G1814" t="s">
        <v>53</v>
      </c>
      <c r="H1814" t="s">
        <v>54</v>
      </c>
      <c r="I1814" t="s">
        <v>325</v>
      </c>
      <c r="J1814" t="s">
        <v>135</v>
      </c>
      <c r="K1814">
        <v>2007</v>
      </c>
      <c r="L1814">
        <v>2007</v>
      </c>
      <c r="M1814">
        <v>2</v>
      </c>
      <c r="N1814">
        <v>5.7329999999999997</v>
      </c>
      <c r="O1814">
        <v>300</v>
      </c>
      <c r="P1814">
        <v>0.82</v>
      </c>
      <c r="Q1814">
        <v>0.67800000000000005</v>
      </c>
      <c r="R1814" t="s">
        <v>84</v>
      </c>
      <c r="S1814" t="s">
        <v>9773</v>
      </c>
      <c r="T1814" t="b">
        <v>1</v>
      </c>
      <c r="U1814" t="s">
        <v>59</v>
      </c>
      <c r="V1814" t="s">
        <v>174</v>
      </c>
      <c r="W1814" t="s">
        <v>9774</v>
      </c>
      <c r="X1814" t="s">
        <v>47</v>
      </c>
      <c r="AA1814" t="s">
        <v>9772</v>
      </c>
      <c r="AB1814" t="s">
        <v>49</v>
      </c>
      <c r="AC1814" t="s">
        <v>9775</v>
      </c>
      <c r="AD1814" t="b">
        <v>0</v>
      </c>
      <c r="AF1814">
        <v>5</v>
      </c>
      <c r="AG1814" t="s">
        <v>89</v>
      </c>
    </row>
    <row r="1815" spans="1:33" x14ac:dyDescent="0.2">
      <c r="A1815">
        <v>892</v>
      </c>
      <c r="B1815" t="s">
        <v>9776</v>
      </c>
      <c r="C1815" t="s">
        <v>34</v>
      </c>
      <c r="D1815" t="s">
        <v>35</v>
      </c>
      <c r="G1815" t="s">
        <v>213</v>
      </c>
      <c r="H1815" t="s">
        <v>83</v>
      </c>
      <c r="I1815" t="s">
        <v>635</v>
      </c>
      <c r="J1815" t="s">
        <v>94</v>
      </c>
      <c r="K1815">
        <v>2004</v>
      </c>
      <c r="L1815">
        <v>2004</v>
      </c>
      <c r="M1815">
        <v>0.08</v>
      </c>
      <c r="N1815">
        <v>0.152</v>
      </c>
      <c r="R1815" t="s">
        <v>84</v>
      </c>
      <c r="S1815" t="s">
        <v>9777</v>
      </c>
      <c r="T1815" t="b">
        <v>1</v>
      </c>
      <c r="U1815" t="s">
        <v>637</v>
      </c>
      <c r="V1815" t="s">
        <v>274</v>
      </c>
      <c r="W1815" t="s">
        <v>9778</v>
      </c>
      <c r="X1815" t="s">
        <v>47</v>
      </c>
      <c r="AA1815" t="s">
        <v>958</v>
      </c>
      <c r="AC1815" t="s">
        <v>959</v>
      </c>
      <c r="AD1815" t="b">
        <v>0</v>
      </c>
      <c r="AF1815">
        <v>3</v>
      </c>
      <c r="AG1815" t="s">
        <v>332</v>
      </c>
    </row>
    <row r="1816" spans="1:33" x14ac:dyDescent="0.2">
      <c r="A1816">
        <v>524</v>
      </c>
      <c r="B1816" t="s">
        <v>9779</v>
      </c>
      <c r="C1816" t="s">
        <v>34</v>
      </c>
      <c r="D1816" t="s">
        <v>35</v>
      </c>
      <c r="E1816" t="s">
        <v>91</v>
      </c>
      <c r="F1816" t="s">
        <v>92</v>
      </c>
      <c r="G1816" t="s">
        <v>93</v>
      </c>
      <c r="H1816" t="s">
        <v>94</v>
      </c>
      <c r="I1816" t="s">
        <v>2084</v>
      </c>
      <c r="J1816" t="s">
        <v>1166</v>
      </c>
      <c r="K1816">
        <v>1951</v>
      </c>
      <c r="L1816">
        <v>1951</v>
      </c>
      <c r="M1816">
        <v>95</v>
      </c>
      <c r="N1816">
        <v>540.71400000000006</v>
      </c>
      <c r="O1816">
        <v>442</v>
      </c>
      <c r="P1816">
        <v>24</v>
      </c>
      <c r="Q1816">
        <v>1.1000000000000001</v>
      </c>
      <c r="R1816" t="s">
        <v>97</v>
      </c>
      <c r="S1816" t="s">
        <v>9780</v>
      </c>
      <c r="T1816" t="b">
        <v>1</v>
      </c>
      <c r="U1816" t="s">
        <v>9781</v>
      </c>
      <c r="V1816" t="s">
        <v>100</v>
      </c>
      <c r="W1816" t="s">
        <v>9782</v>
      </c>
      <c r="X1816" t="s">
        <v>47</v>
      </c>
      <c r="AA1816" t="s">
        <v>102</v>
      </c>
      <c r="AB1816" t="s">
        <v>354</v>
      </c>
      <c r="AC1816" t="s">
        <v>103</v>
      </c>
      <c r="AD1816" t="b">
        <v>0</v>
      </c>
      <c r="AF1816">
        <v>1</v>
      </c>
      <c r="AG1816" t="s">
        <v>104</v>
      </c>
    </row>
    <row r="1817" spans="1:33" x14ac:dyDescent="0.2">
      <c r="A1817">
        <v>787</v>
      </c>
      <c r="B1817" t="s">
        <v>9783</v>
      </c>
      <c r="C1817" t="s">
        <v>34</v>
      </c>
      <c r="D1817" t="s">
        <v>35</v>
      </c>
      <c r="E1817" t="s">
        <v>9784</v>
      </c>
      <c r="F1817" t="s">
        <v>9785</v>
      </c>
      <c r="G1817" t="s">
        <v>53</v>
      </c>
      <c r="H1817" t="s">
        <v>54</v>
      </c>
      <c r="I1817" t="s">
        <v>147</v>
      </c>
      <c r="J1817" t="s">
        <v>148</v>
      </c>
      <c r="K1817">
        <v>2002</v>
      </c>
      <c r="L1817">
        <v>2002</v>
      </c>
      <c r="M1817">
        <v>1.341</v>
      </c>
      <c r="N1817">
        <v>5.9160000000000004</v>
      </c>
      <c r="O1817">
        <v>49</v>
      </c>
      <c r="P1817">
        <v>3.2</v>
      </c>
      <c r="Q1817">
        <v>0.11700000000000001</v>
      </c>
      <c r="R1817" t="s">
        <v>72</v>
      </c>
      <c r="S1817" t="s">
        <v>9786</v>
      </c>
      <c r="T1817" t="b">
        <v>1</v>
      </c>
      <c r="U1817" t="s">
        <v>9787</v>
      </c>
      <c r="V1817" t="s">
        <v>9788</v>
      </c>
      <c r="W1817" t="s">
        <v>9789</v>
      </c>
      <c r="X1817" t="s">
        <v>47</v>
      </c>
      <c r="AA1817" t="s">
        <v>153</v>
      </c>
      <c r="AB1817" t="s">
        <v>83</v>
      </c>
      <c r="AC1817" t="s">
        <v>154</v>
      </c>
      <c r="AD1817" t="b">
        <v>0</v>
      </c>
      <c r="AF1817">
        <v>13</v>
      </c>
      <c r="AG1817" t="s">
        <v>155</v>
      </c>
    </row>
    <row r="1818" spans="1:33" x14ac:dyDescent="0.2">
      <c r="A1818">
        <v>1625</v>
      </c>
      <c r="B1818" t="s">
        <v>9790</v>
      </c>
      <c r="C1818" t="s">
        <v>34</v>
      </c>
      <c r="D1818" t="s">
        <v>35</v>
      </c>
      <c r="E1818" t="s">
        <v>9791</v>
      </c>
      <c r="F1818" t="s">
        <v>9792</v>
      </c>
      <c r="G1818" t="s">
        <v>134</v>
      </c>
      <c r="H1818" t="s">
        <v>135</v>
      </c>
      <c r="I1818" t="s">
        <v>2074</v>
      </c>
      <c r="J1818" t="s">
        <v>225</v>
      </c>
      <c r="K1818">
        <v>2011</v>
      </c>
      <c r="L1818">
        <v>2011</v>
      </c>
      <c r="M1818">
        <v>2.4</v>
      </c>
      <c r="N1818">
        <v>6.4240000000000004</v>
      </c>
      <c r="O1818">
        <v>202.7</v>
      </c>
      <c r="P1818">
        <v>1.35</v>
      </c>
      <c r="Q1818">
        <v>0.49399999999999999</v>
      </c>
      <c r="R1818" t="s">
        <v>42</v>
      </c>
      <c r="S1818" t="s">
        <v>9793</v>
      </c>
      <c r="T1818" t="b">
        <v>1</v>
      </c>
      <c r="U1818" t="s">
        <v>9794</v>
      </c>
      <c r="V1818" t="s">
        <v>9795</v>
      </c>
      <c r="W1818" t="s">
        <v>9796</v>
      </c>
      <c r="X1818" t="s">
        <v>47</v>
      </c>
      <c r="AA1818" t="s">
        <v>114</v>
      </c>
      <c r="AB1818" t="s">
        <v>49</v>
      </c>
      <c r="AC1818" t="s">
        <v>9797</v>
      </c>
      <c r="AD1818" t="b">
        <v>0</v>
      </c>
      <c r="AF1818">
        <v>10</v>
      </c>
      <c r="AG1818" t="s">
        <v>143</v>
      </c>
    </row>
    <row r="1819" spans="1:33" x14ac:dyDescent="0.2">
      <c r="A1819">
        <v>1676</v>
      </c>
      <c r="B1819" t="s">
        <v>9374</v>
      </c>
      <c r="C1819" t="s">
        <v>34</v>
      </c>
      <c r="D1819" t="s">
        <v>35</v>
      </c>
      <c r="E1819" t="s">
        <v>9798</v>
      </c>
      <c r="F1819" t="s">
        <v>9799</v>
      </c>
      <c r="G1819" t="s">
        <v>53</v>
      </c>
      <c r="H1819" t="s">
        <v>54</v>
      </c>
      <c r="I1819" t="s">
        <v>118</v>
      </c>
      <c r="J1819" t="s">
        <v>119</v>
      </c>
      <c r="K1819">
        <v>2013</v>
      </c>
      <c r="L1819">
        <v>2013</v>
      </c>
      <c r="M1819">
        <v>5.31</v>
      </c>
      <c r="N1819">
        <v>12.819000000000001</v>
      </c>
      <c r="O1819">
        <v>288.89999999999998</v>
      </c>
      <c r="P1819">
        <v>2.17</v>
      </c>
      <c r="Q1819">
        <v>0.68</v>
      </c>
      <c r="R1819" t="s">
        <v>84</v>
      </c>
      <c r="S1819" t="s">
        <v>9800</v>
      </c>
      <c r="T1819" t="b">
        <v>1</v>
      </c>
      <c r="U1819" t="s">
        <v>9801</v>
      </c>
      <c r="V1819" t="s">
        <v>9802</v>
      </c>
      <c r="W1819" t="s">
        <v>9803</v>
      </c>
      <c r="X1819" t="s">
        <v>47</v>
      </c>
      <c r="AA1819" t="s">
        <v>9374</v>
      </c>
      <c r="AB1819" t="s">
        <v>177</v>
      </c>
      <c r="AC1819" t="s">
        <v>9375</v>
      </c>
      <c r="AD1819" t="b">
        <v>0</v>
      </c>
      <c r="AF1819">
        <v>5</v>
      </c>
      <c r="AG1819" t="s">
        <v>89</v>
      </c>
    </row>
    <row r="1820" spans="1:33" x14ac:dyDescent="0.2">
      <c r="A1820">
        <v>1874</v>
      </c>
      <c r="B1820" t="s">
        <v>9804</v>
      </c>
      <c r="C1820" t="s">
        <v>34</v>
      </c>
      <c r="D1820" t="s">
        <v>35</v>
      </c>
      <c r="E1820" t="s">
        <v>5770</v>
      </c>
      <c r="F1820" t="s">
        <v>5771</v>
      </c>
      <c r="G1820" t="s">
        <v>93</v>
      </c>
      <c r="H1820" t="s">
        <v>94</v>
      </c>
      <c r="I1820" t="s">
        <v>5772</v>
      </c>
      <c r="J1820" t="s">
        <v>462</v>
      </c>
      <c r="K1820">
        <v>2016</v>
      </c>
      <c r="L1820">
        <v>2016</v>
      </c>
      <c r="M1820">
        <v>3.6</v>
      </c>
      <c r="N1820">
        <v>7.7439999999999998</v>
      </c>
      <c r="O1820">
        <v>121.65</v>
      </c>
      <c r="P1820">
        <v>3.9</v>
      </c>
      <c r="Q1820">
        <v>0.25600000000000001</v>
      </c>
      <c r="R1820" t="s">
        <v>97</v>
      </c>
      <c r="S1820" t="s">
        <v>9805</v>
      </c>
      <c r="T1820" t="b">
        <v>1</v>
      </c>
      <c r="U1820" t="s">
        <v>9806</v>
      </c>
      <c r="V1820" t="s">
        <v>5775</v>
      </c>
      <c r="W1820" t="s">
        <v>9807</v>
      </c>
      <c r="X1820" t="s">
        <v>47</v>
      </c>
      <c r="AA1820" t="s">
        <v>340</v>
      </c>
      <c r="AB1820" t="s">
        <v>71</v>
      </c>
      <c r="AC1820" t="s">
        <v>1063</v>
      </c>
      <c r="AD1820" t="b">
        <v>0</v>
      </c>
      <c r="AF1820">
        <v>1</v>
      </c>
      <c r="AG1820" t="s">
        <v>104</v>
      </c>
    </row>
    <row r="1821" spans="1:33" x14ac:dyDescent="0.2">
      <c r="A1821">
        <v>622</v>
      </c>
      <c r="B1821" t="s">
        <v>4804</v>
      </c>
      <c r="C1821" t="s">
        <v>34</v>
      </c>
      <c r="D1821" t="s">
        <v>35</v>
      </c>
      <c r="E1821" t="s">
        <v>9808</v>
      </c>
      <c r="F1821" t="s">
        <v>9809</v>
      </c>
      <c r="G1821" t="s">
        <v>224</v>
      </c>
      <c r="H1821" t="s">
        <v>225</v>
      </c>
      <c r="I1821" t="s">
        <v>4804</v>
      </c>
      <c r="J1821" t="s">
        <v>171</v>
      </c>
      <c r="K1821">
        <v>1914</v>
      </c>
      <c r="L1821">
        <v>1914</v>
      </c>
      <c r="M1821">
        <v>3.2</v>
      </c>
      <c r="N1821">
        <v>11.101000000000001</v>
      </c>
      <c r="O1821">
        <v>30.5</v>
      </c>
      <c r="P1821">
        <v>11.85</v>
      </c>
      <c r="Q1821">
        <v>7.4999999999999997E-2</v>
      </c>
      <c r="R1821" t="s">
        <v>57</v>
      </c>
      <c r="S1821" t="s">
        <v>9810</v>
      </c>
      <c r="T1821" t="b">
        <v>1</v>
      </c>
      <c r="U1821" t="s">
        <v>9811</v>
      </c>
      <c r="V1821" t="s">
        <v>9812</v>
      </c>
      <c r="W1821" t="s">
        <v>113</v>
      </c>
      <c r="X1821" t="s">
        <v>47</v>
      </c>
      <c r="AA1821" t="s">
        <v>102</v>
      </c>
      <c r="AB1821" t="s">
        <v>1653</v>
      </c>
      <c r="AC1821" t="s">
        <v>103</v>
      </c>
      <c r="AD1821" t="b">
        <v>0</v>
      </c>
      <c r="AF1821">
        <v>2</v>
      </c>
      <c r="AG1821" t="s">
        <v>287</v>
      </c>
    </row>
    <row r="1822" spans="1:33" x14ac:dyDescent="0.2">
      <c r="A1822">
        <v>1060</v>
      </c>
      <c r="B1822" t="s">
        <v>9813</v>
      </c>
      <c r="C1822" t="s">
        <v>34</v>
      </c>
      <c r="D1822" t="s">
        <v>35</v>
      </c>
      <c r="E1822" t="s">
        <v>9814</v>
      </c>
      <c r="F1822" t="s">
        <v>9815</v>
      </c>
      <c r="G1822" t="s">
        <v>213</v>
      </c>
      <c r="H1822" t="s">
        <v>83</v>
      </c>
      <c r="I1822" t="s">
        <v>1152</v>
      </c>
      <c r="J1822" t="s">
        <v>676</v>
      </c>
      <c r="K1822">
        <v>1912</v>
      </c>
      <c r="L1822">
        <v>1912</v>
      </c>
      <c r="M1822">
        <v>0.25</v>
      </c>
      <c r="N1822">
        <v>0.79600000000000004</v>
      </c>
      <c r="R1822" t="s">
        <v>84</v>
      </c>
      <c r="S1822" t="s">
        <v>9816</v>
      </c>
      <c r="T1822" t="b">
        <v>1</v>
      </c>
      <c r="U1822" t="s">
        <v>1023</v>
      </c>
      <c r="V1822" t="s">
        <v>9817</v>
      </c>
      <c r="W1822" t="s">
        <v>113</v>
      </c>
      <c r="X1822" t="s">
        <v>47</v>
      </c>
      <c r="AA1822" t="s">
        <v>9818</v>
      </c>
      <c r="AC1822" t="s">
        <v>8078</v>
      </c>
      <c r="AD1822" t="b">
        <v>0</v>
      </c>
      <c r="AF1822">
        <v>4</v>
      </c>
      <c r="AG1822" t="s">
        <v>321</v>
      </c>
    </row>
    <row r="1823" spans="1:33" x14ac:dyDescent="0.2">
      <c r="A1823">
        <v>1</v>
      </c>
      <c r="B1823" t="s">
        <v>9819</v>
      </c>
      <c r="C1823" t="s">
        <v>34</v>
      </c>
      <c r="D1823" t="s">
        <v>35</v>
      </c>
      <c r="E1823" t="s">
        <v>4088</v>
      </c>
      <c r="F1823" t="s">
        <v>4089</v>
      </c>
      <c r="G1823" t="s">
        <v>503</v>
      </c>
      <c r="H1823" t="s">
        <v>462</v>
      </c>
      <c r="I1823" t="s">
        <v>1846</v>
      </c>
      <c r="J1823" t="s">
        <v>135</v>
      </c>
      <c r="K1823">
        <v>1948</v>
      </c>
      <c r="L1823">
        <v>1948</v>
      </c>
      <c r="M1823">
        <v>5.4</v>
      </c>
      <c r="N1823">
        <v>30.286000000000001</v>
      </c>
      <c r="O1823">
        <v>10.6</v>
      </c>
      <c r="P1823">
        <v>66</v>
      </c>
      <c r="Q1823">
        <v>2.3E-2</v>
      </c>
      <c r="R1823" t="s">
        <v>84</v>
      </c>
      <c r="S1823" t="s">
        <v>9820</v>
      </c>
      <c r="T1823" t="b">
        <v>1</v>
      </c>
      <c r="U1823" t="s">
        <v>4109</v>
      </c>
      <c r="V1823" t="s">
        <v>4092</v>
      </c>
      <c r="W1823" t="s">
        <v>9821</v>
      </c>
      <c r="X1823" t="s">
        <v>47</v>
      </c>
      <c r="AA1823" t="s">
        <v>583</v>
      </c>
      <c r="AB1823" t="s">
        <v>3605</v>
      </c>
      <c r="AC1823" t="s">
        <v>585</v>
      </c>
      <c r="AD1823" t="b">
        <v>0</v>
      </c>
      <c r="AF1823">
        <v>3</v>
      </c>
      <c r="AG1823" t="s">
        <v>332</v>
      </c>
    </row>
    <row r="1824" spans="1:33" x14ac:dyDescent="0.2">
      <c r="A1824">
        <v>1360</v>
      </c>
      <c r="B1824" t="s">
        <v>9822</v>
      </c>
      <c r="C1824" t="s">
        <v>34</v>
      </c>
      <c r="D1824" t="s">
        <v>35</v>
      </c>
      <c r="E1824" t="s">
        <v>9823</v>
      </c>
      <c r="F1824" t="s">
        <v>9824</v>
      </c>
      <c r="G1824" t="s">
        <v>68</v>
      </c>
      <c r="H1824" t="s">
        <v>69</v>
      </c>
      <c r="I1824" t="s">
        <v>9825</v>
      </c>
      <c r="J1824" t="s">
        <v>3783</v>
      </c>
      <c r="K1824">
        <v>2006</v>
      </c>
      <c r="L1824">
        <v>2006</v>
      </c>
      <c r="M1824">
        <v>0.99</v>
      </c>
      <c r="N1824">
        <v>3.8620000000000001</v>
      </c>
      <c r="O1824">
        <v>215</v>
      </c>
      <c r="P1824">
        <v>0.54</v>
      </c>
      <c r="Q1824">
        <v>0.50900000000000001</v>
      </c>
      <c r="R1824" t="s">
        <v>72</v>
      </c>
      <c r="S1824" t="s">
        <v>9826</v>
      </c>
      <c r="T1824" t="b">
        <v>1</v>
      </c>
      <c r="U1824" t="s">
        <v>9827</v>
      </c>
      <c r="V1824" t="s">
        <v>9828</v>
      </c>
      <c r="W1824" t="s">
        <v>9829</v>
      </c>
      <c r="X1824" t="s">
        <v>47</v>
      </c>
      <c r="AA1824" t="s">
        <v>9830</v>
      </c>
      <c r="AC1824" t="s">
        <v>63</v>
      </c>
      <c r="AD1824" t="b">
        <v>0</v>
      </c>
      <c r="AF1824">
        <v>8</v>
      </c>
      <c r="AG1824" t="s">
        <v>78</v>
      </c>
    </row>
    <row r="1825" spans="1:33" x14ac:dyDescent="0.2">
      <c r="A1825">
        <v>370</v>
      </c>
      <c r="B1825" t="s">
        <v>9831</v>
      </c>
      <c r="C1825" t="s">
        <v>34</v>
      </c>
      <c r="D1825" t="s">
        <v>35</v>
      </c>
      <c r="E1825" t="s">
        <v>2669</v>
      </c>
      <c r="F1825" t="s">
        <v>2670</v>
      </c>
      <c r="G1825" t="s">
        <v>503</v>
      </c>
      <c r="H1825" t="s">
        <v>462</v>
      </c>
      <c r="I1825" t="s">
        <v>1331</v>
      </c>
      <c r="J1825" t="s">
        <v>94</v>
      </c>
      <c r="K1825">
        <v>1953</v>
      </c>
      <c r="L1825">
        <v>1953</v>
      </c>
      <c r="M1825">
        <v>21</v>
      </c>
      <c r="N1825">
        <v>150.75800000000001</v>
      </c>
      <c r="O1825">
        <v>252</v>
      </c>
      <c r="P1825">
        <v>9.6</v>
      </c>
      <c r="Q1825">
        <v>0.59299999999999997</v>
      </c>
      <c r="R1825" t="s">
        <v>84</v>
      </c>
      <c r="S1825" t="s">
        <v>9832</v>
      </c>
      <c r="T1825" t="b">
        <v>1</v>
      </c>
      <c r="U1825" t="s">
        <v>9833</v>
      </c>
      <c r="V1825" t="s">
        <v>2673</v>
      </c>
      <c r="W1825" t="s">
        <v>9834</v>
      </c>
      <c r="X1825" t="s">
        <v>47</v>
      </c>
      <c r="AA1825" t="s">
        <v>509</v>
      </c>
      <c r="AB1825" t="s">
        <v>135</v>
      </c>
      <c r="AC1825" t="s">
        <v>510</v>
      </c>
      <c r="AD1825" t="b">
        <v>0</v>
      </c>
      <c r="AF1825">
        <v>3</v>
      </c>
      <c r="AG1825" t="s">
        <v>332</v>
      </c>
    </row>
    <row r="1826" spans="1:33" x14ac:dyDescent="0.2">
      <c r="A1826">
        <v>527</v>
      </c>
      <c r="B1826" t="s">
        <v>9835</v>
      </c>
      <c r="C1826" t="s">
        <v>34</v>
      </c>
      <c r="D1826" t="s">
        <v>35</v>
      </c>
      <c r="E1826" t="s">
        <v>682</v>
      </c>
      <c r="F1826" t="s">
        <v>683</v>
      </c>
      <c r="G1826" t="s">
        <v>68</v>
      </c>
      <c r="H1826" t="s">
        <v>69</v>
      </c>
      <c r="I1826" t="s">
        <v>1458</v>
      </c>
      <c r="J1826" t="s">
        <v>1459</v>
      </c>
      <c r="K1826">
        <v>1977</v>
      </c>
      <c r="L1826">
        <v>1977</v>
      </c>
      <c r="M1826">
        <v>34</v>
      </c>
      <c r="N1826">
        <v>137.654</v>
      </c>
      <c r="O1826">
        <v>535.6</v>
      </c>
      <c r="P1826">
        <v>7.5</v>
      </c>
      <c r="Q1826">
        <v>1.2589999999999999</v>
      </c>
      <c r="R1826" t="s">
        <v>72</v>
      </c>
      <c r="S1826" t="s">
        <v>9836</v>
      </c>
      <c r="T1826" t="b">
        <v>1</v>
      </c>
      <c r="U1826" t="s">
        <v>5945</v>
      </c>
      <c r="V1826" t="s">
        <v>686</v>
      </c>
      <c r="W1826" t="s">
        <v>9837</v>
      </c>
      <c r="X1826" t="s">
        <v>47</v>
      </c>
      <c r="AA1826" t="s">
        <v>9835</v>
      </c>
      <c r="AB1826" t="s">
        <v>49</v>
      </c>
      <c r="AC1826" t="s">
        <v>9838</v>
      </c>
      <c r="AD1826" t="b">
        <v>0</v>
      </c>
      <c r="AF1826">
        <v>13</v>
      </c>
      <c r="AG1826" t="s">
        <v>155</v>
      </c>
    </row>
    <row r="1827" spans="1:33" x14ac:dyDescent="0.2">
      <c r="A1827">
        <v>111</v>
      </c>
      <c r="B1827" t="s">
        <v>9839</v>
      </c>
      <c r="C1827" t="s">
        <v>34</v>
      </c>
      <c r="D1827" t="s">
        <v>35</v>
      </c>
      <c r="E1827" t="s">
        <v>404</v>
      </c>
      <c r="F1827" t="s">
        <v>405</v>
      </c>
      <c r="G1827" t="s">
        <v>312</v>
      </c>
      <c r="H1827" t="s">
        <v>313</v>
      </c>
      <c r="I1827" t="s">
        <v>2224</v>
      </c>
      <c r="J1827" t="s">
        <v>119</v>
      </c>
      <c r="K1827">
        <v>1983</v>
      </c>
      <c r="L1827">
        <v>1983</v>
      </c>
      <c r="M1827">
        <v>18.399999999999999</v>
      </c>
      <c r="N1827">
        <v>58.238999999999997</v>
      </c>
      <c r="O1827">
        <v>54.5</v>
      </c>
      <c r="P1827">
        <v>39.93</v>
      </c>
      <c r="Q1827">
        <v>0.128</v>
      </c>
      <c r="R1827" t="s">
        <v>84</v>
      </c>
      <c r="S1827" t="s">
        <v>9840</v>
      </c>
      <c r="T1827" t="b">
        <v>1</v>
      </c>
      <c r="U1827" t="s">
        <v>9841</v>
      </c>
      <c r="V1827" t="s">
        <v>408</v>
      </c>
      <c r="W1827" t="s">
        <v>9842</v>
      </c>
      <c r="X1827" t="s">
        <v>47</v>
      </c>
      <c r="AA1827" t="s">
        <v>509</v>
      </c>
      <c r="AB1827" t="s">
        <v>280</v>
      </c>
      <c r="AC1827" t="s">
        <v>510</v>
      </c>
      <c r="AD1827" t="b">
        <v>0</v>
      </c>
      <c r="AF1827">
        <v>4</v>
      </c>
      <c r="AG1827" t="s">
        <v>321</v>
      </c>
    </row>
    <row r="1828" spans="1:33" x14ac:dyDescent="0.2">
      <c r="A1828">
        <v>525</v>
      </c>
      <c r="B1828" t="s">
        <v>9843</v>
      </c>
      <c r="C1828" t="s">
        <v>34</v>
      </c>
      <c r="D1828" t="s">
        <v>35</v>
      </c>
      <c r="E1828" t="s">
        <v>404</v>
      </c>
      <c r="F1828" t="s">
        <v>405</v>
      </c>
      <c r="G1828" t="s">
        <v>312</v>
      </c>
      <c r="H1828" t="s">
        <v>313</v>
      </c>
      <c r="I1828" t="s">
        <v>2224</v>
      </c>
      <c r="J1828" t="s">
        <v>119</v>
      </c>
      <c r="K1828">
        <v>1983</v>
      </c>
      <c r="L1828">
        <v>1983</v>
      </c>
      <c r="M1828">
        <v>5.8</v>
      </c>
      <c r="N1828">
        <v>27.457000000000001</v>
      </c>
      <c r="O1828">
        <v>5.5</v>
      </c>
      <c r="P1828">
        <v>134.25</v>
      </c>
      <c r="Q1828">
        <v>1.2E-2</v>
      </c>
      <c r="R1828" t="s">
        <v>84</v>
      </c>
      <c r="S1828" t="s">
        <v>9840</v>
      </c>
      <c r="T1828" t="b">
        <v>1</v>
      </c>
      <c r="U1828" t="s">
        <v>9844</v>
      </c>
      <c r="V1828" t="s">
        <v>408</v>
      </c>
      <c r="W1828" t="s">
        <v>9842</v>
      </c>
      <c r="X1828" t="s">
        <v>47</v>
      </c>
      <c r="AA1828" t="s">
        <v>509</v>
      </c>
      <c r="AB1828" t="s">
        <v>192</v>
      </c>
      <c r="AC1828" t="s">
        <v>510</v>
      </c>
      <c r="AD1828" t="b">
        <v>0</v>
      </c>
      <c r="AF1828">
        <v>4</v>
      </c>
      <c r="AG1828" t="s">
        <v>321</v>
      </c>
    </row>
    <row r="1829" spans="1:33" x14ac:dyDescent="0.2">
      <c r="A1829">
        <v>526</v>
      </c>
      <c r="B1829" t="s">
        <v>2804</v>
      </c>
      <c r="C1829" t="s">
        <v>34</v>
      </c>
      <c r="D1829" t="s">
        <v>35</v>
      </c>
      <c r="E1829" t="s">
        <v>1055</v>
      </c>
      <c r="F1829" t="s">
        <v>1056</v>
      </c>
      <c r="G1829" t="s">
        <v>93</v>
      </c>
      <c r="H1829" t="s">
        <v>94</v>
      </c>
      <c r="I1829" t="s">
        <v>1057</v>
      </c>
      <c r="J1829" t="s">
        <v>836</v>
      </c>
      <c r="K1829">
        <v>1986</v>
      </c>
      <c r="L1829">
        <v>1986</v>
      </c>
      <c r="M1829">
        <v>1.8</v>
      </c>
      <c r="N1829">
        <v>10.144</v>
      </c>
      <c r="O1829">
        <v>56</v>
      </c>
      <c r="P1829">
        <v>4.09</v>
      </c>
      <c r="Q1829">
        <v>0.122</v>
      </c>
      <c r="R1829" t="s">
        <v>97</v>
      </c>
      <c r="S1829" t="s">
        <v>1058</v>
      </c>
      <c r="T1829" t="b">
        <v>1</v>
      </c>
      <c r="U1829" t="s">
        <v>1884</v>
      </c>
      <c r="V1829" t="s">
        <v>1060</v>
      </c>
      <c r="W1829" t="s">
        <v>9845</v>
      </c>
      <c r="X1829" t="s">
        <v>47</v>
      </c>
      <c r="AA1829" t="s">
        <v>340</v>
      </c>
      <c r="AB1829" t="s">
        <v>3789</v>
      </c>
      <c r="AC1829" t="s">
        <v>1063</v>
      </c>
      <c r="AD1829" t="b">
        <v>0</v>
      </c>
      <c r="AF1829">
        <v>1</v>
      </c>
      <c r="AG1829" t="s">
        <v>104</v>
      </c>
    </row>
    <row r="1830" spans="1:33" x14ac:dyDescent="0.2">
      <c r="A1830">
        <v>1726</v>
      </c>
      <c r="B1830" t="s">
        <v>2804</v>
      </c>
      <c r="C1830" t="s">
        <v>34</v>
      </c>
      <c r="D1830" t="s">
        <v>35</v>
      </c>
      <c r="E1830" t="s">
        <v>576</v>
      </c>
      <c r="F1830" t="s">
        <v>577</v>
      </c>
      <c r="G1830" t="s">
        <v>503</v>
      </c>
      <c r="H1830" t="s">
        <v>462</v>
      </c>
      <c r="I1830" t="s">
        <v>578</v>
      </c>
      <c r="J1830" t="s">
        <v>308</v>
      </c>
      <c r="K1830">
        <v>2012</v>
      </c>
      <c r="L1830">
        <v>2012</v>
      </c>
      <c r="M1830">
        <v>2.2000000000000002</v>
      </c>
      <c r="N1830">
        <v>8.93</v>
      </c>
      <c r="O1830">
        <v>170</v>
      </c>
      <c r="P1830">
        <v>1.7</v>
      </c>
      <c r="Q1830">
        <v>0.35899999999999999</v>
      </c>
      <c r="R1830" t="s">
        <v>84</v>
      </c>
      <c r="S1830" t="s">
        <v>9846</v>
      </c>
      <c r="T1830" t="b">
        <v>1</v>
      </c>
      <c r="U1830" t="s">
        <v>9847</v>
      </c>
      <c r="V1830" t="s">
        <v>581</v>
      </c>
      <c r="W1830" t="s">
        <v>9848</v>
      </c>
      <c r="X1830" t="s">
        <v>47</v>
      </c>
      <c r="AA1830" t="s">
        <v>583</v>
      </c>
      <c r="AB1830" t="s">
        <v>192</v>
      </c>
      <c r="AC1830" t="s">
        <v>585</v>
      </c>
      <c r="AD1830" t="b">
        <v>0</v>
      </c>
      <c r="AF1830">
        <v>3</v>
      </c>
      <c r="AG1830" t="s">
        <v>332</v>
      </c>
    </row>
    <row r="1831" spans="1:33" x14ac:dyDescent="0.2">
      <c r="A1831">
        <v>2017</v>
      </c>
      <c r="B1831" t="s">
        <v>9849</v>
      </c>
      <c r="C1831" t="s">
        <v>34</v>
      </c>
      <c r="D1831" t="s">
        <v>35</v>
      </c>
      <c r="E1831" t="s">
        <v>9850</v>
      </c>
      <c r="F1831" t="s">
        <v>9851</v>
      </c>
      <c r="G1831" t="s">
        <v>503</v>
      </c>
      <c r="H1831" t="s">
        <v>462</v>
      </c>
      <c r="I1831" t="s">
        <v>564</v>
      </c>
      <c r="J1831" t="s">
        <v>515</v>
      </c>
      <c r="K1831">
        <v>2021</v>
      </c>
      <c r="L1831">
        <v>2021</v>
      </c>
      <c r="M1831">
        <v>3.78</v>
      </c>
      <c r="N1831">
        <v>22.396999999999998</v>
      </c>
      <c r="O1831">
        <v>4.7</v>
      </c>
      <c r="P1831">
        <v>96</v>
      </c>
      <c r="Q1831">
        <v>1.0999999999999999E-2</v>
      </c>
      <c r="R1831" t="s">
        <v>84</v>
      </c>
      <c r="S1831" t="s">
        <v>9852</v>
      </c>
      <c r="T1831" t="b">
        <v>1</v>
      </c>
      <c r="U1831" t="s">
        <v>9853</v>
      </c>
      <c r="V1831" t="s">
        <v>9854</v>
      </c>
      <c r="W1831" t="s">
        <v>9855</v>
      </c>
      <c r="X1831" t="s">
        <v>47</v>
      </c>
      <c r="AA1831" t="s">
        <v>509</v>
      </c>
      <c r="AC1831" t="s">
        <v>510</v>
      </c>
      <c r="AD1831" t="b">
        <v>0</v>
      </c>
      <c r="AF1831">
        <v>3</v>
      </c>
      <c r="AG1831" t="s">
        <v>332</v>
      </c>
    </row>
    <row r="1832" spans="1:33" x14ac:dyDescent="0.2">
      <c r="A1832">
        <v>528</v>
      </c>
      <c r="B1832" t="s">
        <v>9856</v>
      </c>
      <c r="C1832" t="s">
        <v>34</v>
      </c>
      <c r="D1832" t="s">
        <v>35</v>
      </c>
      <c r="E1832" t="s">
        <v>1670</v>
      </c>
      <c r="F1832" t="s">
        <v>1671</v>
      </c>
      <c r="G1832" t="s">
        <v>312</v>
      </c>
      <c r="H1832" t="s">
        <v>313</v>
      </c>
      <c r="I1832" t="s">
        <v>2250</v>
      </c>
      <c r="J1832" t="s">
        <v>836</v>
      </c>
      <c r="K1832">
        <v>1971</v>
      </c>
      <c r="L1832">
        <v>1971</v>
      </c>
      <c r="M1832">
        <v>150</v>
      </c>
      <c r="N1832">
        <v>641.90800000000002</v>
      </c>
      <c r="O1832">
        <v>47</v>
      </c>
      <c r="P1832">
        <v>375.38</v>
      </c>
      <c r="Q1832">
        <v>0.111</v>
      </c>
      <c r="R1832" t="s">
        <v>84</v>
      </c>
      <c r="S1832" t="s">
        <v>9857</v>
      </c>
      <c r="T1832" t="b">
        <v>1</v>
      </c>
      <c r="U1832" t="s">
        <v>9858</v>
      </c>
      <c r="V1832" t="s">
        <v>1675</v>
      </c>
      <c r="W1832" t="s">
        <v>9859</v>
      </c>
      <c r="X1832" t="s">
        <v>47</v>
      </c>
      <c r="AA1832" t="s">
        <v>615</v>
      </c>
      <c r="AB1832" t="s">
        <v>49</v>
      </c>
      <c r="AC1832" t="s">
        <v>616</v>
      </c>
      <c r="AD1832" t="b">
        <v>0</v>
      </c>
      <c r="AF1832">
        <v>4</v>
      </c>
      <c r="AG1832" t="s">
        <v>321</v>
      </c>
    </row>
    <row r="1833" spans="1:33" x14ac:dyDescent="0.2">
      <c r="A1833">
        <v>1189</v>
      </c>
      <c r="B1833" t="s">
        <v>9860</v>
      </c>
      <c r="C1833" t="s">
        <v>34</v>
      </c>
      <c r="D1833" t="s">
        <v>35</v>
      </c>
      <c r="G1833" t="s">
        <v>53</v>
      </c>
      <c r="H1833" t="s">
        <v>54</v>
      </c>
      <c r="I1833" t="s">
        <v>1165</v>
      </c>
      <c r="J1833" t="s">
        <v>1166</v>
      </c>
      <c r="K1833">
        <v>1999</v>
      </c>
      <c r="L1833">
        <v>1999</v>
      </c>
      <c r="M1833">
        <v>1.6E-2</v>
      </c>
      <c r="N1833">
        <v>1.7999999999999999E-2</v>
      </c>
      <c r="R1833" t="s">
        <v>72</v>
      </c>
      <c r="S1833" t="s">
        <v>9861</v>
      </c>
      <c r="T1833" t="b">
        <v>1</v>
      </c>
      <c r="U1833" t="s">
        <v>571</v>
      </c>
      <c r="V1833" t="s">
        <v>274</v>
      </c>
      <c r="W1833" t="s">
        <v>9862</v>
      </c>
      <c r="X1833" t="s">
        <v>47</v>
      </c>
      <c r="AA1833" t="s">
        <v>2821</v>
      </c>
      <c r="AC1833" t="s">
        <v>2822</v>
      </c>
      <c r="AD1833" t="b">
        <v>0</v>
      </c>
      <c r="AF1833">
        <v>8</v>
      </c>
      <c r="AG1833" t="s">
        <v>78</v>
      </c>
    </row>
    <row r="1834" spans="1:33" x14ac:dyDescent="0.2">
      <c r="A1834">
        <v>1497</v>
      </c>
      <c r="B1834" t="s">
        <v>9863</v>
      </c>
      <c r="C1834" t="s">
        <v>34</v>
      </c>
      <c r="D1834" t="s">
        <v>35</v>
      </c>
      <c r="E1834" t="s">
        <v>9864</v>
      </c>
      <c r="F1834" t="s">
        <v>9865</v>
      </c>
      <c r="G1834" t="s">
        <v>53</v>
      </c>
      <c r="H1834" t="s">
        <v>54</v>
      </c>
      <c r="I1834" t="s">
        <v>1039</v>
      </c>
      <c r="J1834" t="s">
        <v>243</v>
      </c>
      <c r="K1834">
        <v>2009</v>
      </c>
      <c r="L1834">
        <v>2009</v>
      </c>
      <c r="M1834">
        <v>2.8</v>
      </c>
      <c r="N1834">
        <v>7.827</v>
      </c>
      <c r="O1834">
        <v>179</v>
      </c>
      <c r="P1834">
        <v>1.9</v>
      </c>
      <c r="Q1834">
        <v>0.40899999999999997</v>
      </c>
      <c r="R1834" t="s">
        <v>72</v>
      </c>
      <c r="S1834" t="s">
        <v>9866</v>
      </c>
      <c r="T1834" t="b">
        <v>1</v>
      </c>
      <c r="U1834" t="s">
        <v>9867</v>
      </c>
      <c r="V1834" t="s">
        <v>9868</v>
      </c>
      <c r="W1834" t="s">
        <v>9869</v>
      </c>
      <c r="X1834" t="s">
        <v>47</v>
      </c>
      <c r="AA1834" t="s">
        <v>400</v>
      </c>
      <c r="AB1834" t="s">
        <v>337</v>
      </c>
      <c r="AC1834" t="s">
        <v>402</v>
      </c>
      <c r="AD1834" t="b">
        <v>0</v>
      </c>
      <c r="AF1834">
        <v>13</v>
      </c>
      <c r="AG1834" t="s">
        <v>155</v>
      </c>
    </row>
    <row r="1835" spans="1:33" x14ac:dyDescent="0.2">
      <c r="A1835">
        <v>1441</v>
      </c>
      <c r="B1835" t="s">
        <v>9870</v>
      </c>
      <c r="C1835" t="s">
        <v>34</v>
      </c>
      <c r="D1835" t="s">
        <v>35</v>
      </c>
      <c r="E1835" t="s">
        <v>9864</v>
      </c>
      <c r="F1835" t="s">
        <v>9865</v>
      </c>
      <c r="G1835" t="s">
        <v>53</v>
      </c>
      <c r="H1835" t="s">
        <v>54</v>
      </c>
      <c r="I1835" t="s">
        <v>1039</v>
      </c>
      <c r="J1835" t="s">
        <v>243</v>
      </c>
      <c r="K1835">
        <v>2008</v>
      </c>
      <c r="L1835">
        <v>2008</v>
      </c>
      <c r="M1835">
        <v>3.5</v>
      </c>
      <c r="N1835">
        <v>10.45</v>
      </c>
      <c r="O1835">
        <v>371.1</v>
      </c>
      <c r="P1835">
        <v>1.1000000000000001</v>
      </c>
      <c r="Q1835">
        <v>0.88400000000000001</v>
      </c>
      <c r="R1835" t="s">
        <v>72</v>
      </c>
      <c r="S1835" t="s">
        <v>9866</v>
      </c>
      <c r="T1835" t="b">
        <v>1</v>
      </c>
      <c r="U1835" t="s">
        <v>9871</v>
      </c>
      <c r="V1835" t="s">
        <v>9868</v>
      </c>
      <c r="W1835" t="s">
        <v>9872</v>
      </c>
      <c r="X1835" t="s">
        <v>47</v>
      </c>
      <c r="AA1835" t="s">
        <v>400</v>
      </c>
      <c r="AB1835" t="s">
        <v>69</v>
      </c>
      <c r="AC1835" t="s">
        <v>402</v>
      </c>
      <c r="AD1835" t="b">
        <v>0</v>
      </c>
      <c r="AF1835">
        <v>13</v>
      </c>
      <c r="AG1835" t="s">
        <v>155</v>
      </c>
    </row>
    <row r="1836" spans="1:33" x14ac:dyDescent="0.2">
      <c r="A1836">
        <v>529</v>
      </c>
      <c r="B1836" t="s">
        <v>9873</v>
      </c>
      <c r="C1836" t="s">
        <v>34</v>
      </c>
      <c r="D1836" t="s">
        <v>35</v>
      </c>
      <c r="E1836" t="s">
        <v>91</v>
      </c>
      <c r="F1836" t="s">
        <v>92</v>
      </c>
      <c r="G1836" t="s">
        <v>503</v>
      </c>
      <c r="H1836" t="s">
        <v>462</v>
      </c>
      <c r="I1836" t="s">
        <v>2302</v>
      </c>
      <c r="J1836" t="s">
        <v>227</v>
      </c>
      <c r="K1836">
        <v>1915</v>
      </c>
      <c r="L1836">
        <v>1989</v>
      </c>
      <c r="M1836">
        <v>22.2</v>
      </c>
      <c r="N1836">
        <v>131.136</v>
      </c>
      <c r="O1836">
        <v>17.600000000000001</v>
      </c>
      <c r="P1836">
        <v>158.11000000000001</v>
      </c>
      <c r="Q1836">
        <v>3.9E-2</v>
      </c>
      <c r="R1836" t="s">
        <v>84</v>
      </c>
      <c r="S1836" t="s">
        <v>9874</v>
      </c>
      <c r="T1836" t="b">
        <v>1</v>
      </c>
      <c r="U1836" t="s">
        <v>4075</v>
      </c>
      <c r="V1836" t="s">
        <v>100</v>
      </c>
      <c r="W1836" t="s">
        <v>9875</v>
      </c>
      <c r="X1836" t="s">
        <v>47</v>
      </c>
      <c r="AA1836" t="s">
        <v>583</v>
      </c>
      <c r="AB1836" t="s">
        <v>69</v>
      </c>
      <c r="AC1836" t="s">
        <v>585</v>
      </c>
      <c r="AD1836" t="b">
        <v>0</v>
      </c>
      <c r="AF1836">
        <v>3</v>
      </c>
      <c r="AG1836" t="s">
        <v>332</v>
      </c>
    </row>
    <row r="1837" spans="1:33" x14ac:dyDescent="0.2">
      <c r="A1837">
        <v>1096</v>
      </c>
      <c r="B1837" t="s">
        <v>9876</v>
      </c>
      <c r="C1837" t="s">
        <v>34</v>
      </c>
      <c r="D1837" t="s">
        <v>35</v>
      </c>
      <c r="E1837" t="s">
        <v>6768</v>
      </c>
      <c r="F1837" t="s">
        <v>6769</v>
      </c>
      <c r="G1837" t="s">
        <v>53</v>
      </c>
      <c r="H1837" t="s">
        <v>54</v>
      </c>
      <c r="I1837" t="s">
        <v>1808</v>
      </c>
      <c r="J1837" t="s">
        <v>69</v>
      </c>
      <c r="K1837">
        <v>1996</v>
      </c>
      <c r="L1837">
        <v>1996</v>
      </c>
      <c r="M1837">
        <v>0.83</v>
      </c>
      <c r="N1837">
        <v>2.7589999999999999</v>
      </c>
      <c r="O1837">
        <v>171.4</v>
      </c>
      <c r="P1837">
        <v>0.58499999999999996</v>
      </c>
      <c r="Q1837">
        <v>0.39100000000000001</v>
      </c>
      <c r="R1837" t="s">
        <v>84</v>
      </c>
      <c r="S1837" t="s">
        <v>9877</v>
      </c>
      <c r="T1837" t="b">
        <v>1</v>
      </c>
      <c r="U1837" t="s">
        <v>439</v>
      </c>
      <c r="V1837" t="s">
        <v>6771</v>
      </c>
      <c r="W1837" t="s">
        <v>113</v>
      </c>
      <c r="X1837" t="s">
        <v>47</v>
      </c>
      <c r="AA1837" t="s">
        <v>114</v>
      </c>
      <c r="AC1837" t="s">
        <v>63</v>
      </c>
      <c r="AD1837" t="b">
        <v>0</v>
      </c>
      <c r="AF1837">
        <v>5</v>
      </c>
      <c r="AG1837" t="s">
        <v>89</v>
      </c>
    </row>
    <row r="1838" spans="1:33" x14ac:dyDescent="0.2">
      <c r="A1838">
        <v>948</v>
      </c>
      <c r="B1838" t="s">
        <v>9878</v>
      </c>
      <c r="C1838" t="s">
        <v>34</v>
      </c>
      <c r="D1838" t="s">
        <v>35</v>
      </c>
      <c r="E1838" t="s">
        <v>9879</v>
      </c>
      <c r="F1838" t="s">
        <v>9880</v>
      </c>
      <c r="G1838" t="s">
        <v>53</v>
      </c>
      <c r="H1838" t="s">
        <v>54</v>
      </c>
      <c r="I1838" t="s">
        <v>147</v>
      </c>
      <c r="J1838" t="s">
        <v>148</v>
      </c>
      <c r="K1838">
        <v>2001</v>
      </c>
      <c r="L1838">
        <v>2001</v>
      </c>
      <c r="M1838">
        <v>0.1303</v>
      </c>
      <c r="N1838">
        <v>0.65600000000000003</v>
      </c>
      <c r="R1838" t="s">
        <v>72</v>
      </c>
      <c r="S1838" t="s">
        <v>9881</v>
      </c>
      <c r="T1838" t="b">
        <v>1</v>
      </c>
      <c r="U1838" t="s">
        <v>1103</v>
      </c>
      <c r="V1838" t="s">
        <v>9882</v>
      </c>
      <c r="W1838" t="s">
        <v>9883</v>
      </c>
      <c r="X1838" t="s">
        <v>47</v>
      </c>
      <c r="AA1838" t="s">
        <v>374</v>
      </c>
      <c r="AC1838" t="s">
        <v>375</v>
      </c>
      <c r="AD1838" t="b">
        <v>0</v>
      </c>
      <c r="AF1838">
        <v>13</v>
      </c>
      <c r="AG1838" t="s">
        <v>155</v>
      </c>
    </row>
    <row r="1839" spans="1:33" x14ac:dyDescent="0.2">
      <c r="A1839">
        <v>1411</v>
      </c>
      <c r="B1839" t="s">
        <v>9884</v>
      </c>
      <c r="C1839" t="s">
        <v>34</v>
      </c>
      <c r="D1839" t="s">
        <v>35</v>
      </c>
      <c r="E1839" t="s">
        <v>168</v>
      </c>
      <c r="F1839" t="s">
        <v>169</v>
      </c>
      <c r="G1839" t="s">
        <v>53</v>
      </c>
      <c r="H1839" t="s">
        <v>54</v>
      </c>
      <c r="I1839" t="s">
        <v>325</v>
      </c>
      <c r="J1839" t="s">
        <v>135</v>
      </c>
      <c r="K1839">
        <v>2008</v>
      </c>
      <c r="L1839">
        <v>2008</v>
      </c>
      <c r="M1839">
        <v>5.25</v>
      </c>
      <c r="N1839">
        <v>12.722</v>
      </c>
      <c r="O1839">
        <v>206</v>
      </c>
      <c r="P1839">
        <v>2.9</v>
      </c>
      <c r="Q1839">
        <v>0.503</v>
      </c>
      <c r="R1839" t="s">
        <v>84</v>
      </c>
      <c r="S1839" t="s">
        <v>9885</v>
      </c>
      <c r="T1839" t="b">
        <v>1</v>
      </c>
      <c r="U1839" t="s">
        <v>9886</v>
      </c>
      <c r="V1839" t="s">
        <v>174</v>
      </c>
      <c r="W1839" t="s">
        <v>9887</v>
      </c>
      <c r="X1839" t="s">
        <v>47</v>
      </c>
      <c r="AA1839" t="s">
        <v>9888</v>
      </c>
      <c r="AB1839" t="s">
        <v>49</v>
      </c>
      <c r="AC1839" t="s">
        <v>9889</v>
      </c>
      <c r="AD1839" t="b">
        <v>0</v>
      </c>
      <c r="AF1839">
        <v>5</v>
      </c>
      <c r="AG1839" t="s">
        <v>89</v>
      </c>
    </row>
    <row r="1840" spans="1:33" x14ac:dyDescent="0.2">
      <c r="A1840">
        <v>530</v>
      </c>
      <c r="B1840" t="s">
        <v>9890</v>
      </c>
      <c r="C1840" t="s">
        <v>34</v>
      </c>
      <c r="D1840" t="s">
        <v>35</v>
      </c>
      <c r="E1840" t="s">
        <v>5855</v>
      </c>
      <c r="F1840" t="s">
        <v>5856</v>
      </c>
      <c r="G1840" t="s">
        <v>53</v>
      </c>
      <c r="H1840" t="s">
        <v>54</v>
      </c>
      <c r="I1840" t="s">
        <v>461</v>
      </c>
      <c r="J1840" t="s">
        <v>462</v>
      </c>
      <c r="K1840">
        <v>1983</v>
      </c>
      <c r="L1840">
        <v>1983</v>
      </c>
      <c r="M1840">
        <v>90</v>
      </c>
      <c r="N1840">
        <v>333.32</v>
      </c>
      <c r="O1840">
        <v>147</v>
      </c>
      <c r="P1840">
        <v>70.02</v>
      </c>
      <c r="Q1840">
        <v>0.35599999999999998</v>
      </c>
      <c r="R1840" t="s">
        <v>57</v>
      </c>
      <c r="S1840" t="s">
        <v>9891</v>
      </c>
      <c r="T1840" t="b">
        <v>1</v>
      </c>
      <c r="U1840" t="s">
        <v>9892</v>
      </c>
      <c r="V1840" t="s">
        <v>5859</v>
      </c>
      <c r="W1840" t="s">
        <v>9893</v>
      </c>
      <c r="X1840" t="s">
        <v>47</v>
      </c>
      <c r="AA1840" t="s">
        <v>1943</v>
      </c>
      <c r="AB1840" t="s">
        <v>49</v>
      </c>
      <c r="AC1840" t="s">
        <v>1944</v>
      </c>
      <c r="AD1840" t="b">
        <v>0</v>
      </c>
      <c r="AF1840">
        <v>7</v>
      </c>
      <c r="AG1840" t="s">
        <v>469</v>
      </c>
    </row>
    <row r="1841" spans="1:33" x14ac:dyDescent="0.2">
      <c r="A1841">
        <v>805</v>
      </c>
      <c r="B1841" t="s">
        <v>9894</v>
      </c>
      <c r="C1841" t="s">
        <v>34</v>
      </c>
      <c r="D1841" t="s">
        <v>35</v>
      </c>
      <c r="E1841" t="s">
        <v>5855</v>
      </c>
      <c r="F1841" t="s">
        <v>5856</v>
      </c>
      <c r="G1841" t="s">
        <v>53</v>
      </c>
      <c r="H1841" t="s">
        <v>54</v>
      </c>
      <c r="I1841" t="s">
        <v>461</v>
      </c>
      <c r="J1841" t="s">
        <v>462</v>
      </c>
      <c r="K1841">
        <v>1943</v>
      </c>
      <c r="L1841">
        <v>1943</v>
      </c>
      <c r="M1841">
        <v>3.8</v>
      </c>
      <c r="N1841">
        <v>23.751000000000001</v>
      </c>
      <c r="O1841">
        <v>136.63999999999999</v>
      </c>
      <c r="P1841">
        <v>3.5</v>
      </c>
      <c r="Q1841">
        <v>0.30199999999999999</v>
      </c>
      <c r="R1841" t="s">
        <v>57</v>
      </c>
      <c r="S1841" t="s">
        <v>9891</v>
      </c>
      <c r="T1841" t="b">
        <v>1</v>
      </c>
      <c r="U1841" t="s">
        <v>9895</v>
      </c>
      <c r="V1841" t="s">
        <v>5859</v>
      </c>
      <c r="W1841" t="s">
        <v>9896</v>
      </c>
      <c r="X1841" t="s">
        <v>47</v>
      </c>
      <c r="AA1841" t="s">
        <v>1943</v>
      </c>
      <c r="AB1841" t="s">
        <v>177</v>
      </c>
      <c r="AC1841" t="s">
        <v>1944</v>
      </c>
      <c r="AD1841" t="b">
        <v>0</v>
      </c>
      <c r="AF1841">
        <v>7</v>
      </c>
      <c r="AG1841" t="s">
        <v>469</v>
      </c>
    </row>
    <row r="1842" spans="1:33" x14ac:dyDescent="0.2">
      <c r="A1842">
        <v>774</v>
      </c>
      <c r="B1842" t="s">
        <v>9897</v>
      </c>
      <c r="C1842" t="s">
        <v>34</v>
      </c>
      <c r="D1842" t="s">
        <v>35</v>
      </c>
      <c r="E1842" t="s">
        <v>2256</v>
      </c>
      <c r="F1842" t="s">
        <v>2257</v>
      </c>
      <c r="G1842" t="s">
        <v>503</v>
      </c>
      <c r="H1842" t="s">
        <v>462</v>
      </c>
      <c r="I1842" t="s">
        <v>578</v>
      </c>
      <c r="J1842" t="s">
        <v>308</v>
      </c>
      <c r="K1842">
        <v>1908</v>
      </c>
      <c r="L1842">
        <v>1998</v>
      </c>
      <c r="M1842">
        <v>1</v>
      </c>
      <c r="N1842">
        <v>6.2039999999999997</v>
      </c>
      <c r="O1842">
        <v>19</v>
      </c>
      <c r="P1842">
        <v>6.5</v>
      </c>
      <c r="Q1842">
        <v>4.2999999999999997E-2</v>
      </c>
      <c r="R1842" t="s">
        <v>84</v>
      </c>
      <c r="S1842" t="s">
        <v>2475</v>
      </c>
      <c r="T1842" t="b">
        <v>1</v>
      </c>
      <c r="U1842" t="s">
        <v>455</v>
      </c>
      <c r="V1842" t="s">
        <v>2260</v>
      </c>
      <c r="W1842" t="s">
        <v>113</v>
      </c>
      <c r="X1842" t="s">
        <v>47</v>
      </c>
      <c r="AA1842" t="s">
        <v>583</v>
      </c>
      <c r="AB1842" t="s">
        <v>7599</v>
      </c>
      <c r="AC1842" t="s">
        <v>585</v>
      </c>
      <c r="AD1842" t="b">
        <v>0</v>
      </c>
      <c r="AF1842">
        <v>3</v>
      </c>
      <c r="AG1842" t="s">
        <v>332</v>
      </c>
    </row>
    <row r="1843" spans="1:33" x14ac:dyDescent="0.2">
      <c r="A1843">
        <v>1154</v>
      </c>
      <c r="B1843" t="s">
        <v>9898</v>
      </c>
      <c r="C1843" t="s">
        <v>34</v>
      </c>
      <c r="D1843" t="s">
        <v>35</v>
      </c>
      <c r="E1843" t="s">
        <v>4088</v>
      </c>
      <c r="F1843" t="s">
        <v>4089</v>
      </c>
      <c r="G1843" t="s">
        <v>224</v>
      </c>
      <c r="H1843" t="s">
        <v>225</v>
      </c>
      <c r="I1843" t="s">
        <v>226</v>
      </c>
      <c r="J1843" t="s">
        <v>227</v>
      </c>
      <c r="K1843">
        <v>1912</v>
      </c>
      <c r="L1843">
        <v>2012</v>
      </c>
      <c r="M1843">
        <v>1.44</v>
      </c>
      <c r="N1843">
        <v>3.1269999999999998</v>
      </c>
      <c r="O1843">
        <v>330</v>
      </c>
      <c r="P1843">
        <v>0.5</v>
      </c>
      <c r="Q1843">
        <v>0.8</v>
      </c>
      <c r="R1843" t="s">
        <v>97</v>
      </c>
      <c r="S1843" t="s">
        <v>9899</v>
      </c>
      <c r="T1843" t="b">
        <v>1</v>
      </c>
      <c r="U1843" t="s">
        <v>9744</v>
      </c>
      <c r="V1843" t="s">
        <v>4092</v>
      </c>
      <c r="W1843" t="s">
        <v>9900</v>
      </c>
      <c r="X1843" t="s">
        <v>47</v>
      </c>
      <c r="AA1843" t="s">
        <v>102</v>
      </c>
      <c r="AB1843" t="s">
        <v>584</v>
      </c>
      <c r="AC1843" t="s">
        <v>103</v>
      </c>
      <c r="AD1843" t="b">
        <v>0</v>
      </c>
      <c r="AF1843">
        <v>1</v>
      </c>
      <c r="AG1843" t="s">
        <v>104</v>
      </c>
    </row>
    <row r="1844" spans="1:33" x14ac:dyDescent="0.2">
      <c r="A1844">
        <v>753</v>
      </c>
      <c r="B1844" t="s">
        <v>9901</v>
      </c>
      <c r="C1844" t="s">
        <v>34</v>
      </c>
      <c r="D1844" t="s">
        <v>35</v>
      </c>
      <c r="E1844" t="s">
        <v>1200</v>
      </c>
      <c r="F1844" t="s">
        <v>1201</v>
      </c>
      <c r="G1844" t="s">
        <v>53</v>
      </c>
      <c r="H1844" t="s">
        <v>54</v>
      </c>
      <c r="I1844" t="s">
        <v>1241</v>
      </c>
      <c r="J1844" t="s">
        <v>1242</v>
      </c>
      <c r="K1844">
        <v>1994</v>
      </c>
      <c r="L1844">
        <v>1994</v>
      </c>
      <c r="M1844">
        <v>15</v>
      </c>
      <c r="N1844">
        <v>74.033000000000001</v>
      </c>
      <c r="O1844">
        <v>383</v>
      </c>
      <c r="P1844">
        <v>4.3</v>
      </c>
      <c r="Q1844">
        <v>0.96899999999999997</v>
      </c>
      <c r="R1844" t="s">
        <v>57</v>
      </c>
      <c r="S1844" t="s">
        <v>9902</v>
      </c>
      <c r="T1844" t="b">
        <v>1</v>
      </c>
      <c r="U1844" t="s">
        <v>9903</v>
      </c>
      <c r="V1844" t="s">
        <v>1204</v>
      </c>
      <c r="W1844" t="s">
        <v>9904</v>
      </c>
      <c r="X1844" t="s">
        <v>47</v>
      </c>
      <c r="AA1844" t="s">
        <v>1247</v>
      </c>
      <c r="AB1844" t="s">
        <v>83</v>
      </c>
      <c r="AC1844" t="s">
        <v>1248</v>
      </c>
      <c r="AD1844" t="b">
        <v>0</v>
      </c>
      <c r="AF1844">
        <v>6</v>
      </c>
      <c r="AG1844" t="s">
        <v>64</v>
      </c>
    </row>
    <row r="1845" spans="1:33" x14ac:dyDescent="0.2">
      <c r="A1845">
        <v>784</v>
      </c>
      <c r="B1845" t="s">
        <v>9905</v>
      </c>
      <c r="C1845" t="s">
        <v>34</v>
      </c>
      <c r="D1845" t="s">
        <v>35</v>
      </c>
      <c r="E1845" t="s">
        <v>1320</v>
      </c>
      <c r="F1845" t="s">
        <v>1321</v>
      </c>
      <c r="G1845" t="s">
        <v>53</v>
      </c>
      <c r="H1845" t="s">
        <v>54</v>
      </c>
      <c r="I1845" t="s">
        <v>147</v>
      </c>
      <c r="J1845" t="s">
        <v>148</v>
      </c>
      <c r="K1845">
        <v>2001</v>
      </c>
      <c r="L1845">
        <v>2001</v>
      </c>
      <c r="M1845">
        <v>1.49</v>
      </c>
      <c r="N1845">
        <v>5.9939999999999998</v>
      </c>
      <c r="P1845">
        <v>2.1</v>
      </c>
      <c r="Q1845">
        <v>0.19800000000000001</v>
      </c>
      <c r="R1845" t="s">
        <v>72</v>
      </c>
      <c r="S1845" t="s">
        <v>9906</v>
      </c>
      <c r="T1845" t="b">
        <v>1</v>
      </c>
      <c r="U1845" t="s">
        <v>9907</v>
      </c>
      <c r="V1845" t="s">
        <v>1324</v>
      </c>
      <c r="W1845" t="s">
        <v>9908</v>
      </c>
      <c r="X1845" t="s">
        <v>47</v>
      </c>
      <c r="AA1845" t="s">
        <v>4051</v>
      </c>
      <c r="AB1845" t="s">
        <v>83</v>
      </c>
      <c r="AC1845" t="s">
        <v>9909</v>
      </c>
      <c r="AD1845" t="b">
        <v>0</v>
      </c>
      <c r="AF1845">
        <v>13</v>
      </c>
      <c r="AG1845" t="s">
        <v>155</v>
      </c>
    </row>
    <row r="1846" spans="1:33" x14ac:dyDescent="0.2">
      <c r="A1846">
        <v>1630</v>
      </c>
      <c r="B1846" t="s">
        <v>9910</v>
      </c>
      <c r="C1846" t="s">
        <v>34</v>
      </c>
      <c r="D1846" t="s">
        <v>35</v>
      </c>
      <c r="E1846" t="s">
        <v>9911</v>
      </c>
      <c r="F1846" t="s">
        <v>9912</v>
      </c>
      <c r="G1846" t="s">
        <v>53</v>
      </c>
      <c r="H1846" t="s">
        <v>54</v>
      </c>
      <c r="I1846" t="s">
        <v>147</v>
      </c>
      <c r="J1846" t="s">
        <v>148</v>
      </c>
      <c r="K1846">
        <v>2011</v>
      </c>
      <c r="L1846">
        <v>2011</v>
      </c>
      <c r="M1846">
        <v>3.5</v>
      </c>
      <c r="N1846">
        <v>10.076000000000001</v>
      </c>
      <c r="O1846">
        <v>330</v>
      </c>
      <c r="P1846">
        <v>1.3</v>
      </c>
      <c r="Q1846">
        <v>0.748</v>
      </c>
      <c r="R1846" t="s">
        <v>72</v>
      </c>
      <c r="S1846" t="s">
        <v>9913</v>
      </c>
      <c r="T1846" t="b">
        <v>1</v>
      </c>
      <c r="U1846" t="s">
        <v>9914</v>
      </c>
      <c r="V1846" t="s">
        <v>9915</v>
      </c>
      <c r="W1846" t="s">
        <v>9916</v>
      </c>
      <c r="X1846" t="s">
        <v>47</v>
      </c>
      <c r="AA1846" t="s">
        <v>153</v>
      </c>
      <c r="AB1846" t="s">
        <v>41</v>
      </c>
      <c r="AC1846" t="s">
        <v>154</v>
      </c>
      <c r="AD1846" t="b">
        <v>0</v>
      </c>
      <c r="AF1846">
        <v>13</v>
      </c>
      <c r="AG1846" t="s">
        <v>155</v>
      </c>
    </row>
    <row r="1847" spans="1:33" x14ac:dyDescent="0.2">
      <c r="A1847">
        <v>1278</v>
      </c>
      <c r="B1847" t="s">
        <v>9917</v>
      </c>
      <c r="C1847" t="s">
        <v>34</v>
      </c>
      <c r="D1847" t="s">
        <v>35</v>
      </c>
      <c r="E1847" t="s">
        <v>3032</v>
      </c>
      <c r="F1847" t="s">
        <v>3033</v>
      </c>
      <c r="G1847" t="s">
        <v>68</v>
      </c>
      <c r="H1847" t="s">
        <v>69</v>
      </c>
      <c r="I1847" t="s">
        <v>9825</v>
      </c>
      <c r="J1847" t="s">
        <v>3783</v>
      </c>
      <c r="K1847">
        <v>2007</v>
      </c>
      <c r="L1847">
        <v>2007</v>
      </c>
      <c r="M1847">
        <v>0.22700000000000001</v>
      </c>
      <c r="N1847">
        <v>0.48299999999999998</v>
      </c>
      <c r="O1847">
        <v>137</v>
      </c>
      <c r="P1847">
        <v>0.22</v>
      </c>
      <c r="Q1847">
        <v>0.28699999999999998</v>
      </c>
      <c r="R1847" t="s">
        <v>72</v>
      </c>
      <c r="S1847" t="s">
        <v>9918</v>
      </c>
      <c r="T1847" t="b">
        <v>1</v>
      </c>
      <c r="U1847" t="s">
        <v>9919</v>
      </c>
      <c r="V1847" t="s">
        <v>3036</v>
      </c>
      <c r="W1847" t="s">
        <v>9920</v>
      </c>
      <c r="X1847" t="s">
        <v>47</v>
      </c>
      <c r="AA1847" t="s">
        <v>9921</v>
      </c>
      <c r="AC1847" t="s">
        <v>63</v>
      </c>
      <c r="AD1847" t="b">
        <v>0</v>
      </c>
      <c r="AF1847">
        <v>8</v>
      </c>
      <c r="AG1847" t="s">
        <v>78</v>
      </c>
    </row>
    <row r="1848" spans="1:33" x14ac:dyDescent="0.2">
      <c r="A1848">
        <v>14</v>
      </c>
      <c r="B1848" t="s">
        <v>9922</v>
      </c>
      <c r="C1848" t="s">
        <v>34</v>
      </c>
      <c r="D1848" t="s">
        <v>35</v>
      </c>
      <c r="E1848" t="s">
        <v>728</v>
      </c>
      <c r="F1848" t="s">
        <v>729</v>
      </c>
      <c r="G1848" t="s">
        <v>53</v>
      </c>
      <c r="H1848" t="s">
        <v>54</v>
      </c>
      <c r="I1848" t="s">
        <v>730</v>
      </c>
      <c r="J1848" t="s">
        <v>731</v>
      </c>
      <c r="K1848">
        <v>1970</v>
      </c>
      <c r="L1848">
        <v>1970</v>
      </c>
      <c r="M1848">
        <v>85</v>
      </c>
      <c r="N1848">
        <v>386.94200000000001</v>
      </c>
      <c r="O1848">
        <v>661.13</v>
      </c>
      <c r="P1848">
        <v>15.7</v>
      </c>
      <c r="Q1848">
        <v>1.5920000000000001</v>
      </c>
      <c r="R1848" t="s">
        <v>72</v>
      </c>
      <c r="S1848" t="s">
        <v>9923</v>
      </c>
      <c r="T1848" t="b">
        <v>1</v>
      </c>
      <c r="U1848" t="s">
        <v>9924</v>
      </c>
      <c r="V1848" t="s">
        <v>2923</v>
      </c>
      <c r="W1848" t="s">
        <v>9925</v>
      </c>
      <c r="X1848" t="s">
        <v>47</v>
      </c>
      <c r="AA1848" t="s">
        <v>9926</v>
      </c>
      <c r="AB1848" t="s">
        <v>83</v>
      </c>
      <c r="AC1848" t="s">
        <v>9927</v>
      </c>
      <c r="AD1848" t="b">
        <v>0</v>
      </c>
      <c r="AF1848">
        <v>13</v>
      </c>
      <c r="AG1848" t="s">
        <v>155</v>
      </c>
    </row>
    <row r="1849" spans="1:33" x14ac:dyDescent="0.2">
      <c r="A1849">
        <v>499</v>
      </c>
      <c r="B1849" t="s">
        <v>9928</v>
      </c>
      <c r="C1849" t="s">
        <v>34</v>
      </c>
      <c r="D1849" t="s">
        <v>35</v>
      </c>
      <c r="E1849" t="s">
        <v>728</v>
      </c>
      <c r="F1849" t="s">
        <v>729</v>
      </c>
      <c r="G1849" t="s">
        <v>53</v>
      </c>
      <c r="H1849" t="s">
        <v>54</v>
      </c>
      <c r="I1849" t="s">
        <v>730</v>
      </c>
      <c r="J1849" t="s">
        <v>731</v>
      </c>
      <c r="K1849">
        <v>1973</v>
      </c>
      <c r="L1849">
        <v>1973</v>
      </c>
      <c r="M1849">
        <v>42</v>
      </c>
      <c r="N1849">
        <v>172.56299999999999</v>
      </c>
      <c r="O1849">
        <v>534.20000000000005</v>
      </c>
      <c r="P1849">
        <v>8.5</v>
      </c>
      <c r="Q1849">
        <v>1.3069999999999999</v>
      </c>
      <c r="R1849" t="s">
        <v>72</v>
      </c>
      <c r="S1849" t="s">
        <v>9923</v>
      </c>
      <c r="T1849" t="b">
        <v>1</v>
      </c>
      <c r="U1849" t="s">
        <v>9929</v>
      </c>
      <c r="V1849" t="s">
        <v>2923</v>
      </c>
      <c r="W1849" t="s">
        <v>9930</v>
      </c>
      <c r="X1849" t="s">
        <v>47</v>
      </c>
      <c r="AA1849" t="s">
        <v>9926</v>
      </c>
      <c r="AB1849" t="s">
        <v>49</v>
      </c>
      <c r="AC1849" t="s">
        <v>9927</v>
      </c>
      <c r="AD1849" t="b">
        <v>0</v>
      </c>
      <c r="AF1849">
        <v>13</v>
      </c>
      <c r="AG1849" t="s">
        <v>155</v>
      </c>
    </row>
    <row r="1850" spans="1:33" x14ac:dyDescent="0.2">
      <c r="A1850">
        <v>531</v>
      </c>
      <c r="B1850" t="s">
        <v>9931</v>
      </c>
      <c r="C1850" t="s">
        <v>34</v>
      </c>
      <c r="D1850" t="s">
        <v>35</v>
      </c>
      <c r="E1850" t="s">
        <v>253</v>
      </c>
      <c r="F1850" t="s">
        <v>254</v>
      </c>
      <c r="G1850" t="s">
        <v>242</v>
      </c>
      <c r="H1850" t="s">
        <v>243</v>
      </c>
      <c r="I1850" t="s">
        <v>255</v>
      </c>
      <c r="J1850" t="s">
        <v>256</v>
      </c>
      <c r="K1850">
        <v>1971</v>
      </c>
      <c r="L1850">
        <v>1971</v>
      </c>
      <c r="M1850">
        <v>12</v>
      </c>
      <c r="N1850">
        <v>74.837000000000003</v>
      </c>
      <c r="O1850">
        <v>10</v>
      </c>
      <c r="P1850">
        <v>133.33000000000001</v>
      </c>
      <c r="Q1850">
        <v>2.5000000000000001E-2</v>
      </c>
      <c r="R1850" t="s">
        <v>42</v>
      </c>
      <c r="S1850" t="s">
        <v>9932</v>
      </c>
      <c r="T1850" t="b">
        <v>1</v>
      </c>
      <c r="U1850" t="s">
        <v>9933</v>
      </c>
      <c r="V1850" t="s">
        <v>259</v>
      </c>
      <c r="W1850" t="s">
        <v>9934</v>
      </c>
      <c r="X1850" t="s">
        <v>47</v>
      </c>
      <c r="AA1850" t="s">
        <v>261</v>
      </c>
      <c r="AB1850" t="s">
        <v>409</v>
      </c>
      <c r="AC1850" t="s">
        <v>263</v>
      </c>
      <c r="AD1850" t="b">
        <v>0</v>
      </c>
      <c r="AF1850">
        <v>10</v>
      </c>
      <c r="AG1850" t="s">
        <v>143</v>
      </c>
    </row>
    <row r="1851" spans="1:33" x14ac:dyDescent="0.2">
      <c r="A1851">
        <v>998</v>
      </c>
      <c r="B1851" t="s">
        <v>9935</v>
      </c>
      <c r="C1851" t="s">
        <v>34</v>
      </c>
      <c r="D1851" t="s">
        <v>35</v>
      </c>
      <c r="E1851" t="s">
        <v>9936</v>
      </c>
      <c r="F1851" t="s">
        <v>9937</v>
      </c>
      <c r="G1851" t="s">
        <v>213</v>
      </c>
      <c r="H1851" t="s">
        <v>83</v>
      </c>
      <c r="I1851" t="s">
        <v>611</v>
      </c>
      <c r="J1851" t="s">
        <v>612</v>
      </c>
      <c r="K1851">
        <v>2004</v>
      </c>
      <c r="L1851">
        <v>2004</v>
      </c>
      <c r="M1851">
        <v>0.25</v>
      </c>
      <c r="N1851">
        <v>0.80300000000000005</v>
      </c>
      <c r="R1851" t="s">
        <v>84</v>
      </c>
      <c r="S1851" t="s">
        <v>9938</v>
      </c>
      <c r="T1851" t="b">
        <v>1</v>
      </c>
      <c r="U1851" t="s">
        <v>637</v>
      </c>
      <c r="V1851" t="s">
        <v>9939</v>
      </c>
      <c r="W1851" t="s">
        <v>9940</v>
      </c>
      <c r="X1851" t="s">
        <v>47</v>
      </c>
      <c r="AA1851" t="s">
        <v>615</v>
      </c>
      <c r="AC1851" t="s">
        <v>616</v>
      </c>
      <c r="AD1851" t="b">
        <v>0</v>
      </c>
      <c r="AF1851">
        <v>4</v>
      </c>
      <c r="AG1851" t="s">
        <v>321</v>
      </c>
    </row>
    <row r="1852" spans="1:33" x14ac:dyDescent="0.2">
      <c r="A1852">
        <v>532</v>
      </c>
      <c r="B1852" t="s">
        <v>9941</v>
      </c>
      <c r="C1852" t="s">
        <v>34</v>
      </c>
      <c r="D1852" t="s">
        <v>35</v>
      </c>
      <c r="E1852" t="s">
        <v>1055</v>
      </c>
      <c r="F1852" t="s">
        <v>1056</v>
      </c>
      <c r="G1852" t="s">
        <v>93</v>
      </c>
      <c r="H1852" t="s">
        <v>94</v>
      </c>
      <c r="I1852" t="s">
        <v>2974</v>
      </c>
      <c r="J1852" t="s">
        <v>731</v>
      </c>
      <c r="K1852">
        <v>1924</v>
      </c>
      <c r="L1852">
        <v>2009</v>
      </c>
      <c r="M1852">
        <v>4.0999999999999996</v>
      </c>
      <c r="N1852">
        <v>23.856000000000002</v>
      </c>
      <c r="O1852">
        <v>335</v>
      </c>
      <c r="P1852">
        <v>1.5</v>
      </c>
      <c r="Q1852">
        <v>0.75900000000000001</v>
      </c>
      <c r="R1852" t="s">
        <v>97</v>
      </c>
      <c r="S1852" t="s">
        <v>9942</v>
      </c>
      <c r="T1852" t="b">
        <v>1</v>
      </c>
      <c r="U1852" t="s">
        <v>9943</v>
      </c>
      <c r="V1852" t="s">
        <v>1060</v>
      </c>
      <c r="W1852" t="s">
        <v>9944</v>
      </c>
      <c r="X1852" t="s">
        <v>47</v>
      </c>
      <c r="AA1852" t="s">
        <v>102</v>
      </c>
      <c r="AB1852" t="s">
        <v>1697</v>
      </c>
      <c r="AC1852" t="s">
        <v>103</v>
      </c>
      <c r="AD1852" t="b">
        <v>0</v>
      </c>
      <c r="AF1852">
        <v>1</v>
      </c>
      <c r="AG1852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253C-BD34-FF4D-9578-EEBE664DF409}">
  <dimension ref="H1:H344"/>
  <sheetViews>
    <sheetView tabSelected="1" topLeftCell="A327" workbookViewId="0">
      <selection activeCell="G344" sqref="G344"/>
    </sheetView>
  </sheetViews>
  <sheetFormatPr baseColWidth="10" defaultRowHeight="15" x14ac:dyDescent="0.2"/>
  <sheetData>
    <row r="1" spans="8:8" x14ac:dyDescent="0.2">
      <c r="H1" t="str" cm="1">
        <f t="array" ref="H1:H344">_xlfn._xlws.FILTER(data!M:M, data!M:M&gt;10)</f>
        <v>MaksYtelse</v>
      </c>
    </row>
    <row r="2" spans="8:8" x14ac:dyDescent="0.2">
      <c r="H2">
        <v>50</v>
      </c>
    </row>
    <row r="3" spans="8:8" x14ac:dyDescent="0.2">
      <c r="H3">
        <v>153</v>
      </c>
    </row>
    <row r="4" spans="8:8" x14ac:dyDescent="0.2">
      <c r="H4">
        <v>29.54</v>
      </c>
    </row>
    <row r="5" spans="8:8" x14ac:dyDescent="0.2">
      <c r="H5">
        <v>290</v>
      </c>
    </row>
    <row r="6" spans="8:8" x14ac:dyDescent="0.2">
      <c r="H6">
        <v>840</v>
      </c>
    </row>
    <row r="7" spans="8:8" x14ac:dyDescent="0.2">
      <c r="H7">
        <v>70</v>
      </c>
    </row>
    <row r="8" spans="8:8" x14ac:dyDescent="0.2">
      <c r="H8">
        <v>60</v>
      </c>
    </row>
    <row r="9" spans="8:8" x14ac:dyDescent="0.2">
      <c r="H9">
        <v>270</v>
      </c>
    </row>
    <row r="10" spans="8:8" x14ac:dyDescent="0.2">
      <c r="H10">
        <v>38</v>
      </c>
    </row>
    <row r="11" spans="8:8" x14ac:dyDescent="0.2">
      <c r="H11">
        <v>75.5</v>
      </c>
    </row>
    <row r="12" spans="8:8" x14ac:dyDescent="0.2">
      <c r="H12">
        <v>43</v>
      </c>
    </row>
    <row r="13" spans="8:8" x14ac:dyDescent="0.2">
      <c r="H13">
        <v>15.9</v>
      </c>
    </row>
    <row r="14" spans="8:8" x14ac:dyDescent="0.2">
      <c r="H14">
        <v>32.5</v>
      </c>
    </row>
    <row r="15" spans="8:8" x14ac:dyDescent="0.2">
      <c r="H15">
        <v>55</v>
      </c>
    </row>
    <row r="16" spans="8:8" x14ac:dyDescent="0.2">
      <c r="H16">
        <v>20</v>
      </c>
    </row>
    <row r="17" spans="8:8" x14ac:dyDescent="0.2">
      <c r="H17">
        <v>99.2</v>
      </c>
    </row>
    <row r="18" spans="8:8" x14ac:dyDescent="0.2">
      <c r="H18">
        <v>100</v>
      </c>
    </row>
    <row r="19" spans="8:8" x14ac:dyDescent="0.2">
      <c r="H19">
        <v>13</v>
      </c>
    </row>
    <row r="20" spans="8:8" x14ac:dyDescent="0.2">
      <c r="H20">
        <v>230</v>
      </c>
    </row>
    <row r="21" spans="8:8" x14ac:dyDescent="0.2">
      <c r="H21">
        <v>57</v>
      </c>
    </row>
    <row r="22" spans="8:8" x14ac:dyDescent="0.2">
      <c r="H22">
        <v>212</v>
      </c>
    </row>
    <row r="23" spans="8:8" x14ac:dyDescent="0.2">
      <c r="H23">
        <v>54</v>
      </c>
    </row>
    <row r="24" spans="8:8" x14ac:dyDescent="0.2">
      <c r="H24">
        <v>35.950000000000003</v>
      </c>
    </row>
    <row r="25" spans="8:8" x14ac:dyDescent="0.2">
      <c r="H25">
        <v>124</v>
      </c>
    </row>
    <row r="26" spans="8:8" x14ac:dyDescent="0.2">
      <c r="H26">
        <v>10.7</v>
      </c>
    </row>
    <row r="27" spans="8:8" x14ac:dyDescent="0.2">
      <c r="H27">
        <v>80</v>
      </c>
    </row>
    <row r="28" spans="8:8" x14ac:dyDescent="0.2">
      <c r="H28">
        <v>14.8</v>
      </c>
    </row>
    <row r="29" spans="8:8" x14ac:dyDescent="0.2">
      <c r="H29">
        <v>330</v>
      </c>
    </row>
    <row r="30" spans="8:8" x14ac:dyDescent="0.2">
      <c r="H30">
        <v>12.5</v>
      </c>
    </row>
    <row r="31" spans="8:8" x14ac:dyDescent="0.2">
      <c r="H31">
        <v>13.27</v>
      </c>
    </row>
    <row r="32" spans="8:8" x14ac:dyDescent="0.2">
      <c r="H32">
        <v>20</v>
      </c>
    </row>
    <row r="33" spans="8:8" x14ac:dyDescent="0.2">
      <c r="H33">
        <v>65</v>
      </c>
    </row>
    <row r="34" spans="8:8" x14ac:dyDescent="0.2">
      <c r="H34">
        <v>30</v>
      </c>
    </row>
    <row r="35" spans="8:8" x14ac:dyDescent="0.2">
      <c r="H35">
        <v>30</v>
      </c>
    </row>
    <row r="36" spans="8:8" x14ac:dyDescent="0.2">
      <c r="H36">
        <v>147</v>
      </c>
    </row>
    <row r="37" spans="8:8" x14ac:dyDescent="0.2">
      <c r="H37">
        <v>35.4</v>
      </c>
    </row>
    <row r="38" spans="8:8" x14ac:dyDescent="0.2">
      <c r="H38">
        <v>26</v>
      </c>
    </row>
    <row r="39" spans="8:8" x14ac:dyDescent="0.2">
      <c r="H39">
        <v>14.3</v>
      </c>
    </row>
    <row r="40" spans="8:8" x14ac:dyDescent="0.2">
      <c r="H40">
        <v>44.6</v>
      </c>
    </row>
    <row r="41" spans="8:8" x14ac:dyDescent="0.2">
      <c r="H41">
        <v>140</v>
      </c>
    </row>
    <row r="42" spans="8:8" x14ac:dyDescent="0.2">
      <c r="H42">
        <v>200</v>
      </c>
    </row>
    <row r="43" spans="8:8" x14ac:dyDescent="0.2">
      <c r="H43">
        <v>33</v>
      </c>
    </row>
    <row r="44" spans="8:8" x14ac:dyDescent="0.2">
      <c r="H44">
        <v>15</v>
      </c>
    </row>
    <row r="45" spans="8:8" x14ac:dyDescent="0.2">
      <c r="H45">
        <v>13.2</v>
      </c>
    </row>
    <row r="46" spans="8:8" x14ac:dyDescent="0.2">
      <c r="H46">
        <v>15</v>
      </c>
    </row>
    <row r="47" spans="8:8" x14ac:dyDescent="0.2">
      <c r="H47">
        <v>30</v>
      </c>
    </row>
    <row r="48" spans="8:8" x14ac:dyDescent="0.2">
      <c r="H48">
        <v>80</v>
      </c>
    </row>
    <row r="49" spans="8:8" x14ac:dyDescent="0.2">
      <c r="H49">
        <v>71</v>
      </c>
    </row>
    <row r="50" spans="8:8" x14ac:dyDescent="0.2">
      <c r="H50">
        <v>330</v>
      </c>
    </row>
    <row r="51" spans="8:8" x14ac:dyDescent="0.2">
      <c r="H51">
        <v>23.5</v>
      </c>
    </row>
    <row r="52" spans="8:8" x14ac:dyDescent="0.2">
      <c r="H52">
        <v>48</v>
      </c>
    </row>
    <row r="53" spans="8:8" x14ac:dyDescent="0.2">
      <c r="H53">
        <v>21</v>
      </c>
    </row>
    <row r="54" spans="8:8" x14ac:dyDescent="0.2">
      <c r="H54">
        <v>17.8</v>
      </c>
    </row>
    <row r="55" spans="8:8" x14ac:dyDescent="0.2">
      <c r="H55">
        <v>28.8</v>
      </c>
    </row>
    <row r="56" spans="8:8" x14ac:dyDescent="0.2">
      <c r="H56">
        <v>230</v>
      </c>
    </row>
    <row r="57" spans="8:8" x14ac:dyDescent="0.2">
      <c r="H57">
        <v>108</v>
      </c>
    </row>
    <row r="58" spans="8:8" x14ac:dyDescent="0.2">
      <c r="H58">
        <v>23</v>
      </c>
    </row>
    <row r="59" spans="8:8" x14ac:dyDescent="0.2">
      <c r="H59">
        <v>50</v>
      </c>
    </row>
    <row r="60" spans="8:8" x14ac:dyDescent="0.2">
      <c r="H60">
        <v>18.8</v>
      </c>
    </row>
    <row r="61" spans="8:8" x14ac:dyDescent="0.2">
      <c r="H61">
        <v>12.6</v>
      </c>
    </row>
    <row r="62" spans="8:8" x14ac:dyDescent="0.2">
      <c r="H62">
        <v>80</v>
      </c>
    </row>
    <row r="63" spans="8:8" x14ac:dyDescent="0.2">
      <c r="H63">
        <v>48.1</v>
      </c>
    </row>
    <row r="64" spans="8:8" x14ac:dyDescent="0.2">
      <c r="H64">
        <v>12</v>
      </c>
    </row>
    <row r="65" spans="8:8" x14ac:dyDescent="0.2">
      <c r="H65">
        <v>25</v>
      </c>
    </row>
    <row r="66" spans="8:8" x14ac:dyDescent="0.2">
      <c r="H66">
        <v>75</v>
      </c>
    </row>
    <row r="67" spans="8:8" x14ac:dyDescent="0.2">
      <c r="H67">
        <v>24.9</v>
      </c>
    </row>
    <row r="68" spans="8:8" x14ac:dyDescent="0.2">
      <c r="H68">
        <v>45.6</v>
      </c>
    </row>
    <row r="69" spans="8:8" x14ac:dyDescent="0.2">
      <c r="H69">
        <v>20.6</v>
      </c>
    </row>
    <row r="70" spans="8:8" x14ac:dyDescent="0.2">
      <c r="H70">
        <v>40</v>
      </c>
    </row>
    <row r="71" spans="8:8" x14ac:dyDescent="0.2">
      <c r="H71">
        <v>15</v>
      </c>
    </row>
    <row r="72" spans="8:8" x14ac:dyDescent="0.2">
      <c r="H72">
        <v>13.5</v>
      </c>
    </row>
    <row r="73" spans="8:8" x14ac:dyDescent="0.2">
      <c r="H73">
        <v>20</v>
      </c>
    </row>
    <row r="74" spans="8:8" x14ac:dyDescent="0.2">
      <c r="H74">
        <v>26.8</v>
      </c>
    </row>
    <row r="75" spans="8:8" x14ac:dyDescent="0.2">
      <c r="H75">
        <v>75</v>
      </c>
    </row>
    <row r="76" spans="8:8" x14ac:dyDescent="0.2">
      <c r="H76">
        <v>18.600000000000001</v>
      </c>
    </row>
    <row r="77" spans="8:8" x14ac:dyDescent="0.2">
      <c r="H77">
        <v>30.2</v>
      </c>
    </row>
    <row r="78" spans="8:8" x14ac:dyDescent="0.2">
      <c r="H78">
        <v>25</v>
      </c>
    </row>
    <row r="79" spans="8:8" x14ac:dyDescent="0.2">
      <c r="H79">
        <v>25.32</v>
      </c>
    </row>
    <row r="80" spans="8:8" x14ac:dyDescent="0.2">
      <c r="H80">
        <v>143.5</v>
      </c>
    </row>
    <row r="81" spans="8:8" x14ac:dyDescent="0.2">
      <c r="H81">
        <v>60.2</v>
      </c>
    </row>
    <row r="82" spans="8:8" x14ac:dyDescent="0.2">
      <c r="H82">
        <v>34.700000000000003</v>
      </c>
    </row>
    <row r="83" spans="8:8" x14ac:dyDescent="0.2">
      <c r="H83">
        <v>36</v>
      </c>
    </row>
    <row r="84" spans="8:8" x14ac:dyDescent="0.2">
      <c r="H84">
        <v>33</v>
      </c>
    </row>
    <row r="85" spans="8:8" x14ac:dyDescent="0.2">
      <c r="H85">
        <v>15</v>
      </c>
    </row>
    <row r="86" spans="8:8" x14ac:dyDescent="0.2">
      <c r="H86">
        <v>80</v>
      </c>
    </row>
    <row r="87" spans="8:8" x14ac:dyDescent="0.2">
      <c r="H87">
        <v>34.31</v>
      </c>
    </row>
    <row r="88" spans="8:8" x14ac:dyDescent="0.2">
      <c r="H88">
        <v>22</v>
      </c>
    </row>
    <row r="89" spans="8:8" x14ac:dyDescent="0.2">
      <c r="H89">
        <v>12</v>
      </c>
    </row>
    <row r="90" spans="8:8" x14ac:dyDescent="0.2">
      <c r="H90">
        <v>108</v>
      </c>
    </row>
    <row r="91" spans="8:8" x14ac:dyDescent="0.2">
      <c r="H91">
        <v>16</v>
      </c>
    </row>
    <row r="92" spans="8:8" x14ac:dyDescent="0.2">
      <c r="H92">
        <v>32</v>
      </c>
    </row>
    <row r="93" spans="8:8" x14ac:dyDescent="0.2">
      <c r="H93">
        <v>56</v>
      </c>
    </row>
    <row r="94" spans="8:8" x14ac:dyDescent="0.2">
      <c r="H94">
        <v>31.5</v>
      </c>
    </row>
    <row r="95" spans="8:8" x14ac:dyDescent="0.2">
      <c r="H95">
        <v>11</v>
      </c>
    </row>
    <row r="96" spans="8:8" x14ac:dyDescent="0.2">
      <c r="H96">
        <v>70</v>
      </c>
    </row>
    <row r="97" spans="8:8" x14ac:dyDescent="0.2">
      <c r="H97">
        <v>98</v>
      </c>
    </row>
    <row r="98" spans="8:8" x14ac:dyDescent="0.2">
      <c r="H98">
        <v>18.3</v>
      </c>
    </row>
    <row r="99" spans="8:8" x14ac:dyDescent="0.2">
      <c r="H99">
        <v>23.7</v>
      </c>
    </row>
    <row r="100" spans="8:8" x14ac:dyDescent="0.2">
      <c r="H100">
        <v>13.8</v>
      </c>
    </row>
    <row r="101" spans="8:8" x14ac:dyDescent="0.2">
      <c r="H101">
        <v>33</v>
      </c>
    </row>
    <row r="102" spans="8:8" x14ac:dyDescent="0.2">
      <c r="H102">
        <v>120</v>
      </c>
    </row>
    <row r="103" spans="8:8" x14ac:dyDescent="0.2">
      <c r="H103">
        <v>30</v>
      </c>
    </row>
    <row r="104" spans="8:8" x14ac:dyDescent="0.2">
      <c r="H104">
        <v>27</v>
      </c>
    </row>
    <row r="105" spans="8:8" x14ac:dyDescent="0.2">
      <c r="H105">
        <v>17</v>
      </c>
    </row>
    <row r="106" spans="8:8" x14ac:dyDescent="0.2">
      <c r="H106">
        <v>106</v>
      </c>
    </row>
    <row r="107" spans="8:8" x14ac:dyDescent="0.2">
      <c r="H107">
        <v>114</v>
      </c>
    </row>
    <row r="108" spans="8:8" x14ac:dyDescent="0.2">
      <c r="H108">
        <v>26</v>
      </c>
    </row>
    <row r="109" spans="8:8" x14ac:dyDescent="0.2">
      <c r="H109">
        <v>60</v>
      </c>
    </row>
    <row r="110" spans="8:8" x14ac:dyDescent="0.2">
      <c r="H110">
        <v>160</v>
      </c>
    </row>
    <row r="111" spans="8:8" x14ac:dyDescent="0.2">
      <c r="H111">
        <v>230</v>
      </c>
    </row>
    <row r="112" spans="8:8" x14ac:dyDescent="0.2">
      <c r="H112">
        <v>25</v>
      </c>
    </row>
    <row r="113" spans="8:8" x14ac:dyDescent="0.2">
      <c r="H113">
        <v>48.9</v>
      </c>
    </row>
    <row r="114" spans="8:8" x14ac:dyDescent="0.2">
      <c r="H114">
        <v>45</v>
      </c>
    </row>
    <row r="115" spans="8:8" x14ac:dyDescent="0.2">
      <c r="H115">
        <v>60</v>
      </c>
    </row>
    <row r="116" spans="8:8" x14ac:dyDescent="0.2">
      <c r="H116">
        <v>112</v>
      </c>
    </row>
    <row r="117" spans="8:8" x14ac:dyDescent="0.2">
      <c r="H117">
        <v>25.1</v>
      </c>
    </row>
    <row r="118" spans="8:8" x14ac:dyDescent="0.2">
      <c r="H118">
        <v>160</v>
      </c>
    </row>
    <row r="119" spans="8:8" x14ac:dyDescent="0.2">
      <c r="H119">
        <v>26.5</v>
      </c>
    </row>
    <row r="120" spans="8:8" x14ac:dyDescent="0.2">
      <c r="H120">
        <v>29.4</v>
      </c>
    </row>
    <row r="121" spans="8:8" x14ac:dyDescent="0.2">
      <c r="H121">
        <v>93</v>
      </c>
    </row>
    <row r="122" spans="8:8" x14ac:dyDescent="0.2">
      <c r="H122">
        <v>16.399999999999999</v>
      </c>
    </row>
    <row r="123" spans="8:8" x14ac:dyDescent="0.2">
      <c r="H123">
        <v>30</v>
      </c>
    </row>
    <row r="124" spans="8:8" x14ac:dyDescent="0.2">
      <c r="H124">
        <v>48</v>
      </c>
    </row>
    <row r="125" spans="8:8" x14ac:dyDescent="0.2">
      <c r="H125">
        <v>90</v>
      </c>
    </row>
    <row r="126" spans="8:8" x14ac:dyDescent="0.2">
      <c r="H126">
        <v>15.5</v>
      </c>
    </row>
    <row r="127" spans="8:8" x14ac:dyDescent="0.2">
      <c r="H127">
        <v>87</v>
      </c>
    </row>
    <row r="128" spans="8:8" x14ac:dyDescent="0.2">
      <c r="H128">
        <v>288</v>
      </c>
    </row>
    <row r="129" spans="8:8" x14ac:dyDescent="0.2">
      <c r="H129">
        <v>35</v>
      </c>
    </row>
    <row r="130" spans="8:8" x14ac:dyDescent="0.2">
      <c r="H130">
        <v>62</v>
      </c>
    </row>
    <row r="131" spans="8:8" x14ac:dyDescent="0.2">
      <c r="H131">
        <v>55.2</v>
      </c>
    </row>
    <row r="132" spans="8:8" x14ac:dyDescent="0.2">
      <c r="H132">
        <v>34</v>
      </c>
    </row>
    <row r="133" spans="8:8" x14ac:dyDescent="0.2">
      <c r="H133">
        <v>85.5</v>
      </c>
    </row>
    <row r="134" spans="8:8" x14ac:dyDescent="0.2">
      <c r="H134">
        <v>24</v>
      </c>
    </row>
    <row r="135" spans="8:8" x14ac:dyDescent="0.2">
      <c r="H135">
        <v>15</v>
      </c>
    </row>
    <row r="136" spans="8:8" x14ac:dyDescent="0.2">
      <c r="H136">
        <v>19</v>
      </c>
    </row>
    <row r="137" spans="8:8" x14ac:dyDescent="0.2">
      <c r="H137">
        <v>62</v>
      </c>
    </row>
    <row r="138" spans="8:8" x14ac:dyDescent="0.2">
      <c r="H138">
        <v>14</v>
      </c>
    </row>
    <row r="139" spans="8:8" x14ac:dyDescent="0.2">
      <c r="H139">
        <v>84</v>
      </c>
    </row>
    <row r="140" spans="8:8" x14ac:dyDescent="0.2">
      <c r="H140">
        <v>12.9</v>
      </c>
    </row>
    <row r="141" spans="8:8" x14ac:dyDescent="0.2">
      <c r="H141">
        <v>300</v>
      </c>
    </row>
    <row r="142" spans="8:8" x14ac:dyDescent="0.2">
      <c r="H142">
        <v>128</v>
      </c>
    </row>
    <row r="143" spans="8:8" x14ac:dyDescent="0.2">
      <c r="H143">
        <v>42.7</v>
      </c>
    </row>
    <row r="144" spans="8:8" x14ac:dyDescent="0.2">
      <c r="H144">
        <v>10.6</v>
      </c>
    </row>
    <row r="145" spans="8:8" x14ac:dyDescent="0.2">
      <c r="H145">
        <v>40</v>
      </c>
    </row>
    <row r="146" spans="8:8" x14ac:dyDescent="0.2">
      <c r="H146">
        <v>1240</v>
      </c>
    </row>
    <row r="147" spans="8:8" x14ac:dyDescent="0.2">
      <c r="H147">
        <v>80</v>
      </c>
    </row>
    <row r="148" spans="8:8" x14ac:dyDescent="0.2">
      <c r="H148">
        <v>48</v>
      </c>
    </row>
    <row r="149" spans="8:8" x14ac:dyDescent="0.2">
      <c r="H149">
        <v>55</v>
      </c>
    </row>
    <row r="150" spans="8:8" x14ac:dyDescent="0.2">
      <c r="H150">
        <v>30</v>
      </c>
    </row>
    <row r="151" spans="8:8" x14ac:dyDescent="0.2">
      <c r="H151">
        <v>500</v>
      </c>
    </row>
    <row r="152" spans="8:8" x14ac:dyDescent="0.2">
      <c r="H152">
        <v>90</v>
      </c>
    </row>
    <row r="153" spans="8:8" x14ac:dyDescent="0.2">
      <c r="H153">
        <v>26</v>
      </c>
    </row>
    <row r="154" spans="8:8" x14ac:dyDescent="0.2">
      <c r="H154">
        <v>77</v>
      </c>
    </row>
    <row r="155" spans="8:8" x14ac:dyDescent="0.2">
      <c r="H155">
        <v>125</v>
      </c>
    </row>
    <row r="156" spans="8:8" x14ac:dyDescent="0.2">
      <c r="H156">
        <v>45</v>
      </c>
    </row>
    <row r="157" spans="8:8" x14ac:dyDescent="0.2">
      <c r="H157">
        <v>25</v>
      </c>
    </row>
    <row r="158" spans="8:8" x14ac:dyDescent="0.2">
      <c r="H158">
        <v>43</v>
      </c>
    </row>
    <row r="159" spans="8:8" x14ac:dyDescent="0.2">
      <c r="H159">
        <v>75</v>
      </c>
    </row>
    <row r="160" spans="8:8" x14ac:dyDescent="0.2">
      <c r="H160">
        <v>20.2</v>
      </c>
    </row>
    <row r="161" spans="8:8" x14ac:dyDescent="0.2">
      <c r="H161">
        <v>54.5</v>
      </c>
    </row>
    <row r="162" spans="8:8" x14ac:dyDescent="0.2">
      <c r="H162">
        <v>118</v>
      </c>
    </row>
    <row r="163" spans="8:8" x14ac:dyDescent="0.2">
      <c r="H163">
        <v>14.1</v>
      </c>
    </row>
    <row r="164" spans="8:8" x14ac:dyDescent="0.2">
      <c r="H164">
        <v>120</v>
      </c>
    </row>
    <row r="165" spans="8:8" x14ac:dyDescent="0.2">
      <c r="H165">
        <v>370</v>
      </c>
    </row>
    <row r="166" spans="8:8" x14ac:dyDescent="0.2">
      <c r="H166">
        <v>60</v>
      </c>
    </row>
    <row r="167" spans="8:8" x14ac:dyDescent="0.2">
      <c r="H167">
        <v>29</v>
      </c>
    </row>
    <row r="168" spans="8:8" x14ac:dyDescent="0.2">
      <c r="H168">
        <v>180</v>
      </c>
    </row>
    <row r="169" spans="8:8" x14ac:dyDescent="0.2">
      <c r="H169">
        <v>150</v>
      </c>
    </row>
    <row r="170" spans="8:8" x14ac:dyDescent="0.2">
      <c r="H170">
        <v>250</v>
      </c>
    </row>
    <row r="171" spans="8:8" x14ac:dyDescent="0.2">
      <c r="H171">
        <v>52</v>
      </c>
    </row>
    <row r="172" spans="8:8" x14ac:dyDescent="0.2">
      <c r="H172">
        <v>22</v>
      </c>
    </row>
    <row r="173" spans="8:8" x14ac:dyDescent="0.2">
      <c r="H173">
        <v>86.8</v>
      </c>
    </row>
    <row r="174" spans="8:8" x14ac:dyDescent="0.2">
      <c r="H174">
        <v>37.5</v>
      </c>
    </row>
    <row r="175" spans="8:8" x14ac:dyDescent="0.2">
      <c r="H175">
        <v>30</v>
      </c>
    </row>
    <row r="176" spans="8:8" x14ac:dyDescent="0.2">
      <c r="H176">
        <v>15</v>
      </c>
    </row>
    <row r="177" spans="8:8" x14ac:dyDescent="0.2">
      <c r="H177">
        <v>37</v>
      </c>
    </row>
    <row r="178" spans="8:8" x14ac:dyDescent="0.2">
      <c r="H178">
        <v>48</v>
      </c>
    </row>
    <row r="179" spans="8:8" x14ac:dyDescent="0.2">
      <c r="H179">
        <v>107</v>
      </c>
    </row>
    <row r="180" spans="8:8" x14ac:dyDescent="0.2">
      <c r="H180">
        <v>37.5</v>
      </c>
    </row>
    <row r="181" spans="8:8" x14ac:dyDescent="0.2">
      <c r="H181">
        <v>13.6</v>
      </c>
    </row>
    <row r="182" spans="8:8" x14ac:dyDescent="0.2">
      <c r="H182">
        <v>29</v>
      </c>
    </row>
    <row r="183" spans="8:8" x14ac:dyDescent="0.2">
      <c r="H183">
        <v>20</v>
      </c>
    </row>
    <row r="184" spans="8:8" x14ac:dyDescent="0.2">
      <c r="H184">
        <v>180</v>
      </c>
    </row>
    <row r="185" spans="8:8" x14ac:dyDescent="0.2">
      <c r="H185">
        <v>112</v>
      </c>
    </row>
    <row r="186" spans="8:8" x14ac:dyDescent="0.2">
      <c r="H186">
        <v>175</v>
      </c>
    </row>
    <row r="187" spans="8:8" x14ac:dyDescent="0.2">
      <c r="H187">
        <v>25</v>
      </c>
    </row>
    <row r="188" spans="8:8" x14ac:dyDescent="0.2">
      <c r="H188">
        <v>66.7</v>
      </c>
    </row>
    <row r="189" spans="8:8" x14ac:dyDescent="0.2">
      <c r="H189">
        <v>78</v>
      </c>
    </row>
    <row r="190" spans="8:8" x14ac:dyDescent="0.2">
      <c r="H190">
        <v>12.8</v>
      </c>
    </row>
    <row r="191" spans="8:8" x14ac:dyDescent="0.2">
      <c r="H191">
        <v>350</v>
      </c>
    </row>
    <row r="192" spans="8:8" x14ac:dyDescent="0.2">
      <c r="H192">
        <v>16</v>
      </c>
    </row>
    <row r="193" spans="8:8" x14ac:dyDescent="0.2">
      <c r="H193">
        <v>308</v>
      </c>
    </row>
    <row r="194" spans="8:8" x14ac:dyDescent="0.2">
      <c r="H194">
        <v>250</v>
      </c>
    </row>
    <row r="195" spans="8:8" x14ac:dyDescent="0.2">
      <c r="H195">
        <v>17</v>
      </c>
    </row>
    <row r="196" spans="8:8" x14ac:dyDescent="0.2">
      <c r="H196">
        <v>28.7</v>
      </c>
    </row>
    <row r="197" spans="8:8" x14ac:dyDescent="0.2">
      <c r="H197">
        <v>206</v>
      </c>
    </row>
    <row r="198" spans="8:8" x14ac:dyDescent="0.2">
      <c r="H198">
        <v>52</v>
      </c>
    </row>
    <row r="199" spans="8:8" x14ac:dyDescent="0.2">
      <c r="H199">
        <v>40</v>
      </c>
    </row>
    <row r="200" spans="8:8" x14ac:dyDescent="0.2">
      <c r="H200">
        <v>93.76</v>
      </c>
    </row>
    <row r="201" spans="8:8" x14ac:dyDescent="0.2">
      <c r="H201">
        <v>22.5</v>
      </c>
    </row>
    <row r="202" spans="8:8" x14ac:dyDescent="0.2">
      <c r="H202">
        <v>56</v>
      </c>
    </row>
    <row r="203" spans="8:8" x14ac:dyDescent="0.2">
      <c r="H203">
        <v>25</v>
      </c>
    </row>
    <row r="204" spans="8:8" x14ac:dyDescent="0.2">
      <c r="H204">
        <v>11</v>
      </c>
    </row>
    <row r="205" spans="8:8" x14ac:dyDescent="0.2">
      <c r="H205">
        <v>206</v>
      </c>
    </row>
    <row r="206" spans="8:8" x14ac:dyDescent="0.2">
      <c r="H206">
        <v>15</v>
      </c>
    </row>
    <row r="207" spans="8:8" x14ac:dyDescent="0.2">
      <c r="H207">
        <v>40</v>
      </c>
    </row>
    <row r="208" spans="8:8" x14ac:dyDescent="0.2">
      <c r="H208">
        <v>90</v>
      </c>
    </row>
    <row r="209" spans="8:8" x14ac:dyDescent="0.2">
      <c r="H209">
        <v>20</v>
      </c>
    </row>
    <row r="210" spans="8:8" x14ac:dyDescent="0.2">
      <c r="H210">
        <v>16.5</v>
      </c>
    </row>
    <row r="211" spans="8:8" x14ac:dyDescent="0.2">
      <c r="H211">
        <v>15.8</v>
      </c>
    </row>
    <row r="212" spans="8:8" x14ac:dyDescent="0.2">
      <c r="H212">
        <v>30</v>
      </c>
    </row>
    <row r="213" spans="8:8" x14ac:dyDescent="0.2">
      <c r="H213">
        <v>500</v>
      </c>
    </row>
    <row r="214" spans="8:8" x14ac:dyDescent="0.2">
      <c r="H214">
        <v>90</v>
      </c>
    </row>
    <row r="215" spans="8:8" x14ac:dyDescent="0.2">
      <c r="H215">
        <v>23.3</v>
      </c>
    </row>
    <row r="216" spans="8:8" x14ac:dyDescent="0.2">
      <c r="H216">
        <v>100.5</v>
      </c>
    </row>
    <row r="217" spans="8:8" x14ac:dyDescent="0.2">
      <c r="H217">
        <v>23</v>
      </c>
    </row>
    <row r="218" spans="8:8" x14ac:dyDescent="0.2">
      <c r="H218">
        <v>50</v>
      </c>
    </row>
    <row r="219" spans="8:8" x14ac:dyDescent="0.2">
      <c r="H219">
        <v>80</v>
      </c>
    </row>
    <row r="220" spans="8:8" x14ac:dyDescent="0.2">
      <c r="H220">
        <v>55</v>
      </c>
    </row>
    <row r="221" spans="8:8" x14ac:dyDescent="0.2">
      <c r="H221">
        <v>166</v>
      </c>
    </row>
    <row r="222" spans="8:8" x14ac:dyDescent="0.2">
      <c r="H222">
        <v>16.600000000000001</v>
      </c>
    </row>
    <row r="223" spans="8:8" x14ac:dyDescent="0.2">
      <c r="H223">
        <v>128.4</v>
      </c>
    </row>
    <row r="224" spans="8:8" x14ac:dyDescent="0.2">
      <c r="H224">
        <v>10.1</v>
      </c>
    </row>
    <row r="225" spans="8:8" x14ac:dyDescent="0.2">
      <c r="H225">
        <v>11.3</v>
      </c>
    </row>
    <row r="226" spans="8:8" x14ac:dyDescent="0.2">
      <c r="H226">
        <v>80</v>
      </c>
    </row>
    <row r="227" spans="8:8" x14ac:dyDescent="0.2">
      <c r="H227">
        <v>640</v>
      </c>
    </row>
    <row r="228" spans="8:8" x14ac:dyDescent="0.2">
      <c r="H228">
        <v>62</v>
      </c>
    </row>
    <row r="229" spans="8:8" x14ac:dyDescent="0.2">
      <c r="H229">
        <v>65</v>
      </c>
    </row>
    <row r="230" spans="8:8" x14ac:dyDescent="0.2">
      <c r="H230">
        <v>180</v>
      </c>
    </row>
    <row r="231" spans="8:8" x14ac:dyDescent="0.2">
      <c r="H231">
        <v>52</v>
      </c>
    </row>
    <row r="232" spans="8:8" x14ac:dyDescent="0.2">
      <c r="H232">
        <v>66</v>
      </c>
    </row>
    <row r="233" spans="8:8" x14ac:dyDescent="0.2">
      <c r="H233">
        <v>270</v>
      </c>
    </row>
    <row r="234" spans="8:8" x14ac:dyDescent="0.2">
      <c r="H234">
        <v>24</v>
      </c>
    </row>
    <row r="235" spans="8:8" x14ac:dyDescent="0.2">
      <c r="H235">
        <v>70</v>
      </c>
    </row>
    <row r="236" spans="8:8" x14ac:dyDescent="0.2">
      <c r="H236">
        <v>19.8</v>
      </c>
    </row>
    <row r="237" spans="8:8" x14ac:dyDescent="0.2">
      <c r="H237">
        <v>206.6</v>
      </c>
    </row>
    <row r="238" spans="8:8" x14ac:dyDescent="0.2">
      <c r="H238">
        <v>300</v>
      </c>
    </row>
    <row r="239" spans="8:8" x14ac:dyDescent="0.2">
      <c r="H239">
        <v>32</v>
      </c>
    </row>
    <row r="240" spans="8:8" x14ac:dyDescent="0.2">
      <c r="H240">
        <v>48</v>
      </c>
    </row>
    <row r="241" spans="8:8" x14ac:dyDescent="0.2">
      <c r="H241">
        <v>97</v>
      </c>
    </row>
    <row r="242" spans="8:8" x14ac:dyDescent="0.2">
      <c r="H242">
        <v>24</v>
      </c>
    </row>
    <row r="243" spans="8:8" x14ac:dyDescent="0.2">
      <c r="H243">
        <v>20</v>
      </c>
    </row>
    <row r="244" spans="8:8" x14ac:dyDescent="0.2">
      <c r="H244">
        <v>21</v>
      </c>
    </row>
    <row r="245" spans="8:8" x14ac:dyDescent="0.2">
      <c r="H245">
        <v>24</v>
      </c>
    </row>
    <row r="246" spans="8:8" x14ac:dyDescent="0.2">
      <c r="H246">
        <v>33</v>
      </c>
    </row>
    <row r="247" spans="8:8" x14ac:dyDescent="0.2">
      <c r="H247">
        <v>13.7</v>
      </c>
    </row>
    <row r="248" spans="8:8" x14ac:dyDescent="0.2">
      <c r="H248">
        <v>18.8</v>
      </c>
    </row>
    <row r="249" spans="8:8" x14ac:dyDescent="0.2">
      <c r="H249">
        <v>15.7</v>
      </c>
    </row>
    <row r="250" spans="8:8" x14ac:dyDescent="0.2">
      <c r="H250">
        <v>30</v>
      </c>
    </row>
    <row r="251" spans="8:8" x14ac:dyDescent="0.2">
      <c r="H251">
        <v>201</v>
      </c>
    </row>
    <row r="252" spans="8:8" x14ac:dyDescent="0.2">
      <c r="H252">
        <v>200</v>
      </c>
    </row>
    <row r="253" spans="8:8" x14ac:dyDescent="0.2">
      <c r="H253">
        <v>120</v>
      </c>
    </row>
    <row r="254" spans="8:8" x14ac:dyDescent="0.2">
      <c r="H254">
        <v>17.37</v>
      </c>
    </row>
    <row r="255" spans="8:8" x14ac:dyDescent="0.2">
      <c r="H255">
        <v>110</v>
      </c>
    </row>
    <row r="256" spans="8:8" x14ac:dyDescent="0.2">
      <c r="H256">
        <v>170</v>
      </c>
    </row>
    <row r="257" spans="8:8" x14ac:dyDescent="0.2">
      <c r="H257">
        <v>26</v>
      </c>
    </row>
    <row r="258" spans="8:8" x14ac:dyDescent="0.2">
      <c r="H258">
        <v>56.8</v>
      </c>
    </row>
    <row r="259" spans="8:8" x14ac:dyDescent="0.2">
      <c r="H259">
        <v>25.5</v>
      </c>
    </row>
    <row r="260" spans="8:8" x14ac:dyDescent="0.2">
      <c r="H260">
        <v>27.1</v>
      </c>
    </row>
    <row r="261" spans="8:8" x14ac:dyDescent="0.2">
      <c r="H261">
        <v>25</v>
      </c>
    </row>
    <row r="262" spans="8:8" x14ac:dyDescent="0.2">
      <c r="H262">
        <v>130</v>
      </c>
    </row>
    <row r="263" spans="8:8" x14ac:dyDescent="0.2">
      <c r="H263">
        <v>38</v>
      </c>
    </row>
    <row r="264" spans="8:8" x14ac:dyDescent="0.2">
      <c r="H264">
        <v>17</v>
      </c>
    </row>
    <row r="265" spans="8:8" x14ac:dyDescent="0.2">
      <c r="H265">
        <v>180</v>
      </c>
    </row>
    <row r="266" spans="8:8" x14ac:dyDescent="0.2">
      <c r="H266">
        <v>150</v>
      </c>
    </row>
    <row r="267" spans="8:8" x14ac:dyDescent="0.2">
      <c r="H267">
        <v>103</v>
      </c>
    </row>
    <row r="268" spans="8:8" x14ac:dyDescent="0.2">
      <c r="H268">
        <v>96</v>
      </c>
    </row>
    <row r="269" spans="8:8" x14ac:dyDescent="0.2">
      <c r="H269">
        <v>20</v>
      </c>
    </row>
    <row r="270" spans="8:8" x14ac:dyDescent="0.2">
      <c r="H270">
        <v>15.5</v>
      </c>
    </row>
    <row r="271" spans="8:8" x14ac:dyDescent="0.2">
      <c r="H271">
        <v>600</v>
      </c>
    </row>
    <row r="272" spans="8:8" x14ac:dyDescent="0.2">
      <c r="H272">
        <v>27</v>
      </c>
    </row>
    <row r="273" spans="8:8" x14ac:dyDescent="0.2">
      <c r="H273">
        <v>29</v>
      </c>
    </row>
    <row r="274" spans="8:8" x14ac:dyDescent="0.2">
      <c r="H274">
        <v>22</v>
      </c>
    </row>
    <row r="275" spans="8:8" x14ac:dyDescent="0.2">
      <c r="H275">
        <v>50</v>
      </c>
    </row>
    <row r="276" spans="8:8" x14ac:dyDescent="0.2">
      <c r="H276">
        <v>92</v>
      </c>
    </row>
    <row r="277" spans="8:8" x14ac:dyDescent="0.2">
      <c r="H277">
        <v>22</v>
      </c>
    </row>
    <row r="278" spans="8:8" x14ac:dyDescent="0.2">
      <c r="H278">
        <v>55</v>
      </c>
    </row>
    <row r="279" spans="8:8" x14ac:dyDescent="0.2">
      <c r="H279">
        <v>620</v>
      </c>
    </row>
    <row r="280" spans="8:8" x14ac:dyDescent="0.2">
      <c r="H280">
        <v>37</v>
      </c>
    </row>
    <row r="281" spans="8:8" x14ac:dyDescent="0.2">
      <c r="H281">
        <v>212.4</v>
      </c>
    </row>
    <row r="282" spans="8:8" x14ac:dyDescent="0.2">
      <c r="H282">
        <v>62.5</v>
      </c>
    </row>
    <row r="283" spans="8:8" x14ac:dyDescent="0.2">
      <c r="H283">
        <v>75</v>
      </c>
    </row>
    <row r="284" spans="8:8" x14ac:dyDescent="0.2">
      <c r="H284">
        <v>189</v>
      </c>
    </row>
    <row r="285" spans="8:8" x14ac:dyDescent="0.2">
      <c r="H285">
        <v>25</v>
      </c>
    </row>
    <row r="286" spans="8:8" x14ac:dyDescent="0.2">
      <c r="H286">
        <v>29.5</v>
      </c>
    </row>
    <row r="287" spans="8:8" x14ac:dyDescent="0.2">
      <c r="H287">
        <v>22</v>
      </c>
    </row>
    <row r="288" spans="8:8" x14ac:dyDescent="0.2">
      <c r="H288">
        <v>110</v>
      </c>
    </row>
    <row r="289" spans="8:8" x14ac:dyDescent="0.2">
      <c r="H289">
        <v>93</v>
      </c>
    </row>
    <row r="290" spans="8:8" x14ac:dyDescent="0.2">
      <c r="H290">
        <v>49.6</v>
      </c>
    </row>
    <row r="291" spans="8:8" x14ac:dyDescent="0.2">
      <c r="H291">
        <v>41</v>
      </c>
    </row>
    <row r="292" spans="8:8" x14ac:dyDescent="0.2">
      <c r="H292">
        <v>20</v>
      </c>
    </row>
    <row r="293" spans="8:8" x14ac:dyDescent="0.2">
      <c r="H293">
        <v>110</v>
      </c>
    </row>
    <row r="294" spans="8:8" x14ac:dyDescent="0.2">
      <c r="H294">
        <v>120</v>
      </c>
    </row>
    <row r="295" spans="8:8" x14ac:dyDescent="0.2">
      <c r="H295">
        <v>26.5</v>
      </c>
    </row>
    <row r="296" spans="8:8" x14ac:dyDescent="0.2">
      <c r="H296">
        <v>430</v>
      </c>
    </row>
    <row r="297" spans="8:8" x14ac:dyDescent="0.2">
      <c r="H297">
        <v>43.1</v>
      </c>
    </row>
    <row r="298" spans="8:8" x14ac:dyDescent="0.2">
      <c r="H298">
        <v>960</v>
      </c>
    </row>
    <row r="299" spans="8:8" x14ac:dyDescent="0.2">
      <c r="H299">
        <v>150</v>
      </c>
    </row>
    <row r="300" spans="8:8" x14ac:dyDescent="0.2">
      <c r="H300">
        <v>19.3</v>
      </c>
    </row>
    <row r="301" spans="8:8" x14ac:dyDescent="0.2">
      <c r="H301">
        <v>126.6</v>
      </c>
    </row>
    <row r="302" spans="8:8" x14ac:dyDescent="0.2">
      <c r="H302">
        <v>30.4</v>
      </c>
    </row>
    <row r="303" spans="8:8" x14ac:dyDescent="0.2">
      <c r="H303">
        <v>176</v>
      </c>
    </row>
    <row r="304" spans="8:8" x14ac:dyDescent="0.2">
      <c r="H304">
        <v>64</v>
      </c>
    </row>
    <row r="305" spans="8:8" x14ac:dyDescent="0.2">
      <c r="H305">
        <v>32</v>
      </c>
    </row>
    <row r="306" spans="8:8" x14ac:dyDescent="0.2">
      <c r="H306">
        <v>374</v>
      </c>
    </row>
    <row r="307" spans="8:8" x14ac:dyDescent="0.2">
      <c r="H307">
        <v>224</v>
      </c>
    </row>
    <row r="308" spans="8:8" x14ac:dyDescent="0.2">
      <c r="H308">
        <v>35</v>
      </c>
    </row>
    <row r="309" spans="8:8" x14ac:dyDescent="0.2">
      <c r="H309">
        <v>20</v>
      </c>
    </row>
    <row r="310" spans="8:8" x14ac:dyDescent="0.2">
      <c r="H310">
        <v>19.5</v>
      </c>
    </row>
    <row r="311" spans="8:8" x14ac:dyDescent="0.2">
      <c r="H311">
        <v>205.22</v>
      </c>
    </row>
    <row r="312" spans="8:8" x14ac:dyDescent="0.2">
      <c r="H312">
        <v>36.5</v>
      </c>
    </row>
    <row r="313" spans="8:8" x14ac:dyDescent="0.2">
      <c r="H313">
        <v>90</v>
      </c>
    </row>
    <row r="314" spans="8:8" x14ac:dyDescent="0.2">
      <c r="H314">
        <v>40</v>
      </c>
    </row>
    <row r="315" spans="8:8" x14ac:dyDescent="0.2">
      <c r="H315">
        <v>344</v>
      </c>
    </row>
    <row r="316" spans="8:8" x14ac:dyDescent="0.2">
      <c r="H316">
        <v>204</v>
      </c>
    </row>
    <row r="317" spans="8:8" x14ac:dyDescent="0.2">
      <c r="H317">
        <v>45</v>
      </c>
    </row>
    <row r="318" spans="8:8" x14ac:dyDescent="0.2">
      <c r="H318">
        <v>40</v>
      </c>
    </row>
    <row r="319" spans="8:8" x14ac:dyDescent="0.2">
      <c r="H319">
        <v>26</v>
      </c>
    </row>
    <row r="320" spans="8:8" x14ac:dyDescent="0.2">
      <c r="H320">
        <v>300</v>
      </c>
    </row>
    <row r="321" spans="8:8" x14ac:dyDescent="0.2">
      <c r="H321">
        <v>33.5</v>
      </c>
    </row>
    <row r="322" spans="8:8" x14ac:dyDescent="0.2">
      <c r="H322">
        <v>12.5</v>
      </c>
    </row>
    <row r="323" spans="8:8" x14ac:dyDescent="0.2">
      <c r="H323">
        <v>36</v>
      </c>
    </row>
    <row r="324" spans="8:8" x14ac:dyDescent="0.2">
      <c r="H324">
        <v>13</v>
      </c>
    </row>
    <row r="325" spans="8:8" x14ac:dyDescent="0.2">
      <c r="H325">
        <v>65</v>
      </c>
    </row>
    <row r="326" spans="8:8" x14ac:dyDescent="0.2">
      <c r="H326">
        <v>15.2</v>
      </c>
    </row>
    <row r="327" spans="8:8" x14ac:dyDescent="0.2">
      <c r="H327">
        <v>28</v>
      </c>
    </row>
    <row r="328" spans="8:8" x14ac:dyDescent="0.2">
      <c r="H328">
        <v>50</v>
      </c>
    </row>
    <row r="329" spans="8:8" x14ac:dyDescent="0.2">
      <c r="H329">
        <v>48</v>
      </c>
    </row>
    <row r="330" spans="8:8" x14ac:dyDescent="0.2">
      <c r="H330">
        <v>175</v>
      </c>
    </row>
    <row r="331" spans="8:8" x14ac:dyDescent="0.2">
      <c r="H331">
        <v>18.2</v>
      </c>
    </row>
    <row r="332" spans="8:8" x14ac:dyDescent="0.2">
      <c r="H332">
        <v>140</v>
      </c>
    </row>
    <row r="333" spans="8:8" x14ac:dyDescent="0.2">
      <c r="H333">
        <v>99.5</v>
      </c>
    </row>
    <row r="334" spans="8:8" x14ac:dyDescent="0.2">
      <c r="H334">
        <v>95</v>
      </c>
    </row>
    <row r="335" spans="8:8" x14ac:dyDescent="0.2">
      <c r="H335">
        <v>21</v>
      </c>
    </row>
    <row r="336" spans="8:8" x14ac:dyDescent="0.2">
      <c r="H336">
        <v>34</v>
      </c>
    </row>
    <row r="337" spans="8:8" x14ac:dyDescent="0.2">
      <c r="H337">
        <v>18.399999999999999</v>
      </c>
    </row>
    <row r="338" spans="8:8" x14ac:dyDescent="0.2">
      <c r="H338">
        <v>150</v>
      </c>
    </row>
    <row r="339" spans="8:8" x14ac:dyDescent="0.2">
      <c r="H339">
        <v>22.2</v>
      </c>
    </row>
    <row r="340" spans="8:8" x14ac:dyDescent="0.2">
      <c r="H340">
        <v>90</v>
      </c>
    </row>
    <row r="341" spans="8:8" x14ac:dyDescent="0.2">
      <c r="H341">
        <v>15</v>
      </c>
    </row>
    <row r="342" spans="8:8" x14ac:dyDescent="0.2">
      <c r="H342">
        <v>85</v>
      </c>
    </row>
    <row r="343" spans="8:8" x14ac:dyDescent="0.2">
      <c r="H343">
        <v>42</v>
      </c>
    </row>
    <row r="344" spans="8:8" x14ac:dyDescent="0.2">
      <c r="H34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data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Johan Solsvik</cp:lastModifiedBy>
  <dcterms:created xsi:type="dcterms:W3CDTF">2026-01-26T12:03:17Z</dcterms:created>
  <dcterms:modified xsi:type="dcterms:W3CDTF">2026-01-27T12:17:05Z</dcterms:modified>
</cp:coreProperties>
</file>